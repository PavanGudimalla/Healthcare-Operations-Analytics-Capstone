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pavan\OneDrive\Desktop\Dayton\5th Sem\Capstone\Final Work\"/>
    </mc:Choice>
  </mc:AlternateContent>
  <xr:revisionPtr revIDLastSave="0" documentId="13_ncr:1_{0BA764D0-57F4-4068-8497-A7CE56834E87}" xr6:coauthVersionLast="47" xr6:coauthVersionMax="47" xr10:uidLastSave="{00000000-0000-0000-0000-000000000000}"/>
  <bookViews>
    <workbookView xWindow="-108" yWindow="-108" windowWidth="23256" windowHeight="12456" activeTab="2" xr2:uid="{49CE3884-84FE-4748-8BCB-9C75FE64C37A}"/>
  </bookViews>
  <sheets>
    <sheet name="Data" sheetId="1" r:id="rId1"/>
    <sheet name="Control panel" sheetId="11" r:id="rId2"/>
    <sheet name="KPI" sheetId="20" r:id="rId3"/>
    <sheet name="README" sheetId="21" r:id="rId4"/>
    <sheet name="Read PCT_CHANGE" sheetId="22" r:id="rId5"/>
  </sheets>
  <definedNames>
    <definedName name="_xlnm._FilterDatabase" localSheetId="0" hidden="1">Data!$A$1:$AA$1297</definedName>
    <definedName name="_xlnm._FilterDatabase" localSheetId="4" hidden="1">'Read PCT_CHANGE'!$A$1:$I$4499</definedName>
    <definedName name="Slicer_Site1">#N/A</definedName>
  </definedNames>
  <calcPr calcId="191029"/>
  <pivotCaches>
    <pivotCache cacheId="6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1" l="1"/>
  <c r="W2" i="1"/>
  <c r="V2" i="1"/>
  <c r="U2" i="1"/>
  <c r="T2" i="1"/>
  <c r="S2" i="1"/>
  <c r="Q2" i="1"/>
  <c r="P2" i="1"/>
  <c r="O2" i="1"/>
  <c r="N2" i="1"/>
  <c r="M2" i="1"/>
  <c r="L2" i="1"/>
  <c r="K2" i="1" a="1"/>
  <c r="K2" i="1" s="1"/>
  <c r="J2" i="1"/>
  <c r="U15" i="11"/>
  <c r="U14" i="11"/>
  <c r="I139" i="22"/>
  <c r="I18" i="22"/>
  <c r="I190" i="22"/>
  <c r="I7" i="22"/>
  <c r="I6" i="22"/>
  <c r="I5" i="22"/>
  <c r="I4" i="22"/>
  <c r="I3" i="22"/>
  <c r="I11" i="22"/>
  <c r="I8" i="22"/>
  <c r="I9" i="22"/>
  <c r="I10" i="22"/>
  <c r="I12" i="22"/>
  <c r="I13" i="22"/>
  <c r="I14" i="22"/>
  <c r="I15" i="22"/>
  <c r="I16" i="22"/>
  <c r="I17" i="22"/>
  <c r="I19" i="22"/>
  <c r="I20" i="22"/>
  <c r="I21" i="22"/>
  <c r="I22" i="22"/>
  <c r="I23" i="22"/>
  <c r="I24" i="22"/>
  <c r="I25" i="22"/>
  <c r="I26" i="22"/>
  <c r="I27" i="22"/>
  <c r="I28" i="22"/>
  <c r="I29" i="22"/>
  <c r="I30" i="22"/>
  <c r="I31" i="22"/>
  <c r="I32" i="22"/>
  <c r="I33" i="22"/>
  <c r="I34" i="22"/>
  <c r="I35" i="22"/>
  <c r="I36" i="22"/>
  <c r="I37" i="22"/>
  <c r="I38" i="22"/>
  <c r="I39" i="22"/>
  <c r="I40" i="22"/>
  <c r="I41" i="22"/>
  <c r="I42" i="22"/>
  <c r="I43" i="22"/>
  <c r="I44" i="22"/>
  <c r="I45" i="22"/>
  <c r="I46" i="22"/>
  <c r="I47" i="22"/>
  <c r="I48" i="22"/>
  <c r="I49" i="22"/>
  <c r="I50" i="22"/>
  <c r="I51" i="22"/>
  <c r="I52" i="22"/>
  <c r="I53" i="22"/>
  <c r="I54" i="22"/>
  <c r="I55" i="22"/>
  <c r="I56" i="22"/>
  <c r="I57" i="22"/>
  <c r="I58" i="22"/>
  <c r="I59" i="22"/>
  <c r="I60" i="22"/>
  <c r="I61" i="22"/>
  <c r="I62" i="22"/>
  <c r="I63" i="22"/>
  <c r="I64" i="22"/>
  <c r="I65" i="22"/>
  <c r="I66" i="22"/>
  <c r="I67" i="22"/>
  <c r="I68" i="22"/>
  <c r="I69" i="22"/>
  <c r="I70" i="22"/>
  <c r="I71" i="22"/>
  <c r="I72" i="22"/>
  <c r="I73" i="22"/>
  <c r="I74" i="22"/>
  <c r="I75" i="22"/>
  <c r="I76" i="22"/>
  <c r="I77" i="22"/>
  <c r="I78" i="22"/>
  <c r="I79" i="22"/>
  <c r="I80" i="22"/>
  <c r="I81" i="22"/>
  <c r="I82" i="22"/>
  <c r="I83" i="22"/>
  <c r="I84" i="22"/>
  <c r="I85" i="22"/>
  <c r="I86" i="22"/>
  <c r="I87" i="22"/>
  <c r="I88" i="22"/>
  <c r="I89" i="22"/>
  <c r="I90" i="22"/>
  <c r="I91" i="22"/>
  <c r="I92" i="22"/>
  <c r="I93" i="22"/>
  <c r="I94" i="22"/>
  <c r="I95" i="22"/>
  <c r="I96" i="22"/>
  <c r="I97" i="22"/>
  <c r="I98" i="22"/>
  <c r="I99" i="22"/>
  <c r="I100" i="22"/>
  <c r="I101" i="22"/>
  <c r="I102" i="22"/>
  <c r="I103" i="22"/>
  <c r="I104" i="22"/>
  <c r="I105" i="22"/>
  <c r="I106" i="22"/>
  <c r="I107" i="22"/>
  <c r="I108" i="22"/>
  <c r="I109" i="22"/>
  <c r="I110" i="22"/>
  <c r="I111" i="22"/>
  <c r="I112" i="22"/>
  <c r="I113" i="22"/>
  <c r="I114" i="22"/>
  <c r="I115" i="22"/>
  <c r="I116" i="22"/>
  <c r="I117" i="22"/>
  <c r="I118" i="22"/>
  <c r="I119" i="22"/>
  <c r="I120" i="22"/>
  <c r="I121" i="22"/>
  <c r="I122" i="22"/>
  <c r="I123" i="22"/>
  <c r="I124" i="22"/>
  <c r="I125" i="22"/>
  <c r="I126" i="22"/>
  <c r="I127" i="22"/>
  <c r="I128" i="22"/>
  <c r="I129" i="22"/>
  <c r="I130" i="22"/>
  <c r="I131" i="22"/>
  <c r="I132" i="22"/>
  <c r="I133" i="22"/>
  <c r="I134" i="22"/>
  <c r="I135" i="22"/>
  <c r="I136" i="22"/>
  <c r="I137" i="22"/>
  <c r="I138" i="22"/>
  <c r="I140" i="22"/>
  <c r="I141" i="22"/>
  <c r="I142" i="22"/>
  <c r="I143" i="22"/>
  <c r="I144" i="22"/>
  <c r="I145" i="22"/>
  <c r="I146" i="22"/>
  <c r="I147" i="22"/>
  <c r="I148" i="22"/>
  <c r="I149" i="22"/>
  <c r="I150" i="22"/>
  <c r="I151" i="22"/>
  <c r="I152" i="22"/>
  <c r="I153" i="22"/>
  <c r="I154" i="22"/>
  <c r="I155" i="22"/>
  <c r="I156" i="22"/>
  <c r="I157" i="22"/>
  <c r="I158" i="22"/>
  <c r="I159" i="22"/>
  <c r="I160" i="22"/>
  <c r="I161" i="22"/>
  <c r="I162" i="22"/>
  <c r="I163" i="22"/>
  <c r="I164" i="22"/>
  <c r="I165" i="22"/>
  <c r="I166" i="22"/>
  <c r="I167" i="22"/>
  <c r="I168" i="22"/>
  <c r="I169" i="22"/>
  <c r="I170" i="22"/>
  <c r="I171" i="22"/>
  <c r="I172" i="22"/>
  <c r="I173" i="22"/>
  <c r="I174" i="22"/>
  <c r="I175" i="22"/>
  <c r="I176" i="22"/>
  <c r="I177" i="22"/>
  <c r="I178" i="22"/>
  <c r="I179" i="22"/>
  <c r="I180" i="22"/>
  <c r="I181" i="22"/>
  <c r="I182" i="22"/>
  <c r="I183" i="22"/>
  <c r="I184" i="22"/>
  <c r="I185" i="22"/>
  <c r="I186" i="22"/>
  <c r="I187" i="22"/>
  <c r="I188" i="22"/>
  <c r="I189" i="22"/>
  <c r="I191" i="22"/>
  <c r="I192" i="22"/>
  <c r="I193" i="22"/>
  <c r="I194" i="22"/>
  <c r="I195" i="22"/>
  <c r="I196" i="22"/>
  <c r="I197" i="22"/>
  <c r="I198" i="22"/>
  <c r="I199" i="22"/>
  <c r="I200" i="22"/>
  <c r="I201" i="22"/>
  <c r="I202" i="22"/>
  <c r="I203" i="22"/>
  <c r="I204" i="22"/>
  <c r="I205" i="22"/>
  <c r="I206" i="22"/>
  <c r="I207" i="22"/>
  <c r="I208" i="22"/>
  <c r="I209" i="22"/>
  <c r="I210" i="22"/>
  <c r="I211" i="22"/>
  <c r="I212" i="22"/>
  <c r="I213" i="22"/>
  <c r="I214" i="22"/>
  <c r="I215" i="22"/>
  <c r="I216" i="22"/>
  <c r="I217" i="22"/>
  <c r="I218" i="22"/>
  <c r="I219" i="22"/>
  <c r="I220" i="22"/>
  <c r="I221" i="22"/>
  <c r="I222" i="22"/>
  <c r="I223" i="22"/>
  <c r="I224" i="22"/>
  <c r="I225" i="22"/>
  <c r="I226" i="22"/>
  <c r="I227" i="22"/>
  <c r="I228" i="22"/>
  <c r="I229" i="22"/>
  <c r="I230" i="22"/>
  <c r="I231" i="22"/>
  <c r="I232" i="22"/>
  <c r="I233" i="22"/>
  <c r="I234" i="22"/>
  <c r="I235" i="22"/>
  <c r="I236" i="22"/>
  <c r="I237" i="22"/>
  <c r="I238" i="22"/>
  <c r="I239" i="22"/>
  <c r="I240" i="22"/>
  <c r="I241" i="22"/>
  <c r="I242" i="22"/>
  <c r="I243" i="22"/>
  <c r="I244" i="22"/>
  <c r="I245" i="22"/>
  <c r="I246" i="22"/>
  <c r="I247" i="22"/>
  <c r="I248" i="22"/>
  <c r="I249" i="22"/>
  <c r="I250" i="22"/>
  <c r="I251" i="22"/>
  <c r="I252" i="22"/>
  <c r="I253" i="22"/>
  <c r="I254" i="22"/>
  <c r="I255" i="22"/>
  <c r="I256" i="22"/>
  <c r="I257" i="22"/>
  <c r="I258" i="22"/>
  <c r="I259" i="22"/>
  <c r="I260" i="22"/>
  <c r="I261" i="22"/>
  <c r="I262" i="22"/>
  <c r="I263" i="22"/>
  <c r="I264" i="22"/>
  <c r="I265" i="22"/>
  <c r="I266" i="22"/>
  <c r="I267" i="22"/>
  <c r="I268" i="22"/>
  <c r="I269" i="22"/>
  <c r="I270" i="22"/>
  <c r="I271" i="22"/>
  <c r="I272" i="22"/>
  <c r="I273" i="22"/>
  <c r="I274" i="22"/>
  <c r="I275" i="22"/>
  <c r="I276" i="22"/>
  <c r="I277" i="22"/>
  <c r="I278" i="22"/>
  <c r="I279" i="22"/>
  <c r="I280" i="22"/>
  <c r="I281" i="22"/>
  <c r="I282" i="22"/>
  <c r="I283" i="22"/>
  <c r="I284" i="22"/>
  <c r="I285" i="22"/>
  <c r="I286" i="22"/>
  <c r="I287" i="22"/>
  <c r="I288" i="22"/>
  <c r="I289" i="22"/>
  <c r="I290" i="22"/>
  <c r="I291" i="22"/>
  <c r="I292" i="22"/>
  <c r="I293" i="22"/>
  <c r="I294" i="22"/>
  <c r="I295" i="22"/>
  <c r="I296" i="22"/>
  <c r="I297" i="22"/>
  <c r="I298" i="22"/>
  <c r="I299" i="22"/>
  <c r="I300" i="22"/>
  <c r="I301" i="22"/>
  <c r="I302" i="22"/>
  <c r="I303" i="22"/>
  <c r="I304" i="22"/>
  <c r="I305" i="22"/>
  <c r="I306" i="22"/>
  <c r="I307" i="22"/>
  <c r="I308" i="22"/>
  <c r="I309" i="22"/>
  <c r="I310" i="22"/>
  <c r="I311" i="22"/>
  <c r="I312" i="22"/>
  <c r="I313" i="22"/>
  <c r="I314" i="22"/>
  <c r="I315" i="22"/>
  <c r="I316" i="22"/>
  <c r="I317" i="22"/>
  <c r="I318" i="22"/>
  <c r="I319" i="22"/>
  <c r="I320" i="22"/>
  <c r="I321" i="22"/>
  <c r="I322" i="22"/>
  <c r="I323" i="22"/>
  <c r="I324" i="22"/>
  <c r="I325" i="22"/>
  <c r="I326" i="22"/>
  <c r="I327" i="22"/>
  <c r="I328" i="22"/>
  <c r="I329" i="22"/>
  <c r="I330" i="22"/>
  <c r="I331" i="22"/>
  <c r="I332" i="22"/>
  <c r="I333" i="22"/>
  <c r="I334" i="22"/>
  <c r="I335" i="22"/>
  <c r="I336" i="22"/>
  <c r="I337" i="22"/>
  <c r="I338" i="22"/>
  <c r="I339" i="22"/>
  <c r="I340" i="22"/>
  <c r="I341" i="22"/>
  <c r="I342" i="22"/>
  <c r="I343" i="22"/>
  <c r="I344" i="22"/>
  <c r="I345" i="22"/>
  <c r="I346" i="22"/>
  <c r="I347" i="22"/>
  <c r="I348" i="22"/>
  <c r="I349" i="22"/>
  <c r="I350" i="22"/>
  <c r="I351" i="22"/>
  <c r="I352" i="22"/>
  <c r="I353" i="22"/>
  <c r="I354" i="22"/>
  <c r="I355" i="22"/>
  <c r="I356" i="22"/>
  <c r="I357" i="22"/>
  <c r="I358" i="22"/>
  <c r="I359" i="22"/>
  <c r="I360" i="22"/>
  <c r="I361" i="22"/>
  <c r="I362" i="22"/>
  <c r="I363" i="22"/>
  <c r="I364" i="22"/>
  <c r="I365" i="22"/>
  <c r="I366" i="22"/>
  <c r="I367" i="22"/>
  <c r="I368" i="22"/>
  <c r="I369" i="22"/>
  <c r="I370" i="22"/>
  <c r="I371" i="22"/>
  <c r="I372" i="22"/>
  <c r="I373" i="22"/>
  <c r="I374" i="22"/>
  <c r="I375" i="22"/>
  <c r="I376" i="22"/>
  <c r="I377" i="22"/>
  <c r="I378" i="22"/>
  <c r="I379" i="22"/>
  <c r="I380" i="22"/>
  <c r="I381" i="22"/>
  <c r="I382" i="22"/>
  <c r="I383" i="22"/>
  <c r="I384" i="22"/>
  <c r="I385" i="22"/>
  <c r="I386" i="22"/>
  <c r="I387" i="22"/>
  <c r="I388" i="22"/>
  <c r="I389" i="22"/>
  <c r="I390" i="22"/>
  <c r="I391" i="22"/>
  <c r="I392" i="22"/>
  <c r="I393" i="22"/>
  <c r="I394" i="22"/>
  <c r="I395" i="22"/>
  <c r="I396" i="22"/>
  <c r="I397" i="22"/>
  <c r="I398" i="22"/>
  <c r="I399" i="22"/>
  <c r="I400" i="22"/>
  <c r="I401" i="22"/>
  <c r="I402" i="22"/>
  <c r="I403" i="22"/>
  <c r="I404" i="22"/>
  <c r="I405" i="22"/>
  <c r="I406" i="22"/>
  <c r="I407" i="22"/>
  <c r="I408" i="22"/>
  <c r="I409" i="22"/>
  <c r="I410" i="22"/>
  <c r="I411" i="22"/>
  <c r="I412" i="22"/>
  <c r="I413" i="22"/>
  <c r="I414" i="22"/>
  <c r="I415" i="22"/>
  <c r="I416" i="22"/>
  <c r="I417" i="22"/>
  <c r="I418" i="22"/>
  <c r="I419" i="22"/>
  <c r="I420" i="22"/>
  <c r="I421" i="22"/>
  <c r="I422" i="22"/>
  <c r="I423" i="22"/>
  <c r="I424" i="22"/>
  <c r="I425" i="22"/>
  <c r="I426" i="22"/>
  <c r="I427" i="22"/>
  <c r="I428" i="22"/>
  <c r="I429" i="22"/>
  <c r="I430" i="22"/>
  <c r="I431" i="22"/>
  <c r="I432" i="22"/>
  <c r="I433" i="22"/>
  <c r="I434" i="22"/>
  <c r="I435" i="22"/>
  <c r="I436" i="22"/>
  <c r="I437" i="22"/>
  <c r="I438" i="22"/>
  <c r="I439" i="22"/>
  <c r="I440" i="22"/>
  <c r="I441" i="22"/>
  <c r="I442" i="22"/>
  <c r="I443" i="22"/>
  <c r="I444" i="22"/>
  <c r="I445" i="22"/>
  <c r="I446" i="22"/>
  <c r="I447" i="22"/>
  <c r="I448" i="22"/>
  <c r="I449" i="22"/>
  <c r="I450" i="22"/>
  <c r="I451" i="22"/>
  <c r="I452" i="22"/>
  <c r="I453" i="22"/>
  <c r="I454" i="22"/>
  <c r="I455" i="22"/>
  <c r="I456" i="22"/>
  <c r="I457" i="22"/>
  <c r="I458" i="22"/>
  <c r="I459" i="22"/>
  <c r="I460" i="22"/>
  <c r="I461" i="22"/>
  <c r="I462" i="22"/>
  <c r="I463" i="22"/>
  <c r="I464" i="22"/>
  <c r="I465" i="22"/>
  <c r="I466" i="22"/>
  <c r="I467" i="22"/>
  <c r="I468" i="22"/>
  <c r="I469" i="22"/>
  <c r="I470" i="22"/>
  <c r="I471" i="22"/>
  <c r="I472" i="22"/>
  <c r="I473" i="22"/>
  <c r="I474" i="22"/>
  <c r="I475" i="22"/>
  <c r="I476" i="22"/>
  <c r="I477" i="22"/>
  <c r="I478" i="22"/>
  <c r="I479" i="22"/>
  <c r="I480" i="22"/>
  <c r="I481" i="22"/>
  <c r="I482" i="22"/>
  <c r="I483" i="22"/>
  <c r="I484" i="22"/>
  <c r="I485" i="22"/>
  <c r="I486" i="22"/>
  <c r="I487" i="22"/>
  <c r="I488" i="22"/>
  <c r="I489" i="22"/>
  <c r="I490" i="22"/>
  <c r="I491" i="22"/>
  <c r="I492" i="22"/>
  <c r="I493" i="22"/>
  <c r="I494" i="22"/>
  <c r="I495" i="22"/>
  <c r="I496" i="22"/>
  <c r="I497" i="22"/>
  <c r="I498" i="22"/>
  <c r="I499" i="22"/>
  <c r="I500" i="22"/>
  <c r="I501" i="22"/>
  <c r="I502" i="22"/>
  <c r="I503" i="22"/>
  <c r="I504" i="22"/>
  <c r="I505" i="22"/>
  <c r="I506" i="22"/>
  <c r="I507" i="22"/>
  <c r="I508" i="22"/>
  <c r="I509" i="22"/>
  <c r="I510" i="22"/>
  <c r="I511" i="22"/>
  <c r="I512" i="22"/>
  <c r="I513" i="22"/>
  <c r="I514" i="22"/>
  <c r="I515" i="22"/>
  <c r="I516" i="22"/>
  <c r="I517" i="22"/>
  <c r="I518" i="22"/>
  <c r="I519" i="22"/>
  <c r="I520" i="22"/>
  <c r="I521" i="22"/>
  <c r="I522" i="22"/>
  <c r="I523" i="22"/>
  <c r="I524" i="22"/>
  <c r="I525" i="22"/>
  <c r="I526" i="22"/>
  <c r="I527" i="22"/>
  <c r="I528" i="22"/>
  <c r="I529" i="22"/>
  <c r="I530" i="22"/>
  <c r="I531" i="22"/>
  <c r="I532" i="22"/>
  <c r="I533" i="22"/>
  <c r="I534" i="22"/>
  <c r="I535" i="22"/>
  <c r="I536" i="22"/>
  <c r="I537" i="22"/>
  <c r="I538" i="22"/>
  <c r="I539" i="22"/>
  <c r="I540" i="22"/>
  <c r="I541" i="22"/>
  <c r="I542" i="22"/>
  <c r="I543" i="22"/>
  <c r="I544" i="22"/>
  <c r="I545" i="22"/>
  <c r="I546" i="22"/>
  <c r="I547" i="22"/>
  <c r="I548" i="22"/>
  <c r="I549" i="22"/>
  <c r="I550" i="22"/>
  <c r="I551" i="22"/>
  <c r="I552" i="22"/>
  <c r="I553" i="22"/>
  <c r="I554" i="22"/>
  <c r="I555" i="22"/>
  <c r="I556" i="22"/>
  <c r="I557" i="22"/>
  <c r="I558" i="22"/>
  <c r="I559" i="22"/>
  <c r="I560" i="22"/>
  <c r="I561" i="22"/>
  <c r="I562" i="22"/>
  <c r="I563" i="22"/>
  <c r="I564" i="22"/>
  <c r="I565" i="22"/>
  <c r="I566" i="22"/>
  <c r="I567" i="22"/>
  <c r="I568" i="22"/>
  <c r="I569" i="22"/>
  <c r="I570" i="22"/>
  <c r="I571" i="22"/>
  <c r="I572" i="22"/>
  <c r="I573" i="22"/>
  <c r="I574" i="22"/>
  <c r="I575" i="22"/>
  <c r="I576" i="22"/>
  <c r="I577" i="22"/>
  <c r="I578" i="22"/>
  <c r="I579" i="22"/>
  <c r="I580" i="22"/>
  <c r="I581" i="22"/>
  <c r="I582" i="22"/>
  <c r="I583" i="22"/>
  <c r="I584" i="22"/>
  <c r="I585" i="22"/>
  <c r="I586" i="22"/>
  <c r="I587" i="22"/>
  <c r="I588" i="22"/>
  <c r="I589" i="22"/>
  <c r="I590" i="22"/>
  <c r="I591" i="22"/>
  <c r="I592" i="22"/>
  <c r="I593" i="22"/>
  <c r="I594" i="22"/>
  <c r="I595" i="22"/>
  <c r="I596" i="22"/>
  <c r="I597" i="22"/>
  <c r="I598" i="22"/>
  <c r="I599" i="22"/>
  <c r="I600" i="22"/>
  <c r="I601" i="22"/>
  <c r="I602" i="22"/>
  <c r="I603" i="22"/>
  <c r="I604" i="22"/>
  <c r="I605" i="22"/>
  <c r="I606" i="22"/>
  <c r="I607" i="22"/>
  <c r="I608" i="22"/>
  <c r="I609" i="22"/>
  <c r="I610" i="22"/>
  <c r="I611" i="22"/>
  <c r="I612" i="22"/>
  <c r="I613" i="22"/>
  <c r="I614" i="22"/>
  <c r="I615" i="22"/>
  <c r="I616" i="22"/>
  <c r="I617" i="22"/>
  <c r="I618" i="22"/>
  <c r="I619" i="22"/>
  <c r="I620" i="22"/>
  <c r="I621" i="22"/>
  <c r="I622" i="22"/>
  <c r="I623" i="22"/>
  <c r="I624" i="22"/>
  <c r="I625" i="22"/>
  <c r="I626" i="22"/>
  <c r="I627" i="22"/>
  <c r="I628" i="22"/>
  <c r="I629" i="22"/>
  <c r="I630" i="22"/>
  <c r="I631" i="22"/>
  <c r="I632" i="22"/>
  <c r="I633" i="22"/>
  <c r="I634" i="22"/>
  <c r="I635" i="22"/>
  <c r="I636" i="22"/>
  <c r="I637" i="22"/>
  <c r="I638" i="22"/>
  <c r="I639" i="22"/>
  <c r="I640" i="22"/>
  <c r="I641" i="22"/>
  <c r="I642" i="22"/>
  <c r="I643" i="22"/>
  <c r="I644" i="22"/>
  <c r="I645" i="22"/>
  <c r="I646" i="22"/>
  <c r="I647" i="22"/>
  <c r="I648" i="22"/>
  <c r="I649" i="22"/>
  <c r="I650" i="22"/>
  <c r="I651" i="22"/>
  <c r="I652" i="22"/>
  <c r="I653" i="22"/>
  <c r="I654" i="22"/>
  <c r="I655" i="22"/>
  <c r="I656" i="22"/>
  <c r="I657" i="22"/>
  <c r="I658" i="22"/>
  <c r="I659" i="22"/>
  <c r="I660" i="22"/>
  <c r="I661" i="22"/>
  <c r="I662" i="22"/>
  <c r="I663" i="22"/>
  <c r="I664" i="22"/>
  <c r="I665" i="22"/>
  <c r="I666" i="22"/>
  <c r="I667" i="22"/>
  <c r="I668" i="22"/>
  <c r="I669" i="22"/>
  <c r="I670" i="22"/>
  <c r="I671" i="22"/>
  <c r="I672" i="22"/>
  <c r="I673" i="22"/>
  <c r="I674" i="22"/>
  <c r="I675" i="22"/>
  <c r="I676" i="22"/>
  <c r="I677" i="22"/>
  <c r="I678" i="22"/>
  <c r="I679" i="22"/>
  <c r="I680" i="22"/>
  <c r="I681" i="22"/>
  <c r="I682" i="22"/>
  <c r="I683" i="22"/>
  <c r="I684" i="22"/>
  <c r="I685" i="22"/>
  <c r="I686" i="22"/>
  <c r="I687" i="22"/>
  <c r="I688" i="22"/>
  <c r="I689" i="22"/>
  <c r="I690" i="22"/>
  <c r="I691" i="22"/>
  <c r="I692" i="22"/>
  <c r="I693" i="22"/>
  <c r="I694" i="22"/>
  <c r="I695" i="22"/>
  <c r="I696" i="22"/>
  <c r="I697" i="22"/>
  <c r="I698" i="22"/>
  <c r="I699" i="22"/>
  <c r="I700" i="22"/>
  <c r="I701" i="22"/>
  <c r="I702" i="22"/>
  <c r="I703" i="22"/>
  <c r="I704" i="22"/>
  <c r="I705" i="22"/>
  <c r="I706" i="22"/>
  <c r="I707" i="22"/>
  <c r="I708" i="22"/>
  <c r="I709" i="22"/>
  <c r="I710" i="22"/>
  <c r="I711" i="22"/>
  <c r="I712" i="22"/>
  <c r="I713" i="22"/>
  <c r="I714" i="22"/>
  <c r="I715" i="22"/>
  <c r="I716" i="22"/>
  <c r="I717" i="22"/>
  <c r="I718" i="22"/>
  <c r="I719" i="22"/>
  <c r="I720" i="22"/>
  <c r="I721" i="22"/>
  <c r="I722" i="22"/>
  <c r="I723" i="22"/>
  <c r="I724" i="22"/>
  <c r="I725" i="22"/>
  <c r="I726" i="22"/>
  <c r="I727" i="22"/>
  <c r="I728" i="22"/>
  <c r="I729" i="22"/>
  <c r="I730" i="22"/>
  <c r="I731" i="22"/>
  <c r="I732" i="22"/>
  <c r="I733" i="22"/>
  <c r="I734" i="22"/>
  <c r="I735" i="22"/>
  <c r="I736" i="22"/>
  <c r="I737" i="22"/>
  <c r="I738" i="22"/>
  <c r="I739" i="22"/>
  <c r="I740" i="22"/>
  <c r="I741" i="22"/>
  <c r="I742" i="22"/>
  <c r="I743" i="22"/>
  <c r="I744" i="22"/>
  <c r="I745" i="22"/>
  <c r="I746" i="22"/>
  <c r="I747" i="22"/>
  <c r="I748" i="22"/>
  <c r="I749" i="22"/>
  <c r="I750" i="22"/>
  <c r="I751" i="22"/>
  <c r="I752" i="22"/>
  <c r="I753" i="22"/>
  <c r="I754" i="22"/>
  <c r="I755" i="22"/>
  <c r="I756" i="22"/>
  <c r="I757" i="22"/>
  <c r="I758" i="22"/>
  <c r="I759" i="22"/>
  <c r="I760" i="22"/>
  <c r="I761" i="22"/>
  <c r="I762" i="22"/>
  <c r="I763" i="22"/>
  <c r="I764" i="22"/>
  <c r="I765" i="22"/>
  <c r="I766" i="22"/>
  <c r="I767" i="22"/>
  <c r="I768" i="22"/>
  <c r="I769" i="22"/>
  <c r="I770" i="22"/>
  <c r="I771" i="22"/>
  <c r="I772" i="22"/>
  <c r="I773" i="22"/>
  <c r="I774" i="22"/>
  <c r="I775" i="22"/>
  <c r="I776" i="22"/>
  <c r="I777" i="22"/>
  <c r="I778" i="22"/>
  <c r="I779" i="22"/>
  <c r="I780" i="22"/>
  <c r="I781" i="22"/>
  <c r="I782" i="22"/>
  <c r="I783" i="22"/>
  <c r="I784" i="22"/>
  <c r="I785" i="22"/>
  <c r="I786" i="22"/>
  <c r="I787" i="22"/>
  <c r="I788" i="22"/>
  <c r="I789" i="22"/>
  <c r="I790" i="22"/>
  <c r="I791" i="22"/>
  <c r="I792" i="22"/>
  <c r="I793" i="22"/>
  <c r="I794" i="22"/>
  <c r="I795" i="22"/>
  <c r="I796" i="22"/>
  <c r="I797" i="22"/>
  <c r="I798" i="22"/>
  <c r="I799" i="22"/>
  <c r="I800" i="22"/>
  <c r="I801" i="22"/>
  <c r="I802" i="22"/>
  <c r="I803" i="22"/>
  <c r="I804" i="22"/>
  <c r="I805" i="22"/>
  <c r="I806" i="22"/>
  <c r="I807" i="22"/>
  <c r="I808" i="22"/>
  <c r="I809" i="22"/>
  <c r="I810" i="22"/>
  <c r="I811" i="22"/>
  <c r="I812" i="22"/>
  <c r="I813" i="22"/>
  <c r="I814" i="22"/>
  <c r="I815" i="22"/>
  <c r="I816" i="22"/>
  <c r="I817" i="22"/>
  <c r="I818" i="22"/>
  <c r="I819" i="22"/>
  <c r="I820" i="22"/>
  <c r="I821" i="22"/>
  <c r="I822" i="22"/>
  <c r="I823" i="22"/>
  <c r="I824" i="22"/>
  <c r="I825" i="22"/>
  <c r="I826" i="22"/>
  <c r="I827" i="22"/>
  <c r="I828" i="22"/>
  <c r="I829" i="22"/>
  <c r="I830" i="22"/>
  <c r="I831" i="22"/>
  <c r="I832" i="22"/>
  <c r="I833" i="22"/>
  <c r="I834" i="22"/>
  <c r="I835" i="22"/>
  <c r="I836" i="22"/>
  <c r="I837" i="22"/>
  <c r="I838" i="22"/>
  <c r="I839" i="22"/>
  <c r="I840" i="22"/>
  <c r="I841" i="22"/>
  <c r="I842" i="22"/>
  <c r="I843" i="22"/>
  <c r="I844" i="22"/>
  <c r="I845" i="22"/>
  <c r="I846" i="22"/>
  <c r="I847" i="22"/>
  <c r="I848" i="22"/>
  <c r="I849" i="22"/>
  <c r="I850" i="22"/>
  <c r="I851" i="22"/>
  <c r="I852" i="22"/>
  <c r="I853" i="22"/>
  <c r="I854" i="22"/>
  <c r="I855" i="22"/>
  <c r="I856" i="22"/>
  <c r="I857" i="22"/>
  <c r="I858" i="22"/>
  <c r="I859" i="22"/>
  <c r="I860" i="22"/>
  <c r="I861" i="22"/>
  <c r="I862" i="22"/>
  <c r="I863" i="22"/>
  <c r="I864" i="22"/>
  <c r="I865" i="22"/>
  <c r="I866" i="22"/>
  <c r="I867" i="22"/>
  <c r="I868" i="22"/>
  <c r="I869" i="22"/>
  <c r="I870" i="22"/>
  <c r="I871" i="22"/>
  <c r="I872" i="22"/>
  <c r="I873" i="22"/>
  <c r="I874" i="22"/>
  <c r="I875" i="22"/>
  <c r="I876" i="22"/>
  <c r="I877" i="22"/>
  <c r="I878" i="22"/>
  <c r="I879" i="22"/>
  <c r="I880" i="22"/>
  <c r="I881" i="22"/>
  <c r="I882" i="22"/>
  <c r="I883" i="22"/>
  <c r="I884" i="22"/>
  <c r="I885" i="22"/>
  <c r="I886" i="22"/>
  <c r="I887" i="22"/>
  <c r="I888" i="22"/>
  <c r="I889" i="22"/>
  <c r="I890" i="22"/>
  <c r="I891" i="22"/>
  <c r="I892" i="22"/>
  <c r="I893" i="22"/>
  <c r="I894" i="22"/>
  <c r="I895" i="22"/>
  <c r="I896" i="22"/>
  <c r="I897" i="22"/>
  <c r="I898" i="22"/>
  <c r="I899" i="22"/>
  <c r="I900" i="22"/>
  <c r="I901" i="22"/>
  <c r="I902" i="22"/>
  <c r="I903" i="22"/>
  <c r="I904" i="22"/>
  <c r="I905" i="22"/>
  <c r="I906" i="22"/>
  <c r="I907" i="22"/>
  <c r="I908" i="22"/>
  <c r="I909" i="22"/>
  <c r="I910" i="22"/>
  <c r="I911" i="22"/>
  <c r="I912" i="22"/>
  <c r="I913" i="22"/>
  <c r="I914" i="22"/>
  <c r="I915" i="22"/>
  <c r="I916" i="22"/>
  <c r="I917" i="22"/>
  <c r="I918" i="22"/>
  <c r="I919" i="22"/>
  <c r="I920" i="22"/>
  <c r="I921" i="22"/>
  <c r="I922" i="22"/>
  <c r="I923" i="22"/>
  <c r="I924" i="22"/>
  <c r="I925" i="22"/>
  <c r="I926" i="22"/>
  <c r="I927" i="22"/>
  <c r="I928" i="22"/>
  <c r="I929" i="22"/>
  <c r="I930" i="22"/>
  <c r="I931" i="22"/>
  <c r="I932" i="22"/>
  <c r="I933" i="22"/>
  <c r="I934" i="22"/>
  <c r="I935" i="22"/>
  <c r="I936" i="22"/>
  <c r="I937" i="22"/>
  <c r="I938" i="22"/>
  <c r="I939" i="22"/>
  <c r="I940" i="22"/>
  <c r="I941" i="22"/>
  <c r="I942" i="22"/>
  <c r="I943" i="22"/>
  <c r="I944" i="22"/>
  <c r="I945" i="22"/>
  <c r="I946" i="22"/>
  <c r="I947" i="22"/>
  <c r="I948" i="22"/>
  <c r="I949" i="22"/>
  <c r="I950" i="22"/>
  <c r="I951" i="22"/>
  <c r="I952" i="22"/>
  <c r="I953" i="22"/>
  <c r="I954" i="22"/>
  <c r="I955" i="22"/>
  <c r="I956" i="22"/>
  <c r="I957" i="22"/>
  <c r="I958" i="22"/>
  <c r="I959" i="22"/>
  <c r="I960" i="22"/>
  <c r="I961" i="22"/>
  <c r="I962" i="22"/>
  <c r="I963" i="22"/>
  <c r="I964" i="22"/>
  <c r="I965" i="22"/>
  <c r="I966" i="22"/>
  <c r="I967" i="22"/>
  <c r="I968" i="22"/>
  <c r="I969" i="22"/>
  <c r="I970" i="22"/>
  <c r="I971" i="22"/>
  <c r="I972" i="22"/>
  <c r="I973" i="22"/>
  <c r="I974" i="22"/>
  <c r="I975" i="22"/>
  <c r="I976" i="22"/>
  <c r="I977" i="22"/>
  <c r="I978" i="22"/>
  <c r="I979" i="22"/>
  <c r="I980" i="22"/>
  <c r="I981" i="22"/>
  <c r="I982" i="22"/>
  <c r="I983" i="22"/>
  <c r="I984" i="22"/>
  <c r="I985" i="22"/>
  <c r="I986" i="22"/>
  <c r="I987" i="22"/>
  <c r="I988" i="22"/>
  <c r="I989" i="22"/>
  <c r="I990" i="22"/>
  <c r="I991" i="22"/>
  <c r="I992" i="22"/>
  <c r="I993" i="22"/>
  <c r="I994" i="22"/>
  <c r="I995" i="22"/>
  <c r="I996" i="22"/>
  <c r="I997" i="22"/>
  <c r="I998" i="22"/>
  <c r="I999" i="22"/>
  <c r="I1000" i="22"/>
  <c r="I1001" i="22"/>
  <c r="I1002" i="22"/>
  <c r="I1003" i="22"/>
  <c r="I1004" i="22"/>
  <c r="I1005" i="22"/>
  <c r="I1006" i="22"/>
  <c r="I1007" i="22"/>
  <c r="I1008" i="22"/>
  <c r="I1009" i="22"/>
  <c r="I1010" i="22"/>
  <c r="I1011" i="22"/>
  <c r="I1012" i="22"/>
  <c r="I1013" i="22"/>
  <c r="I1014" i="22"/>
  <c r="I1015" i="22"/>
  <c r="I1016" i="22"/>
  <c r="I1017" i="22"/>
  <c r="I1018" i="22"/>
  <c r="I1019" i="22"/>
  <c r="I1020" i="22"/>
  <c r="I1021" i="22"/>
  <c r="I1022" i="22"/>
  <c r="I1023" i="22"/>
  <c r="I1024" i="22"/>
  <c r="I1025" i="22"/>
  <c r="I1026" i="22"/>
  <c r="I1027" i="22"/>
  <c r="I1028" i="22"/>
  <c r="I1029" i="22"/>
  <c r="I1030" i="22"/>
  <c r="I1031" i="22"/>
  <c r="I1032" i="22"/>
  <c r="I1033" i="22"/>
  <c r="I1034" i="22"/>
  <c r="I1035" i="22"/>
  <c r="I1036" i="22"/>
  <c r="I1037" i="22"/>
  <c r="I1038" i="22"/>
  <c r="I1039" i="22"/>
  <c r="I1040" i="22"/>
  <c r="I1041" i="22"/>
  <c r="I1042" i="22"/>
  <c r="I1043" i="22"/>
  <c r="I1044" i="22"/>
  <c r="I1045" i="22"/>
  <c r="I1046" i="22"/>
  <c r="I1047" i="22"/>
  <c r="I1048" i="22"/>
  <c r="I1049" i="22"/>
  <c r="I1050" i="22"/>
  <c r="I1051" i="22"/>
  <c r="I1052" i="22"/>
  <c r="I1053" i="22"/>
  <c r="I1054" i="22"/>
  <c r="I1055" i="22"/>
  <c r="I1056" i="22"/>
  <c r="I1057" i="22"/>
  <c r="I1058" i="22"/>
  <c r="I1059" i="22"/>
  <c r="I1060" i="22"/>
  <c r="I1061" i="22"/>
  <c r="I1062" i="22"/>
  <c r="I1063" i="22"/>
  <c r="I1064" i="22"/>
  <c r="I1065" i="22"/>
  <c r="I1066" i="22"/>
  <c r="I1067" i="22"/>
  <c r="I1068" i="22"/>
  <c r="I1069" i="22"/>
  <c r="I1070" i="22"/>
  <c r="I1071" i="22"/>
  <c r="I1072" i="22"/>
  <c r="I1073" i="22"/>
  <c r="I1074" i="22"/>
  <c r="I1075" i="22"/>
  <c r="I1076" i="22"/>
  <c r="I1077" i="22"/>
  <c r="I1078" i="22"/>
  <c r="I1079" i="22"/>
  <c r="I1080" i="22"/>
  <c r="I1081" i="22"/>
  <c r="I1082" i="22"/>
  <c r="I1083" i="22"/>
  <c r="I1084" i="22"/>
  <c r="I1085" i="22"/>
  <c r="I1086" i="22"/>
  <c r="I1087" i="22"/>
  <c r="I1088" i="22"/>
  <c r="I1089" i="22"/>
  <c r="I1090" i="22"/>
  <c r="I1091" i="22"/>
  <c r="I1092" i="22"/>
  <c r="I1093" i="22"/>
  <c r="I1094" i="22"/>
  <c r="I1095" i="22"/>
  <c r="I1096" i="22"/>
  <c r="I1097" i="22"/>
  <c r="I1098" i="22"/>
  <c r="I1099" i="22"/>
  <c r="I1100" i="22"/>
  <c r="I1101" i="22"/>
  <c r="I1102" i="22"/>
  <c r="I1103" i="22"/>
  <c r="I1104" i="22"/>
  <c r="I1105" i="22"/>
  <c r="I1106" i="22"/>
  <c r="I1107" i="22"/>
  <c r="I1108" i="22"/>
  <c r="I1109" i="22"/>
  <c r="I1110" i="22"/>
  <c r="I1111" i="22"/>
  <c r="I1112" i="22"/>
  <c r="I1113" i="22"/>
  <c r="I1114" i="22"/>
  <c r="I1115" i="22"/>
  <c r="I1116" i="22"/>
  <c r="I1117" i="22"/>
  <c r="I1118" i="22"/>
  <c r="I1119" i="22"/>
  <c r="I1120" i="22"/>
  <c r="I1121" i="22"/>
  <c r="I1122" i="22"/>
  <c r="I1123" i="22"/>
  <c r="I1124" i="22"/>
  <c r="I1125" i="22"/>
  <c r="I1126" i="22"/>
  <c r="I1127" i="22"/>
  <c r="I1128" i="22"/>
  <c r="I1129" i="22"/>
  <c r="I1130" i="22"/>
  <c r="I1131" i="22"/>
  <c r="I1132" i="22"/>
  <c r="I1133" i="22"/>
  <c r="I1134" i="22"/>
  <c r="I1135" i="22"/>
  <c r="I1136" i="22"/>
  <c r="I1137" i="22"/>
  <c r="I1138" i="22"/>
  <c r="I1139" i="22"/>
  <c r="I1140" i="22"/>
  <c r="I1141" i="22"/>
  <c r="I1142" i="22"/>
  <c r="I1143" i="22"/>
  <c r="I1144" i="22"/>
  <c r="I1145" i="22"/>
  <c r="I1146" i="22"/>
  <c r="I1147" i="22"/>
  <c r="I1148" i="22"/>
  <c r="I1149" i="22"/>
  <c r="I1150" i="22"/>
  <c r="I1151" i="22"/>
  <c r="I1152" i="22"/>
  <c r="I1153" i="22"/>
  <c r="I1154" i="22"/>
  <c r="I1155" i="22"/>
  <c r="I1156" i="22"/>
  <c r="I1157" i="22"/>
  <c r="I1158" i="22"/>
  <c r="I1159" i="22"/>
  <c r="I1160" i="22"/>
  <c r="I1161" i="22"/>
  <c r="I1162" i="22"/>
  <c r="I1163" i="22"/>
  <c r="I1164" i="22"/>
  <c r="I1165" i="22"/>
  <c r="I1166" i="22"/>
  <c r="I1167" i="22"/>
  <c r="I1168" i="22"/>
  <c r="I1169" i="22"/>
  <c r="I1170" i="22"/>
  <c r="I1171" i="22"/>
  <c r="I1172" i="22"/>
  <c r="I1173" i="22"/>
  <c r="I1174" i="22"/>
  <c r="I1175" i="22"/>
  <c r="I1176" i="22"/>
  <c r="I1177" i="22"/>
  <c r="I1178" i="22"/>
  <c r="I1179" i="22"/>
  <c r="I1180" i="22"/>
  <c r="I1181" i="22"/>
  <c r="I1182" i="22"/>
  <c r="I1183" i="22"/>
  <c r="I1184" i="22"/>
  <c r="I1185" i="22"/>
  <c r="I1186" i="22"/>
  <c r="I1187" i="22"/>
  <c r="I1188" i="22"/>
  <c r="I1189" i="22"/>
  <c r="I1190" i="22"/>
  <c r="I1191" i="22"/>
  <c r="I1192" i="22"/>
  <c r="I1193" i="22"/>
  <c r="I1194" i="22"/>
  <c r="I1195" i="22"/>
  <c r="I1196" i="22"/>
  <c r="I1197" i="22"/>
  <c r="I1198" i="22"/>
  <c r="I1199" i="22"/>
  <c r="I1200" i="22"/>
  <c r="I1201" i="22"/>
  <c r="I1202" i="22"/>
  <c r="I1203" i="22"/>
  <c r="I1204" i="22"/>
  <c r="I1205" i="22"/>
  <c r="I1206" i="22"/>
  <c r="I1207" i="22"/>
  <c r="I1208" i="22"/>
  <c r="I1209" i="22"/>
  <c r="I1210" i="22"/>
  <c r="I1211" i="22"/>
  <c r="I1212" i="22"/>
  <c r="I1213" i="22"/>
  <c r="I1214" i="22"/>
  <c r="I1215" i="22"/>
  <c r="I1216" i="22"/>
  <c r="I1217" i="22"/>
  <c r="I1218" i="22"/>
  <c r="I1219" i="22"/>
  <c r="I1220" i="22"/>
  <c r="I1221" i="22"/>
  <c r="I1222" i="22"/>
  <c r="I1223" i="22"/>
  <c r="I1224" i="22"/>
  <c r="I1225" i="22"/>
  <c r="I1226" i="22"/>
  <c r="I1227" i="22"/>
  <c r="I1228" i="22"/>
  <c r="I1229" i="22"/>
  <c r="I1230" i="22"/>
  <c r="I1231" i="22"/>
  <c r="I1232" i="22"/>
  <c r="I1233" i="22"/>
  <c r="I1234" i="22"/>
  <c r="I1235" i="22"/>
  <c r="I1236" i="22"/>
  <c r="I1237" i="22"/>
  <c r="I1238" i="22"/>
  <c r="I1239" i="22"/>
  <c r="I1240" i="22"/>
  <c r="I1241" i="22"/>
  <c r="I1242" i="22"/>
  <c r="I1243" i="22"/>
  <c r="I1244" i="22"/>
  <c r="I1245" i="22"/>
  <c r="I1246" i="22"/>
  <c r="I1247" i="22"/>
  <c r="I1248" i="22"/>
  <c r="I1249" i="22"/>
  <c r="I1250" i="22"/>
  <c r="I1251" i="22"/>
  <c r="I1252" i="22"/>
  <c r="I1253" i="22"/>
  <c r="I1254" i="22"/>
  <c r="I1255" i="22"/>
  <c r="I1256" i="22"/>
  <c r="I1257" i="22"/>
  <c r="I1258" i="22"/>
  <c r="I1259" i="22"/>
  <c r="I1260" i="22"/>
  <c r="I1261" i="22"/>
  <c r="I1262" i="22"/>
  <c r="I1263" i="22"/>
  <c r="I1264" i="22"/>
  <c r="I1265" i="22"/>
  <c r="I1266" i="22"/>
  <c r="I1267" i="22"/>
  <c r="I1268" i="22"/>
  <c r="I1269" i="22"/>
  <c r="I1270" i="22"/>
  <c r="I1271" i="22"/>
  <c r="I1272" i="22"/>
  <c r="I1273" i="22"/>
  <c r="I1274" i="22"/>
  <c r="I1275" i="22"/>
  <c r="I1276" i="22"/>
  <c r="I1277" i="22"/>
  <c r="I1278" i="22"/>
  <c r="I1279" i="22"/>
  <c r="I1280" i="22"/>
  <c r="I1281" i="22"/>
  <c r="I1282" i="22"/>
  <c r="I1283" i="22"/>
  <c r="I1284" i="22"/>
  <c r="I1285" i="22"/>
  <c r="I1286" i="22"/>
  <c r="I1287" i="22"/>
  <c r="I1288" i="22"/>
  <c r="I1289" i="22"/>
  <c r="I1290" i="22"/>
  <c r="I1291" i="22"/>
  <c r="I1292" i="22"/>
  <c r="I1293" i="22"/>
  <c r="I1294" i="22"/>
  <c r="I1295" i="22"/>
  <c r="I1296" i="22"/>
  <c r="I1297" i="22"/>
  <c r="I1298" i="22"/>
  <c r="I1299" i="22"/>
  <c r="I1300" i="22"/>
  <c r="I1301" i="22"/>
  <c r="I1302" i="22"/>
  <c r="I1303" i="22"/>
  <c r="I1304" i="22"/>
  <c r="I1305" i="22"/>
  <c r="I1306" i="22"/>
  <c r="I1307" i="22"/>
  <c r="I1308" i="22"/>
  <c r="I1309" i="22"/>
  <c r="I1310" i="22"/>
  <c r="I1311" i="22"/>
  <c r="I1312" i="22"/>
  <c r="I1313" i="22"/>
  <c r="I1314" i="22"/>
  <c r="I1315" i="22"/>
  <c r="I1316" i="22"/>
  <c r="I1317" i="22"/>
  <c r="I1318" i="22"/>
  <c r="I1319" i="22"/>
  <c r="I1320" i="22"/>
  <c r="I1321" i="22"/>
  <c r="I1322" i="22"/>
  <c r="I1323" i="22"/>
  <c r="I1324" i="22"/>
  <c r="I1325" i="22"/>
  <c r="I1326" i="22"/>
  <c r="I1327" i="22"/>
  <c r="I1328" i="22"/>
  <c r="I1329" i="22"/>
  <c r="I1330" i="22"/>
  <c r="I1331" i="22"/>
  <c r="I1332" i="22"/>
  <c r="I1333" i="22"/>
  <c r="I1334" i="22"/>
  <c r="I1335" i="22"/>
  <c r="I1336" i="22"/>
  <c r="I1337" i="22"/>
  <c r="I1338" i="22"/>
  <c r="I1339" i="22"/>
  <c r="I1340" i="22"/>
  <c r="I1341" i="22"/>
  <c r="I1342" i="22"/>
  <c r="I1343" i="22"/>
  <c r="I1344" i="22"/>
  <c r="I1345" i="22"/>
  <c r="I1346" i="22"/>
  <c r="I1347" i="22"/>
  <c r="I1348" i="22"/>
  <c r="I1349" i="22"/>
  <c r="I1350" i="22"/>
  <c r="I1351" i="22"/>
  <c r="I1352" i="22"/>
  <c r="I1353" i="22"/>
  <c r="I1354" i="22"/>
  <c r="I1355" i="22"/>
  <c r="I1356" i="22"/>
  <c r="I1357" i="22"/>
  <c r="I1358" i="22"/>
  <c r="I1359" i="22"/>
  <c r="I1360" i="22"/>
  <c r="I1361" i="22"/>
  <c r="I1362" i="22"/>
  <c r="I1363" i="22"/>
  <c r="I1364" i="22"/>
  <c r="I1365" i="22"/>
  <c r="I1366" i="22"/>
  <c r="I1367" i="22"/>
  <c r="I1368" i="22"/>
  <c r="I1369" i="22"/>
  <c r="I1370" i="22"/>
  <c r="I1371" i="22"/>
  <c r="I1372" i="22"/>
  <c r="I1373" i="22"/>
  <c r="I1374" i="22"/>
  <c r="I1375" i="22"/>
  <c r="I1376" i="22"/>
  <c r="I1377" i="22"/>
  <c r="I1378" i="22"/>
  <c r="I1379" i="22"/>
  <c r="I1380" i="22"/>
  <c r="I1381" i="22"/>
  <c r="I1382" i="22"/>
  <c r="I1383" i="22"/>
  <c r="I1384" i="22"/>
  <c r="I1385" i="22"/>
  <c r="I1386" i="22"/>
  <c r="I1387" i="22"/>
  <c r="I1388" i="22"/>
  <c r="I1389" i="22"/>
  <c r="I1390" i="22"/>
  <c r="I1391" i="22"/>
  <c r="I1392" i="22"/>
  <c r="I1393" i="22"/>
  <c r="I1394" i="22"/>
  <c r="I1395" i="22"/>
  <c r="I1396" i="22"/>
  <c r="I1397" i="22"/>
  <c r="I1398" i="22"/>
  <c r="I1399" i="22"/>
  <c r="I1400" i="22"/>
  <c r="I1401" i="22"/>
  <c r="I1402" i="22"/>
  <c r="I1403" i="22"/>
  <c r="I1404" i="22"/>
  <c r="I1405" i="22"/>
  <c r="I1406" i="22"/>
  <c r="I1407" i="22"/>
  <c r="I1408" i="22"/>
  <c r="I1409" i="22"/>
  <c r="I1410" i="22"/>
  <c r="I1411" i="22"/>
  <c r="I1412" i="22"/>
  <c r="I1413" i="22"/>
  <c r="I1414" i="22"/>
  <c r="I1415" i="22"/>
  <c r="I1416" i="22"/>
  <c r="I1417" i="22"/>
  <c r="I1418" i="22"/>
  <c r="I1419" i="22"/>
  <c r="I1420" i="22"/>
  <c r="I1421" i="22"/>
  <c r="I1422" i="22"/>
  <c r="I1423" i="22"/>
  <c r="I1424" i="22"/>
  <c r="I1425" i="22"/>
  <c r="I1426" i="22"/>
  <c r="I1427" i="22"/>
  <c r="I1428" i="22"/>
  <c r="I1429" i="22"/>
  <c r="I1430" i="22"/>
  <c r="I1431" i="22"/>
  <c r="I1432" i="22"/>
  <c r="I1433" i="22"/>
  <c r="I1434" i="22"/>
  <c r="I1435" i="22"/>
  <c r="I1436" i="22"/>
  <c r="I1437" i="22"/>
  <c r="I1438" i="22"/>
  <c r="I1439" i="22"/>
  <c r="I1440" i="22"/>
  <c r="I1441" i="22"/>
  <c r="I1442" i="22"/>
  <c r="I1443" i="22"/>
  <c r="I1444" i="22"/>
  <c r="I1445" i="22"/>
  <c r="I1446" i="22"/>
  <c r="I1447" i="22"/>
  <c r="I1448" i="22"/>
  <c r="I1449" i="22"/>
  <c r="I1450" i="22"/>
  <c r="I1451" i="22"/>
  <c r="I1452" i="22"/>
  <c r="I1453" i="22"/>
  <c r="I1454" i="22"/>
  <c r="I1455" i="22"/>
  <c r="I1456" i="22"/>
  <c r="I1457" i="22"/>
  <c r="I1458" i="22"/>
  <c r="I1459" i="22"/>
  <c r="I1460" i="22"/>
  <c r="I1461" i="22"/>
  <c r="I1462" i="22"/>
  <c r="I1463" i="22"/>
  <c r="I1464" i="22"/>
  <c r="I1465" i="22"/>
  <c r="I1466" i="22"/>
  <c r="I1467" i="22"/>
  <c r="I1468" i="22"/>
  <c r="I1469" i="22"/>
  <c r="I1470" i="22"/>
  <c r="I1471" i="22"/>
  <c r="I1472" i="22"/>
  <c r="I1473" i="22"/>
  <c r="I1474" i="22"/>
  <c r="I1475" i="22"/>
  <c r="I1476" i="22"/>
  <c r="I1477" i="22"/>
  <c r="I1478" i="22"/>
  <c r="I1479" i="22"/>
  <c r="I1480" i="22"/>
  <c r="I1481" i="22"/>
  <c r="I1482" i="22"/>
  <c r="I1483" i="22"/>
  <c r="I1484" i="22"/>
  <c r="I1485" i="22"/>
  <c r="I1486" i="22"/>
  <c r="I1487" i="22"/>
  <c r="I1488" i="22"/>
  <c r="I1489" i="22"/>
  <c r="I1490" i="22"/>
  <c r="I1491" i="22"/>
  <c r="I1492" i="22"/>
  <c r="I1493" i="22"/>
  <c r="I1494" i="22"/>
  <c r="I1495" i="22"/>
  <c r="I1496" i="22"/>
  <c r="I1497" i="22"/>
  <c r="I1498" i="22"/>
  <c r="I1499" i="22"/>
  <c r="I1500" i="22"/>
  <c r="I1501" i="22"/>
  <c r="I1502" i="22"/>
  <c r="I1503" i="22"/>
  <c r="I1504" i="22"/>
  <c r="I1505" i="22"/>
  <c r="I1506" i="22"/>
  <c r="I1507" i="22"/>
  <c r="I1508" i="22"/>
  <c r="I1509" i="22"/>
  <c r="I1510" i="22"/>
  <c r="I1511" i="22"/>
  <c r="I1512" i="22"/>
  <c r="I1513" i="22"/>
  <c r="I1514" i="22"/>
  <c r="I1515" i="22"/>
  <c r="I1516" i="22"/>
  <c r="I1517" i="22"/>
  <c r="I1518" i="22"/>
  <c r="I1519" i="22"/>
  <c r="I1520" i="22"/>
  <c r="I1521" i="22"/>
  <c r="I1522" i="22"/>
  <c r="I1523" i="22"/>
  <c r="I1524" i="22"/>
  <c r="I1525" i="22"/>
  <c r="I1526" i="22"/>
  <c r="I1527" i="22"/>
  <c r="I1528" i="22"/>
  <c r="I1529" i="22"/>
  <c r="I1530" i="22"/>
  <c r="I1531" i="22"/>
  <c r="I1532" i="22"/>
  <c r="I1533" i="22"/>
  <c r="I1534" i="22"/>
  <c r="I1535" i="22"/>
  <c r="I1536" i="22"/>
  <c r="I1537" i="22"/>
  <c r="I1538" i="22"/>
  <c r="I1539" i="22"/>
  <c r="I1540" i="22"/>
  <c r="I1541" i="22"/>
  <c r="I1542" i="22"/>
  <c r="I1543" i="22"/>
  <c r="I1544" i="22"/>
  <c r="I1545" i="22"/>
  <c r="I1546" i="22"/>
  <c r="I1547" i="22"/>
  <c r="I1548" i="22"/>
  <c r="I1549" i="22"/>
  <c r="I1550" i="22"/>
  <c r="I1551" i="22"/>
  <c r="I1552" i="22"/>
  <c r="I1553" i="22"/>
  <c r="I1554" i="22"/>
  <c r="I1555" i="22"/>
  <c r="I1556" i="22"/>
  <c r="I1557" i="22"/>
  <c r="I1558" i="22"/>
  <c r="I1559" i="22"/>
  <c r="I1560" i="22"/>
  <c r="I1561" i="22"/>
  <c r="I1562" i="22"/>
  <c r="I1563" i="22"/>
  <c r="I1564" i="22"/>
  <c r="I1565" i="22"/>
  <c r="I1566" i="22"/>
  <c r="I1567" i="22"/>
  <c r="I1568" i="22"/>
  <c r="I1569" i="22"/>
  <c r="I1570" i="22"/>
  <c r="I1571" i="22"/>
  <c r="I1572" i="22"/>
  <c r="I1573" i="22"/>
  <c r="I1574" i="22"/>
  <c r="I1575" i="22"/>
  <c r="I1576" i="22"/>
  <c r="I1577" i="22"/>
  <c r="I1578" i="22"/>
  <c r="I1579" i="22"/>
  <c r="I1580" i="22"/>
  <c r="I1581" i="22"/>
  <c r="I1582" i="22"/>
  <c r="I1583" i="22"/>
  <c r="I1584" i="22"/>
  <c r="I1585" i="22"/>
  <c r="I1586" i="22"/>
  <c r="I1587" i="22"/>
  <c r="I1588" i="22"/>
  <c r="I1589" i="22"/>
  <c r="I1590" i="22"/>
  <c r="I1591" i="22"/>
  <c r="I1592" i="22"/>
  <c r="I1593" i="22"/>
  <c r="I1594" i="22"/>
  <c r="I1595" i="22"/>
  <c r="I1596" i="22"/>
  <c r="I1597" i="22"/>
  <c r="I1598" i="22"/>
  <c r="I1599" i="22"/>
  <c r="I1600" i="22"/>
  <c r="I1601" i="22"/>
  <c r="I1602" i="22"/>
  <c r="I1603" i="22"/>
  <c r="I1604" i="22"/>
  <c r="I1605" i="22"/>
  <c r="I1606" i="22"/>
  <c r="I1607" i="22"/>
  <c r="I1608" i="22"/>
  <c r="I1609" i="22"/>
  <c r="I1610" i="22"/>
  <c r="I1611" i="22"/>
  <c r="I1612" i="22"/>
  <c r="I1613" i="22"/>
  <c r="I1614" i="22"/>
  <c r="I1615" i="22"/>
  <c r="I1616" i="22"/>
  <c r="I1617" i="22"/>
  <c r="I1618" i="22"/>
  <c r="I1619" i="22"/>
  <c r="I1620" i="22"/>
  <c r="I1621" i="22"/>
  <c r="I1622" i="22"/>
  <c r="I1623" i="22"/>
  <c r="I1624" i="22"/>
  <c r="I1625" i="22"/>
  <c r="I1626" i="22"/>
  <c r="I1627" i="22"/>
  <c r="I1628" i="22"/>
  <c r="I1629" i="22"/>
  <c r="I1630" i="22"/>
  <c r="I1631" i="22"/>
  <c r="I1632" i="22"/>
  <c r="I1633" i="22"/>
  <c r="I1634" i="22"/>
  <c r="I1635" i="22"/>
  <c r="I1636" i="22"/>
  <c r="I1637" i="22"/>
  <c r="I1638" i="22"/>
  <c r="I1639" i="22"/>
  <c r="I1640" i="22"/>
  <c r="I1641" i="22"/>
  <c r="I1642" i="22"/>
  <c r="I1643" i="22"/>
  <c r="I1644" i="22"/>
  <c r="I1645" i="22"/>
  <c r="I1646" i="22"/>
  <c r="I1647" i="22"/>
  <c r="I1648" i="22"/>
  <c r="I1649" i="22"/>
  <c r="I1650" i="22"/>
  <c r="I1651" i="22"/>
  <c r="I1652" i="22"/>
  <c r="I1653" i="22"/>
  <c r="I1654" i="22"/>
  <c r="I1655" i="22"/>
  <c r="I1656" i="22"/>
  <c r="I1657" i="22"/>
  <c r="I1658" i="22"/>
  <c r="I1659" i="22"/>
  <c r="I1660" i="22"/>
  <c r="I1661" i="22"/>
  <c r="I1662" i="22"/>
  <c r="I1663" i="22"/>
  <c r="I1664" i="22"/>
  <c r="I1665" i="22"/>
  <c r="I1666" i="22"/>
  <c r="I1667" i="22"/>
  <c r="I1668" i="22"/>
  <c r="I1669" i="22"/>
  <c r="I1670" i="22"/>
  <c r="I1671" i="22"/>
  <c r="I1672" i="22"/>
  <c r="I1673" i="22"/>
  <c r="I1674" i="22"/>
  <c r="I1675" i="22"/>
  <c r="I1676" i="22"/>
  <c r="I1677" i="22"/>
  <c r="I1678" i="22"/>
  <c r="I1679" i="22"/>
  <c r="I1680" i="22"/>
  <c r="I1681" i="22"/>
  <c r="I1682" i="22"/>
  <c r="I1683" i="22"/>
  <c r="I1684" i="22"/>
  <c r="I1685" i="22"/>
  <c r="I1686" i="22"/>
  <c r="I1687" i="22"/>
  <c r="I1688" i="22"/>
  <c r="I1689" i="22"/>
  <c r="I1690" i="22"/>
  <c r="I1691" i="22"/>
  <c r="I1692" i="22"/>
  <c r="I1693" i="22"/>
  <c r="I1694" i="22"/>
  <c r="I1695" i="22"/>
  <c r="I1696" i="22"/>
  <c r="I1697" i="22"/>
  <c r="I1698" i="22"/>
  <c r="I1699" i="22"/>
  <c r="I1700" i="22"/>
  <c r="I1701" i="22"/>
  <c r="I1702" i="22"/>
  <c r="I1703" i="22"/>
  <c r="I1704" i="22"/>
  <c r="I1705" i="22"/>
  <c r="I1706" i="22"/>
  <c r="I1707" i="22"/>
  <c r="I1708" i="22"/>
  <c r="I1709" i="22"/>
  <c r="I1710" i="22"/>
  <c r="I1711" i="22"/>
  <c r="I1712" i="22"/>
  <c r="I1713" i="22"/>
  <c r="I1714" i="22"/>
  <c r="I1715" i="22"/>
  <c r="I1716" i="22"/>
  <c r="I1717" i="22"/>
  <c r="I1718" i="22"/>
  <c r="I1719" i="22"/>
  <c r="I1720" i="22"/>
  <c r="I1721" i="22"/>
  <c r="I1722" i="22"/>
  <c r="I1723" i="22"/>
  <c r="I1724" i="22"/>
  <c r="I1725" i="22"/>
  <c r="I1726" i="22"/>
  <c r="I1727" i="22"/>
  <c r="I1728" i="22"/>
  <c r="I1729" i="22"/>
  <c r="I1730" i="22"/>
  <c r="I1731" i="22"/>
  <c r="I1732" i="22"/>
  <c r="I1733" i="22"/>
  <c r="I1734" i="22"/>
  <c r="I1735" i="22"/>
  <c r="I1736" i="22"/>
  <c r="I1737" i="22"/>
  <c r="I1738" i="22"/>
  <c r="I1739" i="22"/>
  <c r="I1740" i="22"/>
  <c r="I1741" i="22"/>
  <c r="I1742" i="22"/>
  <c r="I1743" i="22"/>
  <c r="I1744" i="22"/>
  <c r="I1745" i="22"/>
  <c r="I1746" i="22"/>
  <c r="I1747" i="22"/>
  <c r="I1748" i="22"/>
  <c r="I1749" i="22"/>
  <c r="I1750" i="22"/>
  <c r="I1751" i="22"/>
  <c r="I1752" i="22"/>
  <c r="I1753" i="22"/>
  <c r="I1754" i="22"/>
  <c r="I1755" i="22"/>
  <c r="I1756" i="22"/>
  <c r="I1757" i="22"/>
  <c r="I1758" i="22"/>
  <c r="I1759" i="22"/>
  <c r="I1760" i="22"/>
  <c r="I1761" i="22"/>
  <c r="I1762" i="22"/>
  <c r="I1763" i="22"/>
  <c r="I1764" i="22"/>
  <c r="I1765" i="22"/>
  <c r="I1766" i="22"/>
  <c r="I1767" i="22"/>
  <c r="I1768" i="22"/>
  <c r="I1769" i="22"/>
  <c r="I1770" i="22"/>
  <c r="I1771" i="22"/>
  <c r="I1772" i="22"/>
  <c r="I1773" i="22"/>
  <c r="I1774" i="22"/>
  <c r="I1775" i="22"/>
  <c r="I1776" i="22"/>
  <c r="I1777" i="22"/>
  <c r="I1778" i="22"/>
  <c r="I1779" i="22"/>
  <c r="I1780" i="22"/>
  <c r="I1781" i="22"/>
  <c r="I1782" i="22"/>
  <c r="I1783" i="22"/>
  <c r="I1784" i="22"/>
  <c r="I1785" i="22"/>
  <c r="I1786" i="22"/>
  <c r="I1787" i="22"/>
  <c r="I1788" i="22"/>
  <c r="I1789" i="22"/>
  <c r="I1790" i="22"/>
  <c r="I1791" i="22"/>
  <c r="I1792" i="22"/>
  <c r="I1793" i="22"/>
  <c r="I1794" i="22"/>
  <c r="I1795" i="22"/>
  <c r="I1796" i="22"/>
  <c r="I1797" i="22"/>
  <c r="I1798" i="22"/>
  <c r="I1799" i="22"/>
  <c r="I1800" i="22"/>
  <c r="I1801" i="22"/>
  <c r="I1802" i="22"/>
  <c r="I1803" i="22"/>
  <c r="I1804" i="22"/>
  <c r="I1805" i="22"/>
  <c r="I1806" i="22"/>
  <c r="I1807" i="22"/>
  <c r="I1808" i="22"/>
  <c r="I1809" i="22"/>
  <c r="I1810" i="22"/>
  <c r="I1811" i="22"/>
  <c r="I1812" i="22"/>
  <c r="I1813" i="22"/>
  <c r="I1814" i="22"/>
  <c r="I1815" i="22"/>
  <c r="I1816" i="22"/>
  <c r="I1817" i="22"/>
  <c r="I1818" i="22"/>
  <c r="I1819" i="22"/>
  <c r="I1820" i="22"/>
  <c r="I1821" i="22"/>
  <c r="I1822" i="22"/>
  <c r="I1823" i="22"/>
  <c r="I1824" i="22"/>
  <c r="I1825" i="22"/>
  <c r="I1826" i="22"/>
  <c r="I1827" i="22"/>
  <c r="I1828" i="22"/>
  <c r="I1829" i="22"/>
  <c r="I1830" i="22"/>
  <c r="I1831" i="22"/>
  <c r="I1832" i="22"/>
  <c r="I1833" i="22"/>
  <c r="I1834" i="22"/>
  <c r="I1835" i="22"/>
  <c r="I1836" i="22"/>
  <c r="I1837" i="22"/>
  <c r="I1838" i="22"/>
  <c r="I1839" i="22"/>
  <c r="I1840" i="22"/>
  <c r="I1841" i="22"/>
  <c r="I1842" i="22"/>
  <c r="I1843" i="22"/>
  <c r="I1844" i="22"/>
  <c r="I1845" i="22"/>
  <c r="I1846" i="22"/>
  <c r="I1847" i="22"/>
  <c r="I1848" i="22"/>
  <c r="I1849" i="22"/>
  <c r="I1850" i="22"/>
  <c r="I1851" i="22"/>
  <c r="I1852" i="22"/>
  <c r="I1853" i="22"/>
  <c r="I1854" i="22"/>
  <c r="I1855" i="22"/>
  <c r="I1856" i="22"/>
  <c r="I1857" i="22"/>
  <c r="I1858" i="22"/>
  <c r="I1859" i="22"/>
  <c r="I1860" i="22"/>
  <c r="I1861" i="22"/>
  <c r="I1862" i="22"/>
  <c r="I1863" i="22"/>
  <c r="I1864" i="22"/>
  <c r="I1865" i="22"/>
  <c r="I1866" i="22"/>
  <c r="I1867" i="22"/>
  <c r="I1868" i="22"/>
  <c r="I1869" i="22"/>
  <c r="I1870" i="22"/>
  <c r="I1871" i="22"/>
  <c r="I1872" i="22"/>
  <c r="I1873" i="22"/>
  <c r="I1874" i="22"/>
  <c r="I1875" i="22"/>
  <c r="I1876" i="22"/>
  <c r="I1877" i="22"/>
  <c r="I1878" i="22"/>
  <c r="I1879" i="22"/>
  <c r="I1880" i="22"/>
  <c r="I1881" i="22"/>
  <c r="I1882" i="22"/>
  <c r="I1883" i="22"/>
  <c r="I1884" i="22"/>
  <c r="I1885" i="22"/>
  <c r="I1886" i="22"/>
  <c r="I1887" i="22"/>
  <c r="I1888" i="22"/>
  <c r="I1889" i="22"/>
  <c r="I1890" i="22"/>
  <c r="I1891" i="22"/>
  <c r="I1892" i="22"/>
  <c r="I1893" i="22"/>
  <c r="I1894" i="22"/>
  <c r="I1895" i="22"/>
  <c r="I1896" i="22"/>
  <c r="I1897" i="22"/>
  <c r="I1898" i="22"/>
  <c r="I1899" i="22"/>
  <c r="I1900" i="22"/>
  <c r="I1901" i="22"/>
  <c r="I1902" i="22"/>
  <c r="I1903" i="22"/>
  <c r="I1904" i="22"/>
  <c r="I1905" i="22"/>
  <c r="I1906" i="22"/>
  <c r="I1907" i="22"/>
  <c r="I1908" i="22"/>
  <c r="I1909" i="22"/>
  <c r="I1910" i="22"/>
  <c r="I1911" i="22"/>
  <c r="I1912" i="22"/>
  <c r="I1913" i="22"/>
  <c r="I1914" i="22"/>
  <c r="I1915" i="22"/>
  <c r="I1916" i="22"/>
  <c r="I1917" i="22"/>
  <c r="I1918" i="22"/>
  <c r="I1919" i="22"/>
  <c r="I1920" i="22"/>
  <c r="I1921" i="22"/>
  <c r="I1922" i="22"/>
  <c r="I1923" i="22"/>
  <c r="I1924" i="22"/>
  <c r="I1925" i="22"/>
  <c r="I1926" i="22"/>
  <c r="I1927" i="22"/>
  <c r="I1928" i="22"/>
  <c r="I1929" i="22"/>
  <c r="I1930" i="22"/>
  <c r="I1931" i="22"/>
  <c r="I1932" i="22"/>
  <c r="I1933" i="22"/>
  <c r="I1934" i="22"/>
  <c r="I1935" i="22"/>
  <c r="I1936" i="22"/>
  <c r="I1937" i="22"/>
  <c r="I1938" i="22"/>
  <c r="I1939" i="22"/>
  <c r="I1940" i="22"/>
  <c r="I1941" i="22"/>
  <c r="I1942" i="22"/>
  <c r="I1943" i="22"/>
  <c r="I1944" i="22"/>
  <c r="I1945" i="22"/>
  <c r="I1946" i="22"/>
  <c r="I1947" i="22"/>
  <c r="I1948" i="22"/>
  <c r="I1949" i="22"/>
  <c r="I1950" i="22"/>
  <c r="I1951" i="22"/>
  <c r="I1952" i="22"/>
  <c r="I1953" i="22"/>
  <c r="I1954" i="22"/>
  <c r="I1955" i="22"/>
  <c r="I1956" i="22"/>
  <c r="I1957" i="22"/>
  <c r="I1958" i="22"/>
  <c r="I1959" i="22"/>
  <c r="I1960" i="22"/>
  <c r="I1961" i="22"/>
  <c r="I1962" i="22"/>
  <c r="I1963" i="22"/>
  <c r="I1964" i="22"/>
  <c r="I1965" i="22"/>
  <c r="I1966" i="22"/>
  <c r="I1967" i="22"/>
  <c r="I1968" i="22"/>
  <c r="I1969" i="22"/>
  <c r="I1970" i="22"/>
  <c r="I1971" i="22"/>
  <c r="I1972" i="22"/>
  <c r="I1973" i="22"/>
  <c r="I1974" i="22"/>
  <c r="I1975" i="22"/>
  <c r="I1976" i="22"/>
  <c r="I1977" i="22"/>
  <c r="I1978" i="22"/>
  <c r="I1979" i="22"/>
  <c r="I1980" i="22"/>
  <c r="I1981" i="22"/>
  <c r="I1982" i="22"/>
  <c r="I1983" i="22"/>
  <c r="I1984" i="22"/>
  <c r="I1985" i="22"/>
  <c r="I1986" i="22"/>
  <c r="I1987" i="22"/>
  <c r="I1988" i="22"/>
  <c r="I1989" i="22"/>
  <c r="I1990" i="22"/>
  <c r="I1991" i="22"/>
  <c r="I1992" i="22"/>
  <c r="I1993" i="22"/>
  <c r="I1994" i="22"/>
  <c r="I1995" i="22"/>
  <c r="I1996" i="22"/>
  <c r="I1997" i="22"/>
  <c r="I1998" i="22"/>
  <c r="I1999" i="22"/>
  <c r="I2000" i="22"/>
  <c r="I2001" i="22"/>
  <c r="I2002" i="22"/>
  <c r="I2003" i="22"/>
  <c r="I2004" i="22"/>
  <c r="I2005" i="22"/>
  <c r="I2006" i="22"/>
  <c r="I2007" i="22"/>
  <c r="I2008" i="22"/>
  <c r="I2009" i="22"/>
  <c r="I2010" i="22"/>
  <c r="I2011" i="22"/>
  <c r="I2012" i="22"/>
  <c r="I2013" i="22"/>
  <c r="I2014" i="22"/>
  <c r="I2015" i="22"/>
  <c r="I2016" i="22"/>
  <c r="I2017" i="22"/>
  <c r="I2018" i="22"/>
  <c r="I2019" i="22"/>
  <c r="I2020" i="22"/>
  <c r="I2021" i="22"/>
  <c r="I2022" i="22"/>
  <c r="I2023" i="22"/>
  <c r="I2024" i="22"/>
  <c r="I2025" i="22"/>
  <c r="I2026" i="22"/>
  <c r="I2027" i="22"/>
  <c r="I2028" i="22"/>
  <c r="I2029" i="22"/>
  <c r="I2030" i="22"/>
  <c r="I2031" i="22"/>
  <c r="I2032" i="22"/>
  <c r="I2033" i="22"/>
  <c r="I2034" i="22"/>
  <c r="I2035" i="22"/>
  <c r="I2036" i="22"/>
  <c r="I2037" i="22"/>
  <c r="I2038" i="22"/>
  <c r="I2039" i="22"/>
  <c r="I2040" i="22"/>
  <c r="I2041" i="22"/>
  <c r="I2042" i="22"/>
  <c r="I2043" i="22"/>
  <c r="I2044" i="22"/>
  <c r="I2045" i="22"/>
  <c r="I2046" i="22"/>
  <c r="I2047" i="22"/>
  <c r="I2048" i="22"/>
  <c r="I2049" i="22"/>
  <c r="I2050" i="22"/>
  <c r="I2051" i="22"/>
  <c r="I2052" i="22"/>
  <c r="I2053" i="22"/>
  <c r="I2054" i="22"/>
  <c r="I2055" i="22"/>
  <c r="I2056" i="22"/>
  <c r="I2057" i="22"/>
  <c r="I2058" i="22"/>
  <c r="I2059" i="22"/>
  <c r="I2060" i="22"/>
  <c r="I2061" i="22"/>
  <c r="I2062" i="22"/>
  <c r="I2063" i="22"/>
  <c r="I2064" i="22"/>
  <c r="I2065" i="22"/>
  <c r="I2066" i="22"/>
  <c r="I2067" i="22"/>
  <c r="I2068" i="22"/>
  <c r="I2069" i="22"/>
  <c r="I2070" i="22"/>
  <c r="I2071" i="22"/>
  <c r="I2072" i="22"/>
  <c r="I2073" i="22"/>
  <c r="I2074" i="22"/>
  <c r="I2075" i="22"/>
  <c r="I2076" i="22"/>
  <c r="I2077" i="22"/>
  <c r="I2078" i="22"/>
  <c r="I2079" i="22"/>
  <c r="I2080" i="22"/>
  <c r="I2081" i="22"/>
  <c r="I2082" i="22"/>
  <c r="I2083" i="22"/>
  <c r="I2084" i="22"/>
  <c r="I2085" i="22"/>
  <c r="I2086" i="22"/>
  <c r="I2087" i="22"/>
  <c r="I2088" i="22"/>
  <c r="I2089" i="22"/>
  <c r="I2090" i="22"/>
  <c r="I2091" i="22"/>
  <c r="I2092" i="22"/>
  <c r="I2093" i="22"/>
  <c r="I2094" i="22"/>
  <c r="I2095" i="22"/>
  <c r="I2096" i="22"/>
  <c r="I2097" i="22"/>
  <c r="I2098" i="22"/>
  <c r="I2099" i="22"/>
  <c r="I2100" i="22"/>
  <c r="I2101" i="22"/>
  <c r="I2102" i="22"/>
  <c r="I2103" i="22"/>
  <c r="I2104" i="22"/>
  <c r="I2105" i="22"/>
  <c r="I2106" i="22"/>
  <c r="I2107" i="22"/>
  <c r="I2108" i="22"/>
  <c r="I2109" i="22"/>
  <c r="I2110" i="22"/>
  <c r="I2111" i="22"/>
  <c r="I2112" i="22"/>
  <c r="I2113" i="22"/>
  <c r="I2114" i="22"/>
  <c r="I2115" i="22"/>
  <c r="I2116" i="22"/>
  <c r="I2117" i="22"/>
  <c r="I2118" i="22"/>
  <c r="I2119" i="22"/>
  <c r="I2120" i="22"/>
  <c r="I2121" i="22"/>
  <c r="I2122" i="22"/>
  <c r="I2123" i="22"/>
  <c r="I2124" i="22"/>
  <c r="I2125" i="22"/>
  <c r="I2126" i="22"/>
  <c r="I2127" i="22"/>
  <c r="I2128" i="22"/>
  <c r="I2129" i="22"/>
  <c r="I2130" i="22"/>
  <c r="I2131" i="22"/>
  <c r="I2132" i="22"/>
  <c r="I2133" i="22"/>
  <c r="I2134" i="22"/>
  <c r="I2135" i="22"/>
  <c r="I2136" i="22"/>
  <c r="I2137" i="22"/>
  <c r="I2138" i="22"/>
  <c r="I2139" i="22"/>
  <c r="I2140" i="22"/>
  <c r="I2141" i="22"/>
  <c r="I2142" i="22"/>
  <c r="I2143" i="22"/>
  <c r="I2144" i="22"/>
  <c r="I2145" i="22"/>
  <c r="I2146" i="22"/>
  <c r="I2147" i="22"/>
  <c r="I2148" i="22"/>
  <c r="I2149" i="22"/>
  <c r="I2150" i="22"/>
  <c r="I2151" i="22"/>
  <c r="I2152" i="22"/>
  <c r="I2153" i="22"/>
  <c r="I2154" i="22"/>
  <c r="I2155" i="22"/>
  <c r="I2156" i="22"/>
  <c r="I2157" i="22"/>
  <c r="I2158" i="22"/>
  <c r="I2159" i="22"/>
  <c r="I2160" i="22"/>
  <c r="I2161" i="22"/>
  <c r="I2162" i="22"/>
  <c r="I2163" i="22"/>
  <c r="I2164" i="22"/>
  <c r="I2165" i="22"/>
  <c r="I2166" i="22"/>
  <c r="I2167" i="22"/>
  <c r="I2168" i="22"/>
  <c r="I2169" i="22"/>
  <c r="I2170" i="22"/>
  <c r="I2171" i="22"/>
  <c r="I2172" i="22"/>
  <c r="I2173" i="22"/>
  <c r="I2174" i="22"/>
  <c r="I2175" i="22"/>
  <c r="I2176" i="22"/>
  <c r="I2177" i="22"/>
  <c r="I2178" i="22"/>
  <c r="I2179" i="22"/>
  <c r="I2180" i="22"/>
  <c r="I2181" i="22"/>
  <c r="I2182" i="22"/>
  <c r="I2183" i="22"/>
  <c r="I2184" i="22"/>
  <c r="I2185" i="22"/>
  <c r="I2186" i="22"/>
  <c r="I2187" i="22"/>
  <c r="I2188" i="22"/>
  <c r="I2189" i="22"/>
  <c r="I2190" i="22"/>
  <c r="I2191" i="22"/>
  <c r="I2192" i="22"/>
  <c r="I2193" i="22"/>
  <c r="I2194" i="22"/>
  <c r="I2195" i="22"/>
  <c r="I2196" i="22"/>
  <c r="I2197" i="22"/>
  <c r="I2198" i="22"/>
  <c r="I2199" i="22"/>
  <c r="I2200" i="22"/>
  <c r="I2201" i="22"/>
  <c r="I2202" i="22"/>
  <c r="I2203" i="22"/>
  <c r="I2204" i="22"/>
  <c r="I2205" i="22"/>
  <c r="I2206" i="22"/>
  <c r="I2207" i="22"/>
  <c r="I2208" i="22"/>
  <c r="I2209" i="22"/>
  <c r="I2210" i="22"/>
  <c r="I2211" i="22"/>
  <c r="I2212" i="22"/>
  <c r="I2213" i="22"/>
  <c r="I2214" i="22"/>
  <c r="I2215" i="22"/>
  <c r="I2216" i="22"/>
  <c r="I2217" i="22"/>
  <c r="I2218" i="22"/>
  <c r="I2219" i="22"/>
  <c r="I2220" i="22"/>
  <c r="I2221" i="22"/>
  <c r="I2222" i="22"/>
  <c r="I2223" i="22"/>
  <c r="I2224" i="22"/>
  <c r="I2225" i="22"/>
  <c r="I2226" i="22"/>
  <c r="I2227" i="22"/>
  <c r="I2228" i="22"/>
  <c r="I2229" i="22"/>
  <c r="I2230" i="22"/>
  <c r="I2231" i="22"/>
  <c r="I2232" i="22"/>
  <c r="I2233" i="22"/>
  <c r="I2234" i="22"/>
  <c r="I2235" i="22"/>
  <c r="I2236" i="22"/>
  <c r="I2237" i="22"/>
  <c r="I2238" i="22"/>
  <c r="I2239" i="22"/>
  <c r="I2240" i="22"/>
  <c r="I2241" i="22"/>
  <c r="I2242" i="22"/>
  <c r="I2243" i="22"/>
  <c r="I2244" i="22"/>
  <c r="I2245" i="22"/>
  <c r="I2246" i="22"/>
  <c r="I2247" i="22"/>
  <c r="I2248" i="22"/>
  <c r="I2249" i="22"/>
  <c r="I2250" i="22"/>
  <c r="I2251" i="22"/>
  <c r="I2252" i="22"/>
  <c r="I2253" i="22"/>
  <c r="I2254" i="22"/>
  <c r="I2255" i="22"/>
  <c r="I2256" i="22"/>
  <c r="I2257" i="22"/>
  <c r="I2258" i="22"/>
  <c r="I2259" i="22"/>
  <c r="I2260" i="22"/>
  <c r="I2261" i="22"/>
  <c r="I2262" i="22"/>
  <c r="I2263" i="22"/>
  <c r="I2264" i="22"/>
  <c r="I2265" i="22"/>
  <c r="I2266" i="22"/>
  <c r="I2267" i="22"/>
  <c r="I2268" i="22"/>
  <c r="I2269" i="22"/>
  <c r="I2270" i="22"/>
  <c r="I2271" i="22"/>
  <c r="I2272" i="22"/>
  <c r="I2273" i="22"/>
  <c r="I2274" i="22"/>
  <c r="I2275" i="22"/>
  <c r="I2276" i="22"/>
  <c r="I2277" i="22"/>
  <c r="I2278" i="22"/>
  <c r="I2279" i="22"/>
  <c r="I2280" i="22"/>
  <c r="I2281" i="22"/>
  <c r="I2282" i="22"/>
  <c r="I2283" i="22"/>
  <c r="I2284" i="22"/>
  <c r="I2285" i="22"/>
  <c r="I2286" i="22"/>
  <c r="I2287" i="22"/>
  <c r="I2288" i="22"/>
  <c r="I2289" i="22"/>
  <c r="I2290" i="22"/>
  <c r="I2291" i="22"/>
  <c r="I2292" i="22"/>
  <c r="I2293" i="22"/>
  <c r="I2294" i="22"/>
  <c r="I2295" i="22"/>
  <c r="I2296" i="22"/>
  <c r="I2297" i="22"/>
  <c r="I2298" i="22"/>
  <c r="I2299" i="22"/>
  <c r="I2300" i="22"/>
  <c r="I2301" i="22"/>
  <c r="I2302" i="22"/>
  <c r="I2303" i="22"/>
  <c r="I2304" i="22"/>
  <c r="I2305" i="22"/>
  <c r="I2306" i="22"/>
  <c r="I2307" i="22"/>
  <c r="I2308" i="22"/>
  <c r="I2309" i="22"/>
  <c r="I2310" i="22"/>
  <c r="I2311" i="22"/>
  <c r="I2312" i="22"/>
  <c r="I2313" i="22"/>
  <c r="I2314" i="22"/>
  <c r="I2315" i="22"/>
  <c r="I2316" i="22"/>
  <c r="I2317" i="22"/>
  <c r="I2318" i="22"/>
  <c r="I2319" i="22"/>
  <c r="I2320" i="22"/>
  <c r="I2321" i="22"/>
  <c r="I2322" i="22"/>
  <c r="I2323" i="22"/>
  <c r="I2324" i="22"/>
  <c r="I2325" i="22"/>
  <c r="I2326" i="22"/>
  <c r="I2327" i="22"/>
  <c r="I2328" i="22"/>
  <c r="I2329" i="22"/>
  <c r="I2330" i="22"/>
  <c r="I2331" i="22"/>
  <c r="I2332" i="22"/>
  <c r="I2333" i="22"/>
  <c r="I2334" i="22"/>
  <c r="I2335" i="22"/>
  <c r="I2336" i="22"/>
  <c r="I2337" i="22"/>
  <c r="I2338" i="22"/>
  <c r="I2339" i="22"/>
  <c r="I2340" i="22"/>
  <c r="I2341" i="22"/>
  <c r="I2342" i="22"/>
  <c r="I2343" i="22"/>
  <c r="I2344" i="22"/>
  <c r="I2345" i="22"/>
  <c r="I2346" i="22"/>
  <c r="I2347" i="22"/>
  <c r="I2348" i="22"/>
  <c r="I2349" i="22"/>
  <c r="I2350" i="22"/>
  <c r="I2351" i="22"/>
  <c r="I2352" i="22"/>
  <c r="I2353" i="22"/>
  <c r="I2354" i="22"/>
  <c r="I2355" i="22"/>
  <c r="I2356" i="22"/>
  <c r="I2357" i="22"/>
  <c r="I2358" i="22"/>
  <c r="I2359" i="22"/>
  <c r="I2360" i="22"/>
  <c r="I2361" i="22"/>
  <c r="I2362" i="22"/>
  <c r="I2363" i="22"/>
  <c r="I2364" i="22"/>
  <c r="I2365" i="22"/>
  <c r="I2366" i="22"/>
  <c r="I2367" i="22"/>
  <c r="I2368" i="22"/>
  <c r="I2369" i="22"/>
  <c r="I2370" i="22"/>
  <c r="I2371" i="22"/>
  <c r="I2372" i="22"/>
  <c r="I2373" i="22"/>
  <c r="I2374" i="22"/>
  <c r="I2375" i="22"/>
  <c r="I2376" i="22"/>
  <c r="I2377" i="22"/>
  <c r="I2378" i="22"/>
  <c r="I2379" i="22"/>
  <c r="I2380" i="22"/>
  <c r="I2381" i="22"/>
  <c r="I2382" i="22"/>
  <c r="I2383" i="22"/>
  <c r="I2384" i="22"/>
  <c r="I2385" i="22"/>
  <c r="I2386" i="22"/>
  <c r="I2387" i="22"/>
  <c r="I2388" i="22"/>
  <c r="I2389" i="22"/>
  <c r="I2390" i="22"/>
  <c r="I2391" i="22"/>
  <c r="I2392" i="22"/>
  <c r="I2393" i="22"/>
  <c r="I2394" i="22"/>
  <c r="I2395" i="22"/>
  <c r="I2396" i="22"/>
  <c r="I2397" i="22"/>
  <c r="I2398" i="22"/>
  <c r="I2399" i="22"/>
  <c r="I2400" i="22"/>
  <c r="I2401" i="22"/>
  <c r="I2402" i="22"/>
  <c r="I2403" i="22"/>
  <c r="I2404" i="22"/>
  <c r="I2405" i="22"/>
  <c r="I2406" i="22"/>
  <c r="I2407" i="22"/>
  <c r="I2408" i="22"/>
  <c r="I2409" i="22"/>
  <c r="I2410" i="22"/>
  <c r="I2411" i="22"/>
  <c r="I2412" i="22"/>
  <c r="I2413" i="22"/>
  <c r="I2414" i="22"/>
  <c r="I2415" i="22"/>
  <c r="I2416" i="22"/>
  <c r="I2417" i="22"/>
  <c r="I2418" i="22"/>
  <c r="I2419" i="22"/>
  <c r="I2420" i="22"/>
  <c r="I2421" i="22"/>
  <c r="I2422" i="22"/>
  <c r="I2423" i="22"/>
  <c r="I2424" i="22"/>
  <c r="I2425" i="22"/>
  <c r="I2426" i="22"/>
  <c r="I2427" i="22"/>
  <c r="I2428" i="22"/>
  <c r="I2429" i="22"/>
  <c r="I2430" i="22"/>
  <c r="I2431" i="22"/>
  <c r="I2432" i="22"/>
  <c r="I2433" i="22"/>
  <c r="I2434" i="22"/>
  <c r="I2435" i="22"/>
  <c r="I2436" i="22"/>
  <c r="I2437" i="22"/>
  <c r="I2438" i="22"/>
  <c r="I2439" i="22"/>
  <c r="I2440" i="22"/>
  <c r="I2441" i="22"/>
  <c r="I2442" i="22"/>
  <c r="I2443" i="22"/>
  <c r="I2444" i="22"/>
  <c r="I2445" i="22"/>
  <c r="I2446" i="22"/>
  <c r="I2447" i="22"/>
  <c r="I2448" i="22"/>
  <c r="I2449" i="22"/>
  <c r="I2450" i="22"/>
  <c r="I2451" i="22"/>
  <c r="I2452" i="22"/>
  <c r="I2453" i="22"/>
  <c r="I2454" i="22"/>
  <c r="I2455" i="22"/>
  <c r="I2456" i="22"/>
  <c r="I2457" i="22"/>
  <c r="I2458" i="22"/>
  <c r="I2459" i="22"/>
  <c r="I2460" i="22"/>
  <c r="I2461" i="22"/>
  <c r="I2462" i="22"/>
  <c r="I2463" i="22"/>
  <c r="I2464" i="22"/>
  <c r="I2465" i="22"/>
  <c r="I2466" i="22"/>
  <c r="I2467" i="22"/>
  <c r="I2468" i="22"/>
  <c r="I2469" i="22"/>
  <c r="I2470" i="22"/>
  <c r="I2471" i="22"/>
  <c r="I2472" i="22"/>
  <c r="I2473" i="22"/>
  <c r="I2474" i="22"/>
  <c r="I2475" i="22"/>
  <c r="I2476" i="22"/>
  <c r="I2477" i="22"/>
  <c r="I2478" i="22"/>
  <c r="I2479" i="22"/>
  <c r="I2480" i="22"/>
  <c r="I2481" i="22"/>
  <c r="I2482" i="22"/>
  <c r="I2483" i="22"/>
  <c r="I2484" i="22"/>
  <c r="I2485" i="22"/>
  <c r="I2486" i="22"/>
  <c r="I2487" i="22"/>
  <c r="I2488" i="22"/>
  <c r="I2489" i="22"/>
  <c r="I2490" i="22"/>
  <c r="I2491" i="22"/>
  <c r="I2492" i="22"/>
  <c r="I2493" i="22"/>
  <c r="I2494" i="22"/>
  <c r="I2495" i="22"/>
  <c r="I2496" i="22"/>
  <c r="I2497" i="22"/>
  <c r="I2498" i="22"/>
  <c r="I2499" i="22"/>
  <c r="I2500" i="22"/>
  <c r="I2501" i="22"/>
  <c r="I2502" i="22"/>
  <c r="I2503" i="22"/>
  <c r="I2504" i="22"/>
  <c r="I2505" i="22"/>
  <c r="I2506" i="22"/>
  <c r="I2507" i="22"/>
  <c r="I2508" i="22"/>
  <c r="I2509" i="22"/>
  <c r="I2510" i="22"/>
  <c r="I2511" i="22"/>
  <c r="I2512" i="22"/>
  <c r="I2513" i="22"/>
  <c r="I2514" i="22"/>
  <c r="I2515" i="22"/>
  <c r="I2516" i="22"/>
  <c r="I2517" i="22"/>
  <c r="I2518" i="22"/>
  <c r="I2519" i="22"/>
  <c r="I2520" i="22"/>
  <c r="I2521" i="22"/>
  <c r="I2522" i="22"/>
  <c r="I2523" i="22"/>
  <c r="I2524" i="22"/>
  <c r="I2525" i="22"/>
  <c r="I2526" i="22"/>
  <c r="I2527" i="22"/>
  <c r="I2528" i="22"/>
  <c r="I2529" i="22"/>
  <c r="I2530" i="22"/>
  <c r="I2531" i="22"/>
  <c r="I2532" i="22"/>
  <c r="I2533" i="22"/>
  <c r="I2534" i="22"/>
  <c r="I2535" i="22"/>
  <c r="I2536" i="22"/>
  <c r="I2537" i="22"/>
  <c r="I2538" i="22"/>
  <c r="I2539" i="22"/>
  <c r="I2540" i="22"/>
  <c r="I2541" i="22"/>
  <c r="I2542" i="22"/>
  <c r="I2543" i="22"/>
  <c r="I2544" i="22"/>
  <c r="I2545" i="22"/>
  <c r="I2546" i="22"/>
  <c r="I2547" i="22"/>
  <c r="I2548" i="22"/>
  <c r="I2549" i="22"/>
  <c r="I2550" i="22"/>
  <c r="I2551" i="22"/>
  <c r="I2552" i="22"/>
  <c r="I2553" i="22"/>
  <c r="I2554" i="22"/>
  <c r="I2555" i="22"/>
  <c r="I2556" i="22"/>
  <c r="I2557" i="22"/>
  <c r="I2558" i="22"/>
  <c r="I2559" i="22"/>
  <c r="I2560" i="22"/>
  <c r="I2561" i="22"/>
  <c r="I2562" i="22"/>
  <c r="I2563" i="22"/>
  <c r="I2564" i="22"/>
  <c r="I2565" i="22"/>
  <c r="I2566" i="22"/>
  <c r="I2567" i="22"/>
  <c r="I2568" i="22"/>
  <c r="I2569" i="22"/>
  <c r="I2570" i="22"/>
  <c r="I2571" i="22"/>
  <c r="I2572" i="22"/>
  <c r="I2573" i="22"/>
  <c r="I2574" i="22"/>
  <c r="I2575" i="22"/>
  <c r="I2576" i="22"/>
  <c r="I2577" i="22"/>
  <c r="I2578" i="22"/>
  <c r="I2579" i="22"/>
  <c r="I2580" i="22"/>
  <c r="I2581" i="22"/>
  <c r="I2582" i="22"/>
  <c r="I2583" i="22"/>
  <c r="I2584" i="22"/>
  <c r="I2585" i="22"/>
  <c r="I2586" i="22"/>
  <c r="I2587" i="22"/>
  <c r="I2588" i="22"/>
  <c r="I2589" i="22"/>
  <c r="I2590" i="22"/>
  <c r="I2591" i="22"/>
  <c r="I2592" i="22"/>
  <c r="I2593" i="22"/>
  <c r="I2594" i="22"/>
  <c r="I2595" i="22"/>
  <c r="I2596" i="22"/>
  <c r="I2597" i="22"/>
  <c r="I2598" i="22"/>
  <c r="I2599" i="22"/>
  <c r="I2600" i="22"/>
  <c r="I2601" i="22"/>
  <c r="I2602" i="22"/>
  <c r="I2603" i="22"/>
  <c r="I2604" i="22"/>
  <c r="I2605" i="22"/>
  <c r="I2606" i="22"/>
  <c r="I2607" i="22"/>
  <c r="I2608" i="22"/>
  <c r="I2609" i="22"/>
  <c r="I2610" i="22"/>
  <c r="I2611" i="22"/>
  <c r="I2612" i="22"/>
  <c r="I2613" i="22"/>
  <c r="I2614" i="22"/>
  <c r="I2615" i="22"/>
  <c r="I2616" i="22"/>
  <c r="I2617" i="22"/>
  <c r="I2618" i="22"/>
  <c r="I2619" i="22"/>
  <c r="I2620" i="22"/>
  <c r="I2621" i="22"/>
  <c r="I2622" i="22"/>
  <c r="I2623" i="22"/>
  <c r="I2624" i="22"/>
  <c r="I2625" i="22"/>
  <c r="I2626" i="22"/>
  <c r="I2627" i="22"/>
  <c r="I2628" i="22"/>
  <c r="I2629" i="22"/>
  <c r="I2630" i="22"/>
  <c r="I2631" i="22"/>
  <c r="I2632" i="22"/>
  <c r="I2633" i="22"/>
  <c r="I2634" i="22"/>
  <c r="I2635" i="22"/>
  <c r="I2636" i="22"/>
  <c r="I2637" i="22"/>
  <c r="I2638" i="22"/>
  <c r="I2639" i="22"/>
  <c r="I2640" i="22"/>
  <c r="I2641" i="22"/>
  <c r="I2642" i="22"/>
  <c r="I2643" i="22"/>
  <c r="I2644" i="22"/>
  <c r="I2645" i="22"/>
  <c r="I2646" i="22"/>
  <c r="I2647" i="22"/>
  <c r="I2648" i="22"/>
  <c r="I2649" i="22"/>
  <c r="I2650" i="22"/>
  <c r="I2651" i="22"/>
  <c r="I2652" i="22"/>
  <c r="I2653" i="22"/>
  <c r="I2654" i="22"/>
  <c r="I2655" i="22"/>
  <c r="I2656" i="22"/>
  <c r="I2657" i="22"/>
  <c r="I2658" i="22"/>
  <c r="I2659" i="22"/>
  <c r="I2660" i="22"/>
  <c r="I2661" i="22"/>
  <c r="I2662" i="22"/>
  <c r="I2663" i="22"/>
  <c r="I2664" i="22"/>
  <c r="I2665" i="22"/>
  <c r="I2666" i="22"/>
  <c r="I2667" i="22"/>
  <c r="I2668" i="22"/>
  <c r="I2669" i="22"/>
  <c r="I2670" i="22"/>
  <c r="I2671" i="22"/>
  <c r="I2672" i="22"/>
  <c r="I2673" i="22"/>
  <c r="I2674" i="22"/>
  <c r="I2675" i="22"/>
  <c r="I2676" i="22"/>
  <c r="I2677" i="22"/>
  <c r="I2678" i="22"/>
  <c r="I2679" i="22"/>
  <c r="I2680" i="22"/>
  <c r="I2681" i="22"/>
  <c r="I2682" i="22"/>
  <c r="I2683" i="22"/>
  <c r="I2684" i="22"/>
  <c r="I2685" i="22"/>
  <c r="I2686" i="22"/>
  <c r="I2687" i="22"/>
  <c r="I2688" i="22"/>
  <c r="I2689" i="22"/>
  <c r="I2690" i="22"/>
  <c r="I2691" i="22"/>
  <c r="I2692" i="22"/>
  <c r="I2693" i="22"/>
  <c r="I2694" i="22"/>
  <c r="I2695" i="22"/>
  <c r="I2696" i="22"/>
  <c r="I2697" i="22"/>
  <c r="I2698" i="22"/>
  <c r="I2699" i="22"/>
  <c r="I2700" i="22"/>
  <c r="I2701" i="22"/>
  <c r="I2702" i="22"/>
  <c r="I2703" i="22"/>
  <c r="I2704" i="22"/>
  <c r="I2705" i="22"/>
  <c r="I2706" i="22"/>
  <c r="I2707" i="22"/>
  <c r="I2708" i="22"/>
  <c r="I2709" i="22"/>
  <c r="I2710" i="22"/>
  <c r="I2711" i="22"/>
  <c r="I2712" i="22"/>
  <c r="I2713" i="22"/>
  <c r="I2714" i="22"/>
  <c r="I2715" i="22"/>
  <c r="I2716" i="22"/>
  <c r="I2717" i="22"/>
  <c r="I2718" i="22"/>
  <c r="I2719" i="22"/>
  <c r="I2720" i="22"/>
  <c r="I2721" i="22"/>
  <c r="I2722" i="22"/>
  <c r="I2723" i="22"/>
  <c r="I2724" i="22"/>
  <c r="I2725" i="22"/>
  <c r="I2726" i="22"/>
  <c r="I2727" i="22"/>
  <c r="I2728" i="22"/>
  <c r="I2729" i="22"/>
  <c r="I2730" i="22"/>
  <c r="I2731" i="22"/>
  <c r="I2732" i="22"/>
  <c r="I2733" i="22"/>
  <c r="I2734" i="22"/>
  <c r="I2735" i="22"/>
  <c r="I2736" i="22"/>
  <c r="I2737" i="22"/>
  <c r="I2738" i="22"/>
  <c r="I2739" i="22"/>
  <c r="I2740" i="22"/>
  <c r="I2741" i="22"/>
  <c r="I2742" i="22"/>
  <c r="I2743" i="22"/>
  <c r="I2744" i="22"/>
  <c r="I2745" i="22"/>
  <c r="I2746" i="22"/>
  <c r="I2747" i="22"/>
  <c r="I2748" i="22"/>
  <c r="I2749" i="22"/>
  <c r="I2750" i="22"/>
  <c r="I2751" i="22"/>
  <c r="I2752" i="22"/>
  <c r="I2753" i="22"/>
  <c r="I2754" i="22"/>
  <c r="I2755" i="22"/>
  <c r="I2756" i="22"/>
  <c r="I2757" i="22"/>
  <c r="I2758" i="22"/>
  <c r="I2759" i="22"/>
  <c r="I2760" i="22"/>
  <c r="I2761" i="22"/>
  <c r="I2762" i="22"/>
  <c r="I2763" i="22"/>
  <c r="I2764" i="22"/>
  <c r="I2765" i="22"/>
  <c r="I2766" i="22"/>
  <c r="I2767" i="22"/>
  <c r="I2768" i="22"/>
  <c r="I2769" i="22"/>
  <c r="I2770" i="22"/>
  <c r="I2771" i="22"/>
  <c r="I2772" i="22"/>
  <c r="I2773" i="22"/>
  <c r="I2774" i="22"/>
  <c r="I2775" i="22"/>
  <c r="I2776" i="22"/>
  <c r="I2777" i="22"/>
  <c r="I2778" i="22"/>
  <c r="I2779" i="22"/>
  <c r="I2780" i="22"/>
  <c r="I2781" i="22"/>
  <c r="I2782" i="22"/>
  <c r="I2783" i="22"/>
  <c r="I2784" i="22"/>
  <c r="I2785" i="22"/>
  <c r="I2786" i="22"/>
  <c r="I2787" i="22"/>
  <c r="I2788" i="22"/>
  <c r="I2789" i="22"/>
  <c r="I2790" i="22"/>
  <c r="I2791" i="22"/>
  <c r="I2792" i="22"/>
  <c r="I2793" i="22"/>
  <c r="I2794" i="22"/>
  <c r="I2795" i="22"/>
  <c r="I2796" i="22"/>
  <c r="I2797" i="22"/>
  <c r="I2798" i="22"/>
  <c r="I2799" i="22"/>
  <c r="I2800" i="22"/>
  <c r="I2801" i="22"/>
  <c r="I2802" i="22"/>
  <c r="I2803" i="22"/>
  <c r="I2804" i="22"/>
  <c r="I2805" i="22"/>
  <c r="I2806" i="22"/>
  <c r="I2807" i="22"/>
  <c r="I2808" i="22"/>
  <c r="I2809" i="22"/>
  <c r="I2810" i="22"/>
  <c r="I2811" i="22"/>
  <c r="I2812" i="22"/>
  <c r="I2813" i="22"/>
  <c r="I2814" i="22"/>
  <c r="I2815" i="22"/>
  <c r="I2816" i="22"/>
  <c r="I2817" i="22"/>
  <c r="I2818" i="22"/>
  <c r="I2819" i="22"/>
  <c r="I2820" i="22"/>
  <c r="I2821" i="22"/>
  <c r="I2822" i="22"/>
  <c r="I2823" i="22"/>
  <c r="I2824" i="22"/>
  <c r="I2825" i="22"/>
  <c r="I2826" i="22"/>
  <c r="I2827" i="22"/>
  <c r="I2828" i="22"/>
  <c r="I2829" i="22"/>
  <c r="I2830" i="22"/>
  <c r="I2831" i="22"/>
  <c r="I2832" i="22"/>
  <c r="I2833" i="22"/>
  <c r="I2834" i="22"/>
  <c r="I2835" i="22"/>
  <c r="I2836" i="22"/>
  <c r="I2837" i="22"/>
  <c r="I2838" i="22"/>
  <c r="I2839" i="22"/>
  <c r="I2840" i="22"/>
  <c r="I2841" i="22"/>
  <c r="I2842" i="22"/>
  <c r="I2843" i="22"/>
  <c r="I2844" i="22"/>
  <c r="I2845" i="22"/>
  <c r="I2846" i="22"/>
  <c r="I2847" i="22"/>
  <c r="I2848" i="22"/>
  <c r="I2849" i="22"/>
  <c r="I2850" i="22"/>
  <c r="I2851" i="22"/>
  <c r="I2852" i="22"/>
  <c r="I2853" i="22"/>
  <c r="I2854" i="22"/>
  <c r="I2855" i="22"/>
  <c r="I2856" i="22"/>
  <c r="I2857" i="22"/>
  <c r="I2858" i="22"/>
  <c r="I2859" i="22"/>
  <c r="I2860" i="22"/>
  <c r="I2861" i="22"/>
  <c r="I2862" i="22"/>
  <c r="I2863" i="22"/>
  <c r="I2864" i="22"/>
  <c r="I2865" i="22"/>
  <c r="I2866" i="22"/>
  <c r="I2867" i="22"/>
  <c r="I2868" i="22"/>
  <c r="I2869" i="22"/>
  <c r="I2870" i="22"/>
  <c r="I2871" i="22"/>
  <c r="I2872" i="22"/>
  <c r="I2873" i="22"/>
  <c r="I2874" i="22"/>
  <c r="I2875" i="22"/>
  <c r="I2876" i="22"/>
  <c r="I2877" i="22"/>
  <c r="I2878" i="22"/>
  <c r="I2879" i="22"/>
  <c r="I2880" i="22"/>
  <c r="I2881" i="22"/>
  <c r="I2882" i="22"/>
  <c r="I2883" i="22"/>
  <c r="I2884" i="22"/>
  <c r="I2885" i="22"/>
  <c r="I2886" i="22"/>
  <c r="I2887" i="22"/>
  <c r="I2888" i="22"/>
  <c r="I2889" i="22"/>
  <c r="I2890" i="22"/>
  <c r="I2891" i="22"/>
  <c r="I2892" i="22"/>
  <c r="I2893" i="22"/>
  <c r="I2894" i="22"/>
  <c r="I2895" i="22"/>
  <c r="I2896" i="22"/>
  <c r="I2897" i="22"/>
  <c r="I2898" i="22"/>
  <c r="I2899" i="22"/>
  <c r="I2900" i="22"/>
  <c r="I2901" i="22"/>
  <c r="I2902" i="22"/>
  <c r="I2903" i="22"/>
  <c r="I2904" i="22"/>
  <c r="I2905" i="22"/>
  <c r="I2906" i="22"/>
  <c r="I2907" i="22"/>
  <c r="I2908" i="22"/>
  <c r="I2909" i="22"/>
  <c r="I2910" i="22"/>
  <c r="I2911" i="22"/>
  <c r="I2912" i="22"/>
  <c r="I2913" i="22"/>
  <c r="I2914" i="22"/>
  <c r="I2915" i="22"/>
  <c r="I2916" i="22"/>
  <c r="I2917" i="22"/>
  <c r="I2918" i="22"/>
  <c r="I2919" i="22"/>
  <c r="I2920" i="22"/>
  <c r="I2921" i="22"/>
  <c r="I2922" i="22"/>
  <c r="I2923" i="22"/>
  <c r="I2924" i="22"/>
  <c r="I2925" i="22"/>
  <c r="I2926" i="22"/>
  <c r="I2927" i="22"/>
  <c r="I2928" i="22"/>
  <c r="I2929" i="22"/>
  <c r="I2930" i="22"/>
  <c r="I2931" i="22"/>
  <c r="I2932" i="22"/>
  <c r="I2933" i="22"/>
  <c r="I2934" i="22"/>
  <c r="I2935" i="22"/>
  <c r="I2936" i="22"/>
  <c r="I2937" i="22"/>
  <c r="I2938" i="22"/>
  <c r="I2939" i="22"/>
  <c r="I2940" i="22"/>
  <c r="I2941" i="22"/>
  <c r="I2942" i="22"/>
  <c r="I2943" i="22"/>
  <c r="I2944" i="22"/>
  <c r="I2945" i="22"/>
  <c r="I2946" i="22"/>
  <c r="I2947" i="22"/>
  <c r="I2948" i="22"/>
  <c r="I2949" i="22"/>
  <c r="I2950" i="22"/>
  <c r="I2951" i="22"/>
  <c r="I2952" i="22"/>
  <c r="I2953" i="22"/>
  <c r="I2954" i="22"/>
  <c r="I2955" i="22"/>
  <c r="I2956" i="22"/>
  <c r="I2957" i="22"/>
  <c r="I2958" i="22"/>
  <c r="I2959" i="22"/>
  <c r="I2960" i="22"/>
  <c r="I2961" i="22"/>
  <c r="I2962" i="22"/>
  <c r="I2963" i="22"/>
  <c r="I2964" i="22"/>
  <c r="I2965" i="22"/>
  <c r="I2966" i="22"/>
  <c r="I2967" i="22"/>
  <c r="I2968" i="22"/>
  <c r="I2969" i="22"/>
  <c r="I2970" i="22"/>
  <c r="I2971" i="22"/>
  <c r="I2972" i="22"/>
  <c r="I2973" i="22"/>
  <c r="I2974" i="22"/>
  <c r="I2975" i="22"/>
  <c r="I2976" i="22"/>
  <c r="I2977" i="22"/>
  <c r="I2978" i="22"/>
  <c r="I2979" i="22"/>
  <c r="I2980" i="22"/>
  <c r="I2981" i="22"/>
  <c r="I2982" i="22"/>
  <c r="I2983" i="22"/>
  <c r="I2984" i="22"/>
  <c r="I2985" i="22"/>
  <c r="I2986" i="22"/>
  <c r="I2987" i="22"/>
  <c r="I2988" i="22"/>
  <c r="I2989" i="22"/>
  <c r="I2990" i="22"/>
  <c r="I2991" i="22"/>
  <c r="I2992" i="22"/>
  <c r="I2993" i="22"/>
  <c r="I2994" i="22"/>
  <c r="I2995" i="22"/>
  <c r="I2996" i="22"/>
  <c r="I2997" i="22"/>
  <c r="I2998" i="22"/>
  <c r="I2999" i="22"/>
  <c r="I3000" i="22"/>
  <c r="I3001" i="22"/>
  <c r="I3002" i="22"/>
  <c r="I3003" i="22"/>
  <c r="I3004" i="22"/>
  <c r="I3005" i="22"/>
  <c r="I3006" i="22"/>
  <c r="I3007" i="22"/>
  <c r="I3008" i="22"/>
  <c r="I3009" i="22"/>
  <c r="I3010" i="22"/>
  <c r="I3011" i="22"/>
  <c r="I3012" i="22"/>
  <c r="I3013" i="22"/>
  <c r="I3014" i="22"/>
  <c r="I3015" i="22"/>
  <c r="I3016" i="22"/>
  <c r="I3017" i="22"/>
  <c r="I3018" i="22"/>
  <c r="I3019" i="22"/>
  <c r="I3020" i="22"/>
  <c r="I3021" i="22"/>
  <c r="I3022" i="22"/>
  <c r="I3023" i="22"/>
  <c r="I3024" i="22"/>
  <c r="I3025" i="22"/>
  <c r="I3026" i="22"/>
  <c r="I3027" i="22"/>
  <c r="I3028" i="22"/>
  <c r="I3029" i="22"/>
  <c r="I3030" i="22"/>
  <c r="I3031" i="22"/>
  <c r="I3032" i="22"/>
  <c r="I3033" i="22"/>
  <c r="I3034" i="22"/>
  <c r="I3035" i="22"/>
  <c r="I3036" i="22"/>
  <c r="I3037" i="22"/>
  <c r="I3038" i="22"/>
  <c r="I3039" i="22"/>
  <c r="I3040" i="22"/>
  <c r="I3041" i="22"/>
  <c r="I3042" i="22"/>
  <c r="I3043" i="22"/>
  <c r="I3044" i="22"/>
  <c r="I3045" i="22"/>
  <c r="I3046" i="22"/>
  <c r="I3047" i="22"/>
  <c r="I3048" i="22"/>
  <c r="I3049" i="22"/>
  <c r="I3050" i="22"/>
  <c r="I3051" i="22"/>
  <c r="I3052" i="22"/>
  <c r="I3053" i="22"/>
  <c r="I3054" i="22"/>
  <c r="I3055" i="22"/>
  <c r="I3056" i="22"/>
  <c r="I3057" i="22"/>
  <c r="I3058" i="22"/>
  <c r="I3059" i="22"/>
  <c r="I3060" i="22"/>
  <c r="I3061" i="22"/>
  <c r="I3062" i="22"/>
  <c r="I3063" i="22"/>
  <c r="I3064" i="22"/>
  <c r="I3065" i="22"/>
  <c r="I3066" i="22"/>
  <c r="I3067" i="22"/>
  <c r="I3068" i="22"/>
  <c r="I3069" i="22"/>
  <c r="I3070" i="22"/>
  <c r="I3071" i="22"/>
  <c r="I3072" i="22"/>
  <c r="I3073" i="22"/>
  <c r="I3074" i="22"/>
  <c r="I3075" i="22"/>
  <c r="I3076" i="22"/>
  <c r="I3077" i="22"/>
  <c r="I3078" i="22"/>
  <c r="I3079" i="22"/>
  <c r="I3080" i="22"/>
  <c r="I3081" i="22"/>
  <c r="I3082" i="22"/>
  <c r="I3083" i="22"/>
  <c r="I3084" i="22"/>
  <c r="I3085" i="22"/>
  <c r="I3086" i="22"/>
  <c r="I3087" i="22"/>
  <c r="I3088" i="22"/>
  <c r="I3089" i="22"/>
  <c r="I3090" i="22"/>
  <c r="I3091" i="22"/>
  <c r="I3092" i="22"/>
  <c r="I3093" i="22"/>
  <c r="I3094" i="22"/>
  <c r="I3095" i="22"/>
  <c r="I3096" i="22"/>
  <c r="I3097" i="22"/>
  <c r="I3098" i="22"/>
  <c r="I3099" i="22"/>
  <c r="I3100" i="22"/>
  <c r="I3101" i="22"/>
  <c r="I3102" i="22"/>
  <c r="I3103" i="22"/>
  <c r="I3104" i="22"/>
  <c r="I3105" i="22"/>
  <c r="I3106" i="22"/>
  <c r="I3107" i="22"/>
  <c r="I3108" i="22"/>
  <c r="I3109" i="22"/>
  <c r="I3110" i="22"/>
  <c r="I3111" i="22"/>
  <c r="I3112" i="22"/>
  <c r="I3113" i="22"/>
  <c r="I3114" i="22"/>
  <c r="I3115" i="22"/>
  <c r="I3116" i="22"/>
  <c r="I3117" i="22"/>
  <c r="I3118" i="22"/>
  <c r="I3119" i="22"/>
  <c r="I3120" i="22"/>
  <c r="I3121" i="22"/>
  <c r="I3122" i="22"/>
  <c r="I3123" i="22"/>
  <c r="I3124" i="22"/>
  <c r="I3125" i="22"/>
  <c r="I3126" i="22"/>
  <c r="I3127" i="22"/>
  <c r="I3128" i="22"/>
  <c r="I3129" i="22"/>
  <c r="I3130" i="22"/>
  <c r="I3131" i="22"/>
  <c r="I3132" i="22"/>
  <c r="I3133" i="22"/>
  <c r="I3134" i="22"/>
  <c r="I3135" i="22"/>
  <c r="I3136" i="22"/>
  <c r="I3137" i="22"/>
  <c r="I3138" i="22"/>
  <c r="I3139" i="22"/>
  <c r="I3140" i="22"/>
  <c r="I3141" i="22"/>
  <c r="I3142" i="22"/>
  <c r="I3143" i="22"/>
  <c r="I3144" i="22"/>
  <c r="I3145" i="22"/>
  <c r="I3146" i="22"/>
  <c r="I3147" i="22"/>
  <c r="I3148" i="22"/>
  <c r="I3149" i="22"/>
  <c r="I3150" i="22"/>
  <c r="I3151" i="22"/>
  <c r="I3152" i="22"/>
  <c r="I3153" i="22"/>
  <c r="I3154" i="22"/>
  <c r="I3155" i="22"/>
  <c r="I3156" i="22"/>
  <c r="I3157" i="22"/>
  <c r="I3158" i="22"/>
  <c r="I3159" i="22"/>
  <c r="I3160" i="22"/>
  <c r="I3161" i="22"/>
  <c r="I3162" i="22"/>
  <c r="I3163" i="22"/>
  <c r="I3164" i="22"/>
  <c r="I3165" i="22"/>
  <c r="I3166" i="22"/>
  <c r="I3167" i="22"/>
  <c r="I3168" i="22"/>
  <c r="I3169" i="22"/>
  <c r="I3170" i="22"/>
  <c r="I3171" i="22"/>
  <c r="I3172" i="22"/>
  <c r="I3173" i="22"/>
  <c r="I3174" i="22"/>
  <c r="I3175" i="22"/>
  <c r="I3176" i="22"/>
  <c r="I3177" i="22"/>
  <c r="I3178" i="22"/>
  <c r="I3179" i="22"/>
  <c r="I3180" i="22"/>
  <c r="I3181" i="22"/>
  <c r="I3182" i="22"/>
  <c r="I3183" i="22"/>
  <c r="I3184" i="22"/>
  <c r="I3185" i="22"/>
  <c r="I3186" i="22"/>
  <c r="I3187" i="22"/>
  <c r="I3188" i="22"/>
  <c r="I3189" i="22"/>
  <c r="I3190" i="22"/>
  <c r="I3191" i="22"/>
  <c r="I3192" i="22"/>
  <c r="I3193" i="22"/>
  <c r="I3194" i="22"/>
  <c r="I3195" i="22"/>
  <c r="I3196" i="22"/>
  <c r="I3197" i="22"/>
  <c r="I3198" i="22"/>
  <c r="I3199" i="22"/>
  <c r="I3200" i="22"/>
  <c r="I3201" i="22"/>
  <c r="I3202" i="22"/>
  <c r="I3203" i="22"/>
  <c r="I3204" i="22"/>
  <c r="I3205" i="22"/>
  <c r="I3206" i="22"/>
  <c r="I3207" i="22"/>
  <c r="I3208" i="22"/>
  <c r="I3209" i="22"/>
  <c r="I3210" i="22"/>
  <c r="I3211" i="22"/>
  <c r="I3212" i="22"/>
  <c r="I3213" i="22"/>
  <c r="I3214" i="22"/>
  <c r="I3215" i="22"/>
  <c r="I3216" i="22"/>
  <c r="I3217" i="22"/>
  <c r="I3218" i="22"/>
  <c r="I3219" i="22"/>
  <c r="I3220" i="22"/>
  <c r="I3221" i="22"/>
  <c r="I3222" i="22"/>
  <c r="I3223" i="22"/>
  <c r="I3224" i="22"/>
  <c r="I3225" i="22"/>
  <c r="I3226" i="22"/>
  <c r="I3227" i="22"/>
  <c r="I3228" i="22"/>
  <c r="I3229" i="22"/>
  <c r="I3230" i="22"/>
  <c r="I3231" i="22"/>
  <c r="I3232" i="22"/>
  <c r="I3233" i="22"/>
  <c r="I3234" i="22"/>
  <c r="I3235" i="22"/>
  <c r="I3236" i="22"/>
  <c r="I3237" i="22"/>
  <c r="I3238" i="22"/>
  <c r="I3239" i="22"/>
  <c r="I3240" i="22"/>
  <c r="I3241" i="22"/>
  <c r="I3242" i="22"/>
  <c r="I3243" i="22"/>
  <c r="I3244" i="22"/>
  <c r="I3245" i="22"/>
  <c r="I3246" i="22"/>
  <c r="I3247" i="22"/>
  <c r="I3248" i="22"/>
  <c r="I3249" i="22"/>
  <c r="I3250" i="22"/>
  <c r="I3251" i="22"/>
  <c r="I3252" i="22"/>
  <c r="I3253" i="22"/>
  <c r="I3254" i="22"/>
  <c r="I3255" i="22"/>
  <c r="I3256" i="22"/>
  <c r="I3257" i="22"/>
  <c r="I3258" i="22"/>
  <c r="I3259" i="22"/>
  <c r="I3260" i="22"/>
  <c r="I3261" i="22"/>
  <c r="I3262" i="22"/>
  <c r="I3263" i="22"/>
  <c r="I3264" i="22"/>
  <c r="I3265" i="22"/>
  <c r="I3266" i="22"/>
  <c r="I3267" i="22"/>
  <c r="I3268" i="22"/>
  <c r="I3269" i="22"/>
  <c r="I3270" i="22"/>
  <c r="I3271" i="22"/>
  <c r="I3272" i="22"/>
  <c r="I3273" i="22"/>
  <c r="I3274" i="22"/>
  <c r="I3275" i="22"/>
  <c r="I3276" i="22"/>
  <c r="I3277" i="22"/>
  <c r="I3278" i="22"/>
  <c r="I3279" i="22"/>
  <c r="I3280" i="22"/>
  <c r="I3281" i="22"/>
  <c r="I3282" i="22"/>
  <c r="I3283" i="22"/>
  <c r="I3284" i="22"/>
  <c r="I3285" i="22"/>
  <c r="I3286" i="22"/>
  <c r="I3287" i="22"/>
  <c r="I3288" i="22"/>
  <c r="I3289" i="22"/>
  <c r="I3290" i="22"/>
  <c r="I3291" i="22"/>
  <c r="I3292" i="22"/>
  <c r="I3293" i="22"/>
  <c r="I3294" i="22"/>
  <c r="I3295" i="22"/>
  <c r="I3296" i="22"/>
  <c r="I3297" i="22"/>
  <c r="I3298" i="22"/>
  <c r="I3299" i="22"/>
  <c r="I3300" i="22"/>
  <c r="I3301" i="22"/>
  <c r="I3302" i="22"/>
  <c r="I3303" i="22"/>
  <c r="I3304" i="22"/>
  <c r="I3305" i="22"/>
  <c r="I3306" i="22"/>
  <c r="I3307" i="22"/>
  <c r="I3308" i="22"/>
  <c r="I3309" i="22"/>
  <c r="I3310" i="22"/>
  <c r="I3311" i="22"/>
  <c r="I3312" i="22"/>
  <c r="I3313" i="22"/>
  <c r="I3314" i="22"/>
  <c r="I3315" i="22"/>
  <c r="I3316" i="22"/>
  <c r="I3317" i="22"/>
  <c r="I3318" i="22"/>
  <c r="I3319" i="22"/>
  <c r="I3320" i="22"/>
  <c r="I3321" i="22"/>
  <c r="I3322" i="22"/>
  <c r="I3323" i="22"/>
  <c r="I3324" i="22"/>
  <c r="I3325" i="22"/>
  <c r="I3326" i="22"/>
  <c r="I3327" i="22"/>
  <c r="I3328" i="22"/>
  <c r="I3329" i="22"/>
  <c r="I3330" i="22"/>
  <c r="I3331" i="22"/>
  <c r="I3332" i="22"/>
  <c r="I3333" i="22"/>
  <c r="I3334" i="22"/>
  <c r="I3335" i="22"/>
  <c r="I3336" i="22"/>
  <c r="I3337" i="22"/>
  <c r="I3338" i="22"/>
  <c r="I3339" i="22"/>
  <c r="I3340" i="22"/>
  <c r="I3341" i="22"/>
  <c r="I3342" i="22"/>
  <c r="I3343" i="22"/>
  <c r="I3344" i="22"/>
  <c r="I3345" i="22"/>
  <c r="I3346" i="22"/>
  <c r="I3347" i="22"/>
  <c r="I3348" i="22"/>
  <c r="I3349" i="22"/>
  <c r="I3350" i="22"/>
  <c r="I3351" i="22"/>
  <c r="I3352" i="22"/>
  <c r="I3353" i="22"/>
  <c r="I3354" i="22"/>
  <c r="I3355" i="22"/>
  <c r="I3356" i="22"/>
  <c r="I3357" i="22"/>
  <c r="I3358" i="22"/>
  <c r="I3359" i="22"/>
  <c r="I3360" i="22"/>
  <c r="I3361" i="22"/>
  <c r="I3362" i="22"/>
  <c r="I3363" i="22"/>
  <c r="I3364" i="22"/>
  <c r="I3365" i="22"/>
  <c r="I3366" i="22"/>
  <c r="I3367" i="22"/>
  <c r="I3368" i="22"/>
  <c r="I3369" i="22"/>
  <c r="I3370" i="22"/>
  <c r="I3371" i="22"/>
  <c r="I3372" i="22"/>
  <c r="I3373" i="22"/>
  <c r="I3374" i="22"/>
  <c r="I3375" i="22"/>
  <c r="I3376" i="22"/>
  <c r="I3377" i="22"/>
  <c r="I3378" i="22"/>
  <c r="I3379" i="22"/>
  <c r="I3380" i="22"/>
  <c r="I3381" i="22"/>
  <c r="I3382" i="22"/>
  <c r="I3383" i="22"/>
  <c r="I3384" i="22"/>
  <c r="I3385" i="22"/>
  <c r="I3386" i="22"/>
  <c r="I3387" i="22"/>
  <c r="I3388" i="22"/>
  <c r="I3389" i="22"/>
  <c r="I3390" i="22"/>
  <c r="I3391" i="22"/>
  <c r="I3392" i="22"/>
  <c r="I3393" i="22"/>
  <c r="I3394" i="22"/>
  <c r="I3395" i="22"/>
  <c r="I3396" i="22"/>
  <c r="I3397" i="22"/>
  <c r="I3398" i="22"/>
  <c r="I3399" i="22"/>
  <c r="I3400" i="22"/>
  <c r="I3401" i="22"/>
  <c r="I3402" i="22"/>
  <c r="I3403" i="22"/>
  <c r="I3404" i="22"/>
  <c r="I3405" i="22"/>
  <c r="I3406" i="22"/>
  <c r="I3407" i="22"/>
  <c r="I3408" i="22"/>
  <c r="I3409" i="22"/>
  <c r="I3410" i="22"/>
  <c r="I3411" i="22"/>
  <c r="I3412" i="22"/>
  <c r="I3413" i="22"/>
  <c r="I3414" i="22"/>
  <c r="I3415" i="22"/>
  <c r="I3416" i="22"/>
  <c r="I3417" i="22"/>
  <c r="I3418" i="22"/>
  <c r="I3419" i="22"/>
  <c r="I3420" i="22"/>
  <c r="I3421" i="22"/>
  <c r="I3422" i="22"/>
  <c r="I3423" i="22"/>
  <c r="I3424" i="22"/>
  <c r="I3425" i="22"/>
  <c r="I3426" i="22"/>
  <c r="I3427" i="22"/>
  <c r="I3428" i="22"/>
  <c r="I3429" i="22"/>
  <c r="I3430" i="22"/>
  <c r="I3431" i="22"/>
  <c r="I3432" i="22"/>
  <c r="I3433" i="22"/>
  <c r="I3434" i="22"/>
  <c r="I3435" i="22"/>
  <c r="I3436" i="22"/>
  <c r="I3437" i="22"/>
  <c r="I3438" i="22"/>
  <c r="I3439" i="22"/>
  <c r="I3440" i="22"/>
  <c r="I3441" i="22"/>
  <c r="I3442" i="22"/>
  <c r="I3443" i="22"/>
  <c r="I3444" i="22"/>
  <c r="I3445" i="22"/>
  <c r="I3446" i="22"/>
  <c r="I3447" i="22"/>
  <c r="I3448" i="22"/>
  <c r="I3449" i="22"/>
  <c r="I3450" i="22"/>
  <c r="I3451" i="22"/>
  <c r="I3452" i="22"/>
  <c r="I3453" i="22"/>
  <c r="I3454" i="22"/>
  <c r="I3455" i="22"/>
  <c r="I3456" i="22"/>
  <c r="I3457" i="22"/>
  <c r="I3458" i="22"/>
  <c r="I3459" i="22"/>
  <c r="I3460" i="22"/>
  <c r="I3461" i="22"/>
  <c r="I3462" i="22"/>
  <c r="I3463" i="22"/>
  <c r="I3464" i="22"/>
  <c r="I3465" i="22"/>
  <c r="I3466" i="22"/>
  <c r="I3467" i="22"/>
  <c r="I3468" i="22"/>
  <c r="I3469" i="22"/>
  <c r="I3470" i="22"/>
  <c r="I3471" i="22"/>
  <c r="I3472" i="22"/>
  <c r="I3473" i="22"/>
  <c r="I3474" i="22"/>
  <c r="I3475" i="22"/>
  <c r="I3476" i="22"/>
  <c r="I3477" i="22"/>
  <c r="I3478" i="22"/>
  <c r="I3479" i="22"/>
  <c r="I3480" i="22"/>
  <c r="I3481" i="22"/>
  <c r="I3482" i="22"/>
  <c r="I3483" i="22"/>
  <c r="I3484" i="22"/>
  <c r="I3485" i="22"/>
  <c r="I3486" i="22"/>
  <c r="I3487" i="22"/>
  <c r="I3488" i="22"/>
  <c r="I3489" i="22"/>
  <c r="I3490" i="22"/>
  <c r="I3491" i="22"/>
  <c r="I3492" i="22"/>
  <c r="I3493" i="22"/>
  <c r="I3494" i="22"/>
  <c r="I3495" i="22"/>
  <c r="I3496" i="22"/>
  <c r="I3497" i="22"/>
  <c r="I3498" i="22"/>
  <c r="I3499" i="22"/>
  <c r="I3500" i="22"/>
  <c r="I3501" i="22"/>
  <c r="I3502" i="22"/>
  <c r="I3503" i="22"/>
  <c r="I3504" i="22"/>
  <c r="I3505" i="22"/>
  <c r="I3506" i="22"/>
  <c r="I3507" i="22"/>
  <c r="I3508" i="22"/>
  <c r="I3509" i="22"/>
  <c r="I3510" i="22"/>
  <c r="I3511" i="22"/>
  <c r="I3512" i="22"/>
  <c r="I3513" i="22"/>
  <c r="I3514" i="22"/>
  <c r="I3515" i="22"/>
  <c r="I3516" i="22"/>
  <c r="I3517" i="22"/>
  <c r="I3518" i="22"/>
  <c r="I3519" i="22"/>
  <c r="I3520" i="22"/>
  <c r="I3521" i="22"/>
  <c r="I3522" i="22"/>
  <c r="I3523" i="22"/>
  <c r="I3524" i="22"/>
  <c r="I3525" i="22"/>
  <c r="I3526" i="22"/>
  <c r="I3527" i="22"/>
  <c r="I3528" i="22"/>
  <c r="I3529" i="22"/>
  <c r="I3530" i="22"/>
  <c r="I3531" i="22"/>
  <c r="I3532" i="22"/>
  <c r="I3533" i="22"/>
  <c r="I3534" i="22"/>
  <c r="I3535" i="22"/>
  <c r="I3536" i="22"/>
  <c r="I3537" i="22"/>
  <c r="I3538" i="22"/>
  <c r="I3539" i="22"/>
  <c r="I3540" i="22"/>
  <c r="I3541" i="22"/>
  <c r="I3542" i="22"/>
  <c r="I3543" i="22"/>
  <c r="I3544" i="22"/>
  <c r="I3545" i="22"/>
  <c r="I3546" i="22"/>
  <c r="I3547" i="22"/>
  <c r="I3548" i="22"/>
  <c r="I3549" i="22"/>
  <c r="I3550" i="22"/>
  <c r="I3551" i="22"/>
  <c r="I3552" i="22"/>
  <c r="I3553" i="22"/>
  <c r="I3554" i="22"/>
  <c r="I3555" i="22"/>
  <c r="I3556" i="22"/>
  <c r="I3557" i="22"/>
  <c r="I3558" i="22"/>
  <c r="I3559" i="22"/>
  <c r="I3560" i="22"/>
  <c r="I3561" i="22"/>
  <c r="I3562" i="22"/>
  <c r="I3563" i="22"/>
  <c r="I3564" i="22"/>
  <c r="I3565" i="22"/>
  <c r="I3566" i="22"/>
  <c r="I3567" i="22"/>
  <c r="I3568" i="22"/>
  <c r="I3569" i="22"/>
  <c r="I3570" i="22"/>
  <c r="I3571" i="22"/>
  <c r="I3572" i="22"/>
  <c r="I3573" i="22"/>
  <c r="I3574" i="22"/>
  <c r="I3575" i="22"/>
  <c r="I3576" i="22"/>
  <c r="I3577" i="22"/>
  <c r="I3578" i="22"/>
  <c r="I3579" i="22"/>
  <c r="I3580" i="22"/>
  <c r="I3581" i="22"/>
  <c r="I3582" i="22"/>
  <c r="I3583" i="22"/>
  <c r="I3584" i="22"/>
  <c r="I3585" i="22"/>
  <c r="I3586" i="22"/>
  <c r="I3587" i="22"/>
  <c r="I3588" i="22"/>
  <c r="I3589" i="22"/>
  <c r="I3590" i="22"/>
  <c r="I3591" i="22"/>
  <c r="I3592" i="22"/>
  <c r="I3593" i="22"/>
  <c r="I3594" i="22"/>
  <c r="I3595" i="22"/>
  <c r="I3596" i="22"/>
  <c r="I3597" i="22"/>
  <c r="I3598" i="22"/>
  <c r="I3599" i="22"/>
  <c r="I3600" i="22"/>
  <c r="I3601" i="22"/>
  <c r="I3602" i="22"/>
  <c r="I3603" i="22"/>
  <c r="I3604" i="22"/>
  <c r="I3605" i="22"/>
  <c r="I3606" i="22"/>
  <c r="I3607" i="22"/>
  <c r="I3608" i="22"/>
  <c r="I3609" i="22"/>
  <c r="I3610" i="22"/>
  <c r="I3611" i="22"/>
  <c r="I3612" i="22"/>
  <c r="I3613" i="22"/>
  <c r="I3614" i="22"/>
  <c r="I3615" i="22"/>
  <c r="I3616" i="22"/>
  <c r="I3617" i="22"/>
  <c r="I3618" i="22"/>
  <c r="I3619" i="22"/>
  <c r="I3620" i="22"/>
  <c r="I3621" i="22"/>
  <c r="I3622" i="22"/>
  <c r="I3623" i="22"/>
  <c r="I3624" i="22"/>
  <c r="I3625" i="22"/>
  <c r="I3626" i="22"/>
  <c r="I3627" i="22"/>
  <c r="I3628" i="22"/>
  <c r="I3629" i="22"/>
  <c r="I3630" i="22"/>
  <c r="I3631" i="22"/>
  <c r="I3632" i="22"/>
  <c r="I3633" i="22"/>
  <c r="I3634" i="22"/>
  <c r="I3635" i="22"/>
  <c r="I3636" i="22"/>
  <c r="I3637" i="22"/>
  <c r="I3638" i="22"/>
  <c r="I3639" i="22"/>
  <c r="I3640" i="22"/>
  <c r="I3641" i="22"/>
  <c r="I3642" i="22"/>
  <c r="I3643" i="22"/>
  <c r="I3644" i="22"/>
  <c r="I3645" i="22"/>
  <c r="I3646" i="22"/>
  <c r="I3647" i="22"/>
  <c r="I3648" i="22"/>
  <c r="I3649" i="22"/>
  <c r="I3650" i="22"/>
  <c r="I3651" i="22"/>
  <c r="I3652" i="22"/>
  <c r="I3653" i="22"/>
  <c r="I3654" i="22"/>
  <c r="I3655" i="22"/>
  <c r="I3656" i="22"/>
  <c r="I3657" i="22"/>
  <c r="I3658" i="22"/>
  <c r="I3659" i="22"/>
  <c r="I3660" i="22"/>
  <c r="I3661" i="22"/>
  <c r="I3662" i="22"/>
  <c r="I3663" i="22"/>
  <c r="I3664" i="22"/>
  <c r="I3665" i="22"/>
  <c r="I3666" i="22"/>
  <c r="I3667" i="22"/>
  <c r="I3668" i="22"/>
  <c r="I3669" i="22"/>
  <c r="I3670" i="22"/>
  <c r="I3671" i="22"/>
  <c r="I3672" i="22"/>
  <c r="I3673" i="22"/>
  <c r="I3674" i="22"/>
  <c r="I3675" i="22"/>
  <c r="I3676" i="22"/>
  <c r="I3677" i="22"/>
  <c r="I3678" i="22"/>
  <c r="I3679" i="22"/>
  <c r="I3680" i="22"/>
  <c r="I3681" i="22"/>
  <c r="I3682" i="22"/>
  <c r="I3683" i="22"/>
  <c r="I3684" i="22"/>
  <c r="I3685" i="22"/>
  <c r="I3686" i="22"/>
  <c r="I3687" i="22"/>
  <c r="I3688" i="22"/>
  <c r="I3689" i="22"/>
  <c r="I3690" i="22"/>
  <c r="I3691" i="22"/>
  <c r="I3692" i="22"/>
  <c r="I3693" i="22"/>
  <c r="I3694" i="22"/>
  <c r="I3695" i="22"/>
  <c r="I3696" i="22"/>
  <c r="I3697" i="22"/>
  <c r="I3698" i="22"/>
  <c r="I3699" i="22"/>
  <c r="I3700" i="22"/>
  <c r="I3701" i="22"/>
  <c r="I3702" i="22"/>
  <c r="I3703" i="22"/>
  <c r="I3704" i="22"/>
  <c r="I3705" i="22"/>
  <c r="I3706" i="22"/>
  <c r="I3707" i="22"/>
  <c r="I3708" i="22"/>
  <c r="I3709" i="22"/>
  <c r="I3710" i="22"/>
  <c r="I3711" i="22"/>
  <c r="I3712" i="22"/>
  <c r="I3713" i="22"/>
  <c r="I3714" i="22"/>
  <c r="I3715" i="22"/>
  <c r="I3716" i="22"/>
  <c r="I3717" i="22"/>
  <c r="I3718" i="22"/>
  <c r="I3719" i="22"/>
  <c r="I3720" i="22"/>
  <c r="I3721" i="22"/>
  <c r="I3722" i="22"/>
  <c r="I3723" i="22"/>
  <c r="I3724" i="22"/>
  <c r="I3725" i="22"/>
  <c r="I3726" i="22"/>
  <c r="I3727" i="22"/>
  <c r="I3728" i="22"/>
  <c r="I3729" i="22"/>
  <c r="I3730" i="22"/>
  <c r="I3731" i="22"/>
  <c r="I3732" i="22"/>
  <c r="I3733" i="22"/>
  <c r="I3734" i="22"/>
  <c r="I3735" i="22"/>
  <c r="I3736" i="22"/>
  <c r="I3737" i="22"/>
  <c r="I3738" i="22"/>
  <c r="I3739" i="22"/>
  <c r="I3740" i="22"/>
  <c r="I3741" i="22"/>
  <c r="I3742" i="22"/>
  <c r="I3743" i="22"/>
  <c r="I3744" i="22"/>
  <c r="I3745" i="22"/>
  <c r="I3746" i="22"/>
  <c r="I3747" i="22"/>
  <c r="I3748" i="22"/>
  <c r="I3749" i="22"/>
  <c r="I3750" i="22"/>
  <c r="I3751" i="22"/>
  <c r="I3752" i="22"/>
  <c r="I3753" i="22"/>
  <c r="I3754" i="22"/>
  <c r="I3755" i="22"/>
  <c r="I3756" i="22"/>
  <c r="I3757" i="22"/>
  <c r="I3758" i="22"/>
  <c r="I3759" i="22"/>
  <c r="I3760" i="22"/>
  <c r="I3761" i="22"/>
  <c r="I3762" i="22"/>
  <c r="I3763" i="22"/>
  <c r="I3764" i="22"/>
  <c r="I3765" i="22"/>
  <c r="I3766" i="22"/>
  <c r="I3767" i="22"/>
  <c r="I3768" i="22"/>
  <c r="I3769" i="22"/>
  <c r="I3770" i="22"/>
  <c r="I3771" i="22"/>
  <c r="I3772" i="22"/>
  <c r="I3773" i="22"/>
  <c r="I3774" i="22"/>
  <c r="I3775" i="22"/>
  <c r="I3776" i="22"/>
  <c r="I3777" i="22"/>
  <c r="I3778" i="22"/>
  <c r="I3779" i="22"/>
  <c r="I3780" i="22"/>
  <c r="I3781" i="22"/>
  <c r="I3782" i="22"/>
  <c r="I3783" i="22"/>
  <c r="I3784" i="22"/>
  <c r="I3785" i="22"/>
  <c r="I3786" i="22"/>
  <c r="I3787" i="22"/>
  <c r="I3788" i="22"/>
  <c r="I3789" i="22"/>
  <c r="I3790" i="22"/>
  <c r="I3791" i="22"/>
  <c r="I3792" i="22"/>
  <c r="I3793" i="22"/>
  <c r="I3794" i="22"/>
  <c r="I3795" i="22"/>
  <c r="I3796" i="22"/>
  <c r="I3797" i="22"/>
  <c r="I3798" i="22"/>
  <c r="I3799" i="22"/>
  <c r="I3800" i="22"/>
  <c r="I3801" i="22"/>
  <c r="I3802" i="22"/>
  <c r="I3803" i="22"/>
  <c r="I3804" i="22"/>
  <c r="I3805" i="22"/>
  <c r="I3806" i="22"/>
  <c r="I3807" i="22"/>
  <c r="I3808" i="22"/>
  <c r="I3809" i="22"/>
  <c r="I3810" i="22"/>
  <c r="I3811" i="22"/>
  <c r="I3812" i="22"/>
  <c r="I3813" i="22"/>
  <c r="I3814" i="22"/>
  <c r="I3815" i="22"/>
  <c r="I3816" i="22"/>
  <c r="I3817" i="22"/>
  <c r="I3818" i="22"/>
  <c r="I3819" i="22"/>
  <c r="I3820" i="22"/>
  <c r="I3821" i="22"/>
  <c r="I3822" i="22"/>
  <c r="I3823" i="22"/>
  <c r="I3824" i="22"/>
  <c r="I3825" i="22"/>
  <c r="I3826" i="22"/>
  <c r="I3827" i="22"/>
  <c r="I3828" i="22"/>
  <c r="I3829" i="22"/>
  <c r="I3830" i="22"/>
  <c r="I3831" i="22"/>
  <c r="I3832" i="22"/>
  <c r="I3833" i="22"/>
  <c r="I3834" i="22"/>
  <c r="I3835" i="22"/>
  <c r="I3836" i="22"/>
  <c r="I3837" i="22"/>
  <c r="I3838" i="22"/>
  <c r="I3839" i="22"/>
  <c r="I3840" i="22"/>
  <c r="I3841" i="22"/>
  <c r="I3842" i="22"/>
  <c r="I3843" i="22"/>
  <c r="I3844" i="22"/>
  <c r="I3845" i="22"/>
  <c r="I3846" i="22"/>
  <c r="I3847" i="22"/>
  <c r="I3848" i="22"/>
  <c r="I3849" i="22"/>
  <c r="I3850" i="22"/>
  <c r="I3851" i="22"/>
  <c r="I3852" i="22"/>
  <c r="I3853" i="22"/>
  <c r="I3854" i="22"/>
  <c r="I3855" i="22"/>
  <c r="I3856" i="22"/>
  <c r="I3857" i="22"/>
  <c r="I3858" i="22"/>
  <c r="I3859" i="22"/>
  <c r="I3860" i="22"/>
  <c r="I3861" i="22"/>
  <c r="I3862" i="22"/>
  <c r="I3863" i="22"/>
  <c r="I3864" i="22"/>
  <c r="I3865" i="22"/>
  <c r="I3866" i="22"/>
  <c r="I3867" i="22"/>
  <c r="I3868" i="22"/>
  <c r="I3869" i="22"/>
  <c r="I3870" i="22"/>
  <c r="I3871" i="22"/>
  <c r="I3872" i="22"/>
  <c r="I3873" i="22"/>
  <c r="I3874" i="22"/>
  <c r="I3875" i="22"/>
  <c r="I3876" i="22"/>
  <c r="I3877" i="22"/>
  <c r="I3878" i="22"/>
  <c r="I3879" i="22"/>
  <c r="I3880" i="22"/>
  <c r="I3881" i="22"/>
  <c r="I3882" i="22"/>
  <c r="I3883" i="22"/>
  <c r="I3884" i="22"/>
  <c r="I3885" i="22"/>
  <c r="I3886" i="22"/>
  <c r="I3887" i="22"/>
  <c r="I3888" i="22"/>
  <c r="I3889" i="22"/>
  <c r="I3890" i="22"/>
  <c r="I3891" i="22"/>
  <c r="I3892" i="22"/>
  <c r="I3893" i="22"/>
  <c r="I3894" i="22"/>
  <c r="I3895" i="22"/>
  <c r="I3896" i="22"/>
  <c r="I3897" i="22"/>
  <c r="I3898" i="22"/>
  <c r="I3899" i="22"/>
  <c r="I3900" i="22"/>
  <c r="I3901" i="22"/>
  <c r="I3902" i="22"/>
  <c r="I3903" i="22"/>
  <c r="I3904" i="22"/>
  <c r="I3905" i="22"/>
  <c r="I3906" i="22"/>
  <c r="I3907" i="22"/>
  <c r="I3908" i="22"/>
  <c r="I3909" i="22"/>
  <c r="I3910" i="22"/>
  <c r="I3911" i="22"/>
  <c r="I3912" i="22"/>
  <c r="I3913" i="22"/>
  <c r="I3914" i="22"/>
  <c r="I3915" i="22"/>
  <c r="I3916" i="22"/>
  <c r="I3917" i="22"/>
  <c r="I3918" i="22"/>
  <c r="I3919" i="22"/>
  <c r="I3920" i="22"/>
  <c r="I3921" i="22"/>
  <c r="I3922" i="22"/>
  <c r="I3923" i="22"/>
  <c r="I3924" i="22"/>
  <c r="I3925" i="22"/>
  <c r="I3926" i="22"/>
  <c r="I3927" i="22"/>
  <c r="I3928" i="22"/>
  <c r="I3929" i="22"/>
  <c r="I3930" i="22"/>
  <c r="I3931" i="22"/>
  <c r="I3932" i="22"/>
  <c r="I3933" i="22"/>
  <c r="I3934" i="22"/>
  <c r="I3935" i="22"/>
  <c r="I3936" i="22"/>
  <c r="I3937" i="22"/>
  <c r="I3938" i="22"/>
  <c r="I3939" i="22"/>
  <c r="I3940" i="22"/>
  <c r="I3941" i="22"/>
  <c r="I3942" i="22"/>
  <c r="I3943" i="22"/>
  <c r="I3944" i="22"/>
  <c r="I3945" i="22"/>
  <c r="I3946" i="22"/>
  <c r="I3947" i="22"/>
  <c r="I3948" i="22"/>
  <c r="I3949" i="22"/>
  <c r="I3950" i="22"/>
  <c r="I3951" i="22"/>
  <c r="I3952" i="22"/>
  <c r="I3953" i="22"/>
  <c r="I3954" i="22"/>
  <c r="I3955" i="22"/>
  <c r="I3956" i="22"/>
  <c r="I3957" i="22"/>
  <c r="I3958" i="22"/>
  <c r="I3959" i="22"/>
  <c r="I3960" i="22"/>
  <c r="I3961" i="22"/>
  <c r="I3962" i="22"/>
  <c r="I3963" i="22"/>
  <c r="I3964" i="22"/>
  <c r="I3965" i="22"/>
  <c r="I3966" i="22"/>
  <c r="I3967" i="22"/>
  <c r="I3968" i="22"/>
  <c r="I3969" i="22"/>
  <c r="I3970" i="22"/>
  <c r="I3971" i="22"/>
  <c r="I3972" i="22"/>
  <c r="I3973" i="22"/>
  <c r="I3974" i="22"/>
  <c r="I3975" i="22"/>
  <c r="I3976" i="22"/>
  <c r="I3977" i="22"/>
  <c r="I3978" i="22"/>
  <c r="I3979" i="22"/>
  <c r="I3980" i="22"/>
  <c r="I3981" i="22"/>
  <c r="I3982" i="22"/>
  <c r="I3983" i="22"/>
  <c r="I3984" i="22"/>
  <c r="I3985" i="22"/>
  <c r="I3986" i="22"/>
  <c r="I3987" i="22"/>
  <c r="I3988" i="22"/>
  <c r="I3989" i="22"/>
  <c r="I3990" i="22"/>
  <c r="I3991" i="22"/>
  <c r="I3992" i="22"/>
  <c r="I3993" i="22"/>
  <c r="I3994" i="22"/>
  <c r="I3995" i="22"/>
  <c r="I3996" i="22"/>
  <c r="I3997" i="22"/>
  <c r="I3998" i="22"/>
  <c r="I3999" i="22"/>
  <c r="I4000" i="22"/>
  <c r="I4001" i="22"/>
  <c r="I4002" i="22"/>
  <c r="I4003" i="22"/>
  <c r="I4004" i="22"/>
  <c r="I4005" i="22"/>
  <c r="I4006" i="22"/>
  <c r="I4007" i="22"/>
  <c r="I4008" i="22"/>
  <c r="I4009" i="22"/>
  <c r="I4010" i="22"/>
  <c r="I4011" i="22"/>
  <c r="I4012" i="22"/>
  <c r="I4013" i="22"/>
  <c r="I4014" i="22"/>
  <c r="I4015" i="22"/>
  <c r="I4016" i="22"/>
  <c r="I4017" i="22"/>
  <c r="I4018" i="22"/>
  <c r="I4019" i="22"/>
  <c r="I4020" i="22"/>
  <c r="I4021" i="22"/>
  <c r="I4022" i="22"/>
  <c r="I4023" i="22"/>
  <c r="I4024" i="22"/>
  <c r="I4025" i="22"/>
  <c r="I4026" i="22"/>
  <c r="I4027" i="22"/>
  <c r="I4028" i="22"/>
  <c r="I4029" i="22"/>
  <c r="I4030" i="22"/>
  <c r="I4031" i="22"/>
  <c r="I4032" i="22"/>
  <c r="I4033" i="22"/>
  <c r="I4034" i="22"/>
  <c r="I4035" i="22"/>
  <c r="I4036" i="22"/>
  <c r="I4037" i="22"/>
  <c r="I4038" i="22"/>
  <c r="I4039" i="22"/>
  <c r="I4040" i="22"/>
  <c r="I4041" i="22"/>
  <c r="I4042" i="22"/>
  <c r="I4043" i="22"/>
  <c r="I4044" i="22"/>
  <c r="I4045" i="22"/>
  <c r="I4046" i="22"/>
  <c r="I4047" i="22"/>
  <c r="I4048" i="22"/>
  <c r="I4049" i="22"/>
  <c r="I4050" i="22"/>
  <c r="I4051" i="22"/>
  <c r="I4052" i="22"/>
  <c r="I4053" i="22"/>
  <c r="I4054" i="22"/>
  <c r="I4055" i="22"/>
  <c r="I4056" i="22"/>
  <c r="I4057" i="22"/>
  <c r="I4058" i="22"/>
  <c r="I4059" i="22"/>
  <c r="I4060" i="22"/>
  <c r="I4061" i="22"/>
  <c r="I4062" i="22"/>
  <c r="I4063" i="22"/>
  <c r="I4064" i="22"/>
  <c r="I4065" i="22"/>
  <c r="I4066" i="22"/>
  <c r="I4067" i="22"/>
  <c r="I4068" i="22"/>
  <c r="I4069" i="22"/>
  <c r="I4070" i="22"/>
  <c r="I4071" i="22"/>
  <c r="I4072" i="22"/>
  <c r="I4073" i="22"/>
  <c r="I4074" i="22"/>
  <c r="I4075" i="22"/>
  <c r="I4076" i="22"/>
  <c r="I4077" i="22"/>
  <c r="I4078" i="22"/>
  <c r="I4079" i="22"/>
  <c r="I4080" i="22"/>
  <c r="I4081" i="22"/>
  <c r="I4082" i="22"/>
  <c r="I4083" i="22"/>
  <c r="I4084" i="22"/>
  <c r="I4085" i="22"/>
  <c r="I4086" i="22"/>
  <c r="I4087" i="22"/>
  <c r="I4088" i="22"/>
  <c r="I4089" i="22"/>
  <c r="I4090" i="22"/>
  <c r="I4091" i="22"/>
  <c r="I4092" i="22"/>
  <c r="I4093" i="22"/>
  <c r="I4094" i="22"/>
  <c r="I4095" i="22"/>
  <c r="I4096" i="22"/>
  <c r="I4097" i="22"/>
  <c r="I4098" i="22"/>
  <c r="I4099" i="22"/>
  <c r="I4100" i="22"/>
  <c r="I4101" i="22"/>
  <c r="I4102" i="22"/>
  <c r="I4103" i="22"/>
  <c r="I4104" i="22"/>
  <c r="I4105" i="22"/>
  <c r="I4106" i="22"/>
  <c r="I4107" i="22"/>
  <c r="I4108" i="22"/>
  <c r="I4109" i="22"/>
  <c r="I4110" i="22"/>
  <c r="I4111" i="22"/>
  <c r="I4112" i="22"/>
  <c r="I4113" i="22"/>
  <c r="I4114" i="22"/>
  <c r="I4115" i="22"/>
  <c r="I4116" i="22"/>
  <c r="I4117" i="22"/>
  <c r="I4118" i="22"/>
  <c r="I4119" i="22"/>
  <c r="I4120" i="22"/>
  <c r="I4121" i="22"/>
  <c r="I4122" i="22"/>
  <c r="I4123" i="22"/>
  <c r="I4124" i="22"/>
  <c r="I4125" i="22"/>
  <c r="I4126" i="22"/>
  <c r="I4127" i="22"/>
  <c r="I4128" i="22"/>
  <c r="I4129" i="22"/>
  <c r="I4130" i="22"/>
  <c r="I4131" i="22"/>
  <c r="I4132" i="22"/>
  <c r="I4133" i="22"/>
  <c r="I4134" i="22"/>
  <c r="I4135" i="22"/>
  <c r="I4136" i="22"/>
  <c r="I4137" i="22"/>
  <c r="I4138" i="22"/>
  <c r="I4139" i="22"/>
  <c r="I4140" i="22"/>
  <c r="I4141" i="22"/>
  <c r="I4142" i="22"/>
  <c r="I4143" i="22"/>
  <c r="I4144" i="22"/>
  <c r="I4145" i="22"/>
  <c r="I4146" i="22"/>
  <c r="I4147" i="22"/>
  <c r="I4148" i="22"/>
  <c r="I4149" i="22"/>
  <c r="I4150" i="22"/>
  <c r="I4151" i="22"/>
  <c r="I4152" i="22"/>
  <c r="I4153" i="22"/>
  <c r="I4154" i="22"/>
  <c r="I4155" i="22"/>
  <c r="I4156" i="22"/>
  <c r="I4157" i="22"/>
  <c r="I4158" i="22"/>
  <c r="I4159" i="22"/>
  <c r="I4160" i="22"/>
  <c r="I4161" i="22"/>
  <c r="I4162" i="22"/>
  <c r="I4163" i="22"/>
  <c r="I4164" i="22"/>
  <c r="I4165" i="22"/>
  <c r="I4166" i="22"/>
  <c r="I4167" i="22"/>
  <c r="I4168" i="22"/>
  <c r="I4169" i="22"/>
  <c r="I4170" i="22"/>
  <c r="I4171" i="22"/>
  <c r="I4172" i="22"/>
  <c r="I4173" i="22"/>
  <c r="I4174" i="22"/>
  <c r="I4175" i="22"/>
  <c r="I4176" i="22"/>
  <c r="I4177" i="22"/>
  <c r="I4178" i="22"/>
  <c r="I4179" i="22"/>
  <c r="I4180" i="22"/>
  <c r="I4181" i="22"/>
  <c r="I4182" i="22"/>
  <c r="I4183" i="22"/>
  <c r="I4184" i="22"/>
  <c r="I4185" i="22"/>
  <c r="I4186" i="22"/>
  <c r="I4187" i="22"/>
  <c r="I4188" i="22"/>
  <c r="I4189" i="22"/>
  <c r="I4190" i="22"/>
  <c r="I4191" i="22"/>
  <c r="I4192" i="22"/>
  <c r="I4193" i="22"/>
  <c r="I4194" i="22"/>
  <c r="I4195" i="22"/>
  <c r="I4196" i="22"/>
  <c r="I4197" i="22"/>
  <c r="I4198" i="22"/>
  <c r="I4199" i="22"/>
  <c r="I4200" i="22"/>
  <c r="I4201" i="22"/>
  <c r="I4202" i="22"/>
  <c r="I4203" i="22"/>
  <c r="I4204" i="22"/>
  <c r="I4205" i="22"/>
  <c r="I4206" i="22"/>
  <c r="I4207" i="22"/>
  <c r="I4208" i="22"/>
  <c r="I4209" i="22"/>
  <c r="I4210" i="22"/>
  <c r="I4211" i="22"/>
  <c r="I4212" i="22"/>
  <c r="I4213" i="22"/>
  <c r="I4214" i="22"/>
  <c r="I4215" i="22"/>
  <c r="I4216" i="22"/>
  <c r="I4217" i="22"/>
  <c r="I4218" i="22"/>
  <c r="I4219" i="22"/>
  <c r="I4220" i="22"/>
  <c r="I4221" i="22"/>
  <c r="I4222" i="22"/>
  <c r="I4223" i="22"/>
  <c r="I4224" i="22"/>
  <c r="I4225" i="22"/>
  <c r="I4226" i="22"/>
  <c r="I4227" i="22"/>
  <c r="I4228" i="22"/>
  <c r="I4229" i="22"/>
  <c r="I4230" i="22"/>
  <c r="I4231" i="22"/>
  <c r="I4232" i="22"/>
  <c r="I4233" i="22"/>
  <c r="I4234" i="22"/>
  <c r="I4235" i="22"/>
  <c r="I4236" i="22"/>
  <c r="I4237" i="22"/>
  <c r="I4238" i="22"/>
  <c r="I4239" i="22"/>
  <c r="I4240" i="22"/>
  <c r="I4241" i="22"/>
  <c r="I4242" i="22"/>
  <c r="I4243" i="22"/>
  <c r="I4244" i="22"/>
  <c r="I4245" i="22"/>
  <c r="I4246" i="22"/>
  <c r="I4247" i="22"/>
  <c r="I4248" i="22"/>
  <c r="I4249" i="22"/>
  <c r="I4250" i="22"/>
  <c r="I4251" i="22"/>
  <c r="I4252" i="22"/>
  <c r="I4253" i="22"/>
  <c r="I4254" i="22"/>
  <c r="I4255" i="22"/>
  <c r="I4256" i="22"/>
  <c r="I4257" i="22"/>
  <c r="I4258" i="22"/>
  <c r="I4259" i="22"/>
  <c r="I4260" i="22"/>
  <c r="I4261" i="22"/>
  <c r="I4262" i="22"/>
  <c r="I4263" i="22"/>
  <c r="I4264" i="22"/>
  <c r="I4265" i="22"/>
  <c r="I4266" i="22"/>
  <c r="I4267" i="22"/>
  <c r="I4268" i="22"/>
  <c r="I4269" i="22"/>
  <c r="I4270" i="22"/>
  <c r="I4271" i="22"/>
  <c r="I4272" i="22"/>
  <c r="I4273" i="22"/>
  <c r="I4274" i="22"/>
  <c r="I4275" i="22"/>
  <c r="I4276" i="22"/>
  <c r="I4277" i="22"/>
  <c r="I4278" i="22"/>
  <c r="I4279" i="22"/>
  <c r="I4280" i="22"/>
  <c r="I4281" i="22"/>
  <c r="I4282" i="22"/>
  <c r="I4283" i="22"/>
  <c r="I4284" i="22"/>
  <c r="I4285" i="22"/>
  <c r="I4286" i="22"/>
  <c r="I4287" i="22"/>
  <c r="I4288" i="22"/>
  <c r="I4289" i="22"/>
  <c r="I4290" i="22"/>
  <c r="I4291" i="22"/>
  <c r="I4292" i="22"/>
  <c r="I4293" i="22"/>
  <c r="I4294" i="22"/>
  <c r="I4295" i="22"/>
  <c r="I4296" i="22"/>
  <c r="I4297" i="22"/>
  <c r="I4298" i="22"/>
  <c r="I4299" i="22"/>
  <c r="I4300" i="22"/>
  <c r="I4301" i="22"/>
  <c r="I4302" i="22"/>
  <c r="I4303" i="22"/>
  <c r="I4304" i="22"/>
  <c r="I4305" i="22"/>
  <c r="I4306" i="22"/>
  <c r="I4307" i="22"/>
  <c r="I4308" i="22"/>
  <c r="I4309" i="22"/>
  <c r="I4310" i="22"/>
  <c r="I4311" i="22"/>
  <c r="I4312" i="22"/>
  <c r="I4313" i="22"/>
  <c r="I4314" i="22"/>
  <c r="I4315" i="22"/>
  <c r="I4316" i="22"/>
  <c r="I4317" i="22"/>
  <c r="I4318" i="22"/>
  <c r="I4319" i="22"/>
  <c r="I4320" i="22"/>
  <c r="I4321" i="22"/>
  <c r="I4322" i="22"/>
  <c r="I4323" i="22"/>
  <c r="I4324" i="22"/>
  <c r="I4325" i="22"/>
  <c r="I4326" i="22"/>
  <c r="I4327" i="22"/>
  <c r="I4328" i="22"/>
  <c r="I4329" i="22"/>
  <c r="I4330" i="22"/>
  <c r="I4331" i="22"/>
  <c r="I4332" i="22"/>
  <c r="I4333" i="22"/>
  <c r="I4334" i="22"/>
  <c r="I4335" i="22"/>
  <c r="I4336" i="22"/>
  <c r="I4337" i="22"/>
  <c r="I4338" i="22"/>
  <c r="I4339" i="22"/>
  <c r="I4340" i="22"/>
  <c r="I4341" i="22"/>
  <c r="I4342" i="22"/>
  <c r="I4343" i="22"/>
  <c r="I4344" i="22"/>
  <c r="I4345" i="22"/>
  <c r="I4346" i="22"/>
  <c r="I4347" i="22"/>
  <c r="I4348" i="22"/>
  <c r="I4349" i="22"/>
  <c r="I4350" i="22"/>
  <c r="I4351" i="22"/>
  <c r="I4352" i="22"/>
  <c r="I4353" i="22"/>
  <c r="I4354" i="22"/>
  <c r="I4355" i="22"/>
  <c r="I4356" i="22"/>
  <c r="I4357" i="22"/>
  <c r="I4358" i="22"/>
  <c r="I4359" i="22"/>
  <c r="I4360" i="22"/>
  <c r="I4361" i="22"/>
  <c r="I4362" i="22"/>
  <c r="I4363" i="22"/>
  <c r="I4364" i="22"/>
  <c r="I4365" i="22"/>
  <c r="I4366" i="22"/>
  <c r="I4367" i="22"/>
  <c r="I4368" i="22"/>
  <c r="I4369" i="22"/>
  <c r="I4370" i="22"/>
  <c r="I4371" i="22"/>
  <c r="I4372" i="22"/>
  <c r="I4373" i="22"/>
  <c r="I4374" i="22"/>
  <c r="I4375" i="22"/>
  <c r="I4376" i="22"/>
  <c r="I4377" i="22"/>
  <c r="I4378" i="22"/>
  <c r="I4379" i="22"/>
  <c r="I4380" i="22"/>
  <c r="I4381" i="22"/>
  <c r="I4382" i="22"/>
  <c r="I4383" i="22"/>
  <c r="I4384" i="22"/>
  <c r="I4385" i="22"/>
  <c r="I4386" i="22"/>
  <c r="I4387" i="22"/>
  <c r="I4388" i="22"/>
  <c r="I4389" i="22"/>
  <c r="I4390" i="22"/>
  <c r="I4391" i="22"/>
  <c r="I4392" i="22"/>
  <c r="I4393" i="22"/>
  <c r="I4394" i="22"/>
  <c r="I4395" i="22"/>
  <c r="I4396" i="22"/>
  <c r="I4397" i="22"/>
  <c r="I4398" i="22"/>
  <c r="I4399" i="22"/>
  <c r="I4400" i="22"/>
  <c r="I4401" i="22"/>
  <c r="I4402" i="22"/>
  <c r="I4403" i="22"/>
  <c r="I4404" i="22"/>
  <c r="I4405" i="22"/>
  <c r="I4406" i="22"/>
  <c r="I4407" i="22"/>
  <c r="I4408" i="22"/>
  <c r="I4409" i="22"/>
  <c r="I4410" i="22"/>
  <c r="I4411" i="22"/>
  <c r="I4412" i="22"/>
  <c r="I4413" i="22"/>
  <c r="I4414" i="22"/>
  <c r="I4415" i="22"/>
  <c r="I4416" i="22"/>
  <c r="I4417" i="22"/>
  <c r="I4418" i="22"/>
  <c r="I4419" i="22"/>
  <c r="I4420" i="22"/>
  <c r="I4421" i="22"/>
  <c r="I4422" i="22"/>
  <c r="I4423" i="22"/>
  <c r="I4424" i="22"/>
  <c r="I4425" i="22"/>
  <c r="I4426" i="22"/>
  <c r="I4427" i="22"/>
  <c r="I4428" i="22"/>
  <c r="I4429" i="22"/>
  <c r="I4430" i="22"/>
  <c r="I4431" i="22"/>
  <c r="I4432" i="22"/>
  <c r="I4433" i="22"/>
  <c r="I4434" i="22"/>
  <c r="I4435" i="22"/>
  <c r="I4436" i="22"/>
  <c r="I4437" i="22"/>
  <c r="I4438" i="22"/>
  <c r="I4439" i="22"/>
  <c r="I4440" i="22"/>
  <c r="I4441" i="22"/>
  <c r="I4442" i="22"/>
  <c r="I4443" i="22"/>
  <c r="I4444" i="22"/>
  <c r="I4445" i="22"/>
  <c r="I4446" i="22"/>
  <c r="I4447" i="22"/>
  <c r="I4448" i="22"/>
  <c r="I4449" i="22"/>
  <c r="I4450" i="22"/>
  <c r="I4451" i="22"/>
  <c r="I4452" i="22"/>
  <c r="I4453" i="22"/>
  <c r="I4454" i="22"/>
  <c r="I4455" i="22"/>
  <c r="I4456" i="22"/>
  <c r="I4457" i="22"/>
  <c r="I4458" i="22"/>
  <c r="I4459" i="22"/>
  <c r="I4460" i="22"/>
  <c r="I4461" i="22"/>
  <c r="I4462" i="22"/>
  <c r="I4463" i="22"/>
  <c r="I4464" i="22"/>
  <c r="I4465" i="22"/>
  <c r="I4466" i="22"/>
  <c r="I4467" i="22"/>
  <c r="I4468" i="22"/>
  <c r="I4469" i="22"/>
  <c r="I4470" i="22"/>
  <c r="I4471" i="22"/>
  <c r="I4472" i="22"/>
  <c r="I4473" i="22"/>
  <c r="I4474" i="22"/>
  <c r="I4475" i="22"/>
  <c r="I4476" i="22"/>
  <c r="I4477" i="22"/>
  <c r="I4478" i="22"/>
  <c r="I4479" i="22"/>
  <c r="I4480" i="22"/>
  <c r="I4481" i="22"/>
  <c r="I4482" i="22"/>
  <c r="I4483" i="22"/>
  <c r="I4484" i="22"/>
  <c r="I4485" i="22"/>
  <c r="I4486" i="22"/>
  <c r="I4487" i="22"/>
  <c r="I4488" i="22"/>
  <c r="I4489" i="22"/>
  <c r="I4490" i="22"/>
  <c r="I4491" i="22"/>
  <c r="I4492" i="22"/>
  <c r="I4493" i="22"/>
  <c r="I4494" i="22"/>
  <c r="I4495" i="22"/>
  <c r="I4496" i="22"/>
  <c r="I4497" i="22"/>
  <c r="I4498" i="22"/>
  <c r="I4499" i="22"/>
  <c r="T14" i="11"/>
  <c r="T15" i="11"/>
  <c r="Z4" i="1"/>
  <c r="Z3" i="1"/>
  <c r="X1144" i="1" s="1"/>
  <c r="Z2" i="1"/>
  <c r="Z1" i="1"/>
  <c r="U221" i="1" s="1"/>
  <c r="N63" i="1"/>
  <c r="U46" i="11"/>
  <c r="U45" i="11"/>
  <c r="U44" i="11"/>
  <c r="U43" i="11"/>
  <c r="U41" i="11"/>
  <c r="U40" i="11"/>
  <c r="U38" i="11"/>
  <c r="U37" i="11"/>
  <c r="U36" i="11"/>
  <c r="U35" i="11"/>
  <c r="U34" i="11"/>
  <c r="U33" i="11"/>
  <c r="T46" i="11"/>
  <c r="T45" i="11"/>
  <c r="T44" i="11"/>
  <c r="T43" i="11"/>
  <c r="T41" i="11"/>
  <c r="T40" i="11"/>
  <c r="T38" i="11"/>
  <c r="T37" i="11"/>
  <c r="T36" i="11"/>
  <c r="T35" i="11"/>
  <c r="T34" i="11"/>
  <c r="T33" i="11"/>
  <c r="U23" i="11"/>
  <c r="U24" i="11"/>
  <c r="U25" i="11"/>
  <c r="T23" i="11"/>
  <c r="T24" i="11"/>
  <c r="T25" i="11"/>
  <c r="U22" i="11"/>
  <c r="T22" i="11"/>
  <c r="T20" i="11"/>
  <c r="T19" i="11"/>
  <c r="U18" i="11"/>
  <c r="T18" i="11"/>
  <c r="U13" i="11"/>
  <c r="U16" i="11"/>
  <c r="U17" i="11"/>
  <c r="U12" i="11"/>
  <c r="T13" i="11"/>
  <c r="T16" i="11"/>
  <c r="T17" i="11"/>
  <c r="T12" i="11"/>
  <c r="U39" i="11"/>
  <c r="T39" i="11"/>
  <c r="U42" i="11"/>
  <c r="T32" i="11"/>
  <c r="U19" i="11"/>
  <c r="U20" i="1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J4"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P788" i="1"/>
  <c r="K1297" i="1" a="1"/>
  <c r="K1297" i="1" s="1"/>
  <c r="P4" i="1"/>
  <c r="P9" i="1"/>
  <c r="P3" i="1"/>
  <c r="P5" i="1"/>
  <c r="P6" i="1"/>
  <c r="P7" i="1"/>
  <c r="P8"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X826" i="1" l="1"/>
  <c r="X1228" i="1"/>
  <c r="X1292" i="1"/>
  <c r="X1232" i="1"/>
  <c r="X1132" i="1"/>
  <c r="X1096" i="1"/>
  <c r="X976" i="1"/>
  <c r="X1040" i="1"/>
  <c r="X1172" i="1"/>
  <c r="X1124" i="1"/>
  <c r="X1100" i="1"/>
  <c r="X932" i="1"/>
  <c r="V1291" i="1"/>
  <c r="V1279" i="1"/>
  <c r="V1267" i="1"/>
  <c r="V1255" i="1"/>
  <c r="V1243" i="1"/>
  <c r="V1231" i="1"/>
  <c r="V1195" i="1"/>
  <c r="V1135" i="1"/>
  <c r="V1123" i="1"/>
  <c r="V1111" i="1"/>
  <c r="V1087" i="1"/>
  <c r="V1075" i="1"/>
  <c r="V1051" i="1"/>
  <c r="V1039" i="1"/>
  <c r="V1027" i="1"/>
  <c r="V1015" i="1"/>
  <c r="V1003" i="1"/>
  <c r="V943" i="1"/>
  <c r="X952" i="1"/>
  <c r="X928" i="1"/>
  <c r="X1275" i="1"/>
  <c r="X1131" i="1"/>
  <c r="X1263" i="1"/>
  <c r="X1035" i="1"/>
  <c r="X1215" i="1"/>
  <c r="X1095" i="1"/>
  <c r="X1278" i="1"/>
  <c r="X1194" i="1"/>
  <c r="X1014" i="1"/>
  <c r="X1253" i="1"/>
  <c r="X1241" i="1"/>
  <c r="X1229" i="1"/>
  <c r="X1193" i="1"/>
  <c r="X1085" i="1"/>
  <c r="X1073" i="1"/>
  <c r="X1001" i="1"/>
  <c r="X941" i="1"/>
  <c r="X893" i="1"/>
  <c r="V1297" i="1"/>
  <c r="V1273" i="1"/>
  <c r="V1261" i="1"/>
  <c r="V1249" i="1"/>
  <c r="V1237" i="1"/>
  <c r="V1225" i="1"/>
  <c r="V1213" i="1"/>
  <c r="V1189" i="1"/>
  <c r="V1177" i="1"/>
  <c r="V1165" i="1"/>
  <c r="V1153" i="1"/>
  <c r="V1117" i="1"/>
  <c r="V1105" i="1"/>
  <c r="X1262" i="1"/>
  <c r="X1178" i="1"/>
  <c r="X1046" i="1"/>
  <c r="X1010" i="1"/>
  <c r="V1129" i="1"/>
  <c r="V1296" i="1"/>
  <c r="V1284" i="1"/>
  <c r="V1272" i="1"/>
  <c r="V1260" i="1"/>
  <c r="V1248" i="1"/>
  <c r="V1236" i="1"/>
  <c r="V1224" i="1"/>
  <c r="V1212" i="1"/>
  <c r="V1200" i="1"/>
  <c r="V1188" i="1"/>
  <c r="V1176" i="1"/>
  <c r="V1164" i="1"/>
  <c r="V1152" i="1"/>
  <c r="V1140" i="1"/>
  <c r="V1128" i="1"/>
  <c r="V1116" i="1"/>
  <c r="V1104" i="1"/>
  <c r="V1092" i="1"/>
  <c r="V1080" i="1"/>
  <c r="V1068" i="1"/>
  <c r="V1056" i="1"/>
  <c r="V1044" i="1"/>
  <c r="V1032" i="1"/>
  <c r="V1020" i="1"/>
  <c r="V1008" i="1"/>
  <c r="V996" i="1"/>
  <c r="V984" i="1"/>
  <c r="X1273" i="1"/>
  <c r="X1237" i="1"/>
  <c r="X1189" i="1"/>
  <c r="X1165" i="1"/>
  <c r="X1141" i="1"/>
  <c r="V1141" i="1"/>
  <c r="V1295" i="1"/>
  <c r="V1283" i="1"/>
  <c r="V1259" i="1"/>
  <c r="V1247" i="1"/>
  <c r="V1235" i="1"/>
  <c r="V1223" i="1"/>
  <c r="V1211" i="1"/>
  <c r="V1199" i="1"/>
  <c r="V1187" i="1"/>
  <c r="V1175" i="1"/>
  <c r="V1163" i="1"/>
  <c r="V1151" i="1"/>
  <c r="V1139" i="1"/>
  <c r="V1127" i="1"/>
  <c r="V1115" i="1"/>
  <c r="V1103" i="1"/>
  <c r="V1091" i="1"/>
  <c r="V1079" i="1"/>
  <c r="V1067" i="1"/>
  <c r="V1055" i="1"/>
  <c r="V1043" i="1"/>
  <c r="X1296" i="1"/>
  <c r="X1152" i="1"/>
  <c r="X1068" i="1"/>
  <c r="X1008" i="1"/>
  <c r="X1260" i="1"/>
  <c r="V1285" i="1"/>
  <c r="V1294" i="1"/>
  <c r="V1282" i="1"/>
  <c r="V1270" i="1"/>
  <c r="V1246" i="1"/>
  <c r="V1234" i="1"/>
  <c r="V1222" i="1"/>
  <c r="V1210" i="1"/>
  <c r="V1198" i="1"/>
  <c r="V1186" i="1"/>
  <c r="V1174" i="1"/>
  <c r="V1162" i="1"/>
  <c r="V1150" i="1"/>
  <c r="V1138" i="1"/>
  <c r="V1126" i="1"/>
  <c r="V1114" i="1"/>
  <c r="V1102" i="1"/>
  <c r="V1090" i="1"/>
  <c r="V1078" i="1"/>
  <c r="V1066" i="1"/>
  <c r="V1054" i="1"/>
  <c r="V1042" i="1"/>
  <c r="V1030" i="1"/>
  <c r="V1018" i="1"/>
  <c r="X1211" i="1"/>
  <c r="X1175" i="1"/>
  <c r="X1091" i="1"/>
  <c r="X947" i="1"/>
  <c r="V972" i="1"/>
  <c r="V960" i="1"/>
  <c r="V948" i="1"/>
  <c r="V936" i="1"/>
  <c r="V924" i="1"/>
  <c r="V912" i="1"/>
  <c r="V900" i="1"/>
  <c r="V888" i="1"/>
  <c r="V876" i="1"/>
  <c r="V864" i="1"/>
  <c r="V852" i="1"/>
  <c r="V840" i="1"/>
  <c r="V828" i="1"/>
  <c r="V816" i="1"/>
  <c r="V804" i="1"/>
  <c r="V792" i="1"/>
  <c r="V780" i="1"/>
  <c r="V768" i="1"/>
  <c r="V756" i="1"/>
  <c r="V744" i="1"/>
  <c r="V732" i="1"/>
  <c r="V720" i="1"/>
  <c r="V708" i="1"/>
  <c r="U811" i="1"/>
  <c r="V1031" i="1"/>
  <c r="V1019" i="1"/>
  <c r="V1007" i="1"/>
  <c r="V995" i="1"/>
  <c r="V983" i="1"/>
  <c r="V971" i="1"/>
  <c r="V959" i="1"/>
  <c r="V947" i="1"/>
  <c r="V935" i="1"/>
  <c r="V923" i="1"/>
  <c r="V1006" i="1"/>
  <c r="V994" i="1"/>
  <c r="V982" i="1"/>
  <c r="V970" i="1"/>
  <c r="V958" i="1"/>
  <c r="V946" i="1"/>
  <c r="V934" i="1"/>
  <c r="V922" i="1"/>
  <c r="V910" i="1"/>
  <c r="X1220" i="1"/>
  <c r="U496" i="1"/>
  <c r="U133" i="1"/>
  <c r="V1269" i="1"/>
  <c r="V1257" i="1"/>
  <c r="V1209" i="1"/>
  <c r="V1197" i="1"/>
  <c r="V1173" i="1"/>
  <c r="V1149" i="1"/>
  <c r="V1125" i="1"/>
  <c r="V1113" i="1"/>
  <c r="V1101" i="1"/>
  <c r="V1089" i="1"/>
  <c r="V1065" i="1"/>
  <c r="V1053" i="1"/>
  <c r="V1041" i="1"/>
  <c r="V1017" i="1"/>
  <c r="V1005" i="1"/>
  <c r="V981" i="1"/>
  <c r="V56" i="1"/>
  <c r="V44" i="1"/>
  <c r="V32" i="1"/>
  <c r="V8" i="1"/>
  <c r="V907" i="1"/>
  <c r="V835" i="1"/>
  <c r="V763" i="1"/>
  <c r="V739" i="1"/>
  <c r="V679" i="1"/>
  <c r="V955" i="1"/>
  <c r="V847" i="1"/>
  <c r="V703" i="1"/>
  <c r="X1200" i="1"/>
  <c r="V883" i="1"/>
  <c r="V691" i="1"/>
  <c r="U1243" i="1"/>
  <c r="X793" i="1"/>
  <c r="X772" i="1"/>
  <c r="V1292" i="1"/>
  <c r="V1280" i="1"/>
  <c r="V1256" i="1"/>
  <c r="V1232" i="1"/>
  <c r="V1196" i="1"/>
  <c r="V1184" i="1"/>
  <c r="V1172" i="1"/>
  <c r="V1148" i="1"/>
  <c r="V1124" i="1"/>
  <c r="V1088" i="1"/>
  <c r="V1076" i="1"/>
  <c r="V1040" i="1"/>
  <c r="V1004" i="1"/>
  <c r="V980" i="1"/>
  <c r="V944" i="1"/>
  <c r="V896" i="1"/>
  <c r="V884" i="1"/>
  <c r="V860" i="1"/>
  <c r="V848" i="1"/>
  <c r="V824" i="1"/>
  <c r="V812" i="1"/>
  <c r="V800" i="1"/>
  <c r="V764" i="1"/>
  <c r="V752" i="1"/>
  <c r="V740" i="1"/>
  <c r="V728" i="1"/>
  <c r="V716" i="1"/>
  <c r="V692" i="1"/>
  <c r="V668" i="1"/>
  <c r="V620" i="1"/>
  <c r="V608" i="1"/>
  <c r="V596" i="1"/>
  <c r="V560" i="1"/>
  <c r="V524" i="1"/>
  <c r="V476" i="1"/>
  <c r="V464" i="1"/>
  <c r="V452" i="1"/>
  <c r="V428" i="1"/>
  <c r="V416" i="1"/>
  <c r="V404" i="1"/>
  <c r="V392" i="1"/>
  <c r="V380" i="1"/>
  <c r="V332" i="1"/>
  <c r="V320" i="1"/>
  <c r="V308" i="1"/>
  <c r="V272" i="1"/>
  <c r="V260" i="1"/>
  <c r="V248" i="1"/>
  <c r="V224" i="1"/>
  <c r="V200" i="1"/>
  <c r="V188" i="1"/>
  <c r="V164" i="1"/>
  <c r="V116" i="1"/>
  <c r="V104" i="1"/>
  <c r="V80" i="1"/>
  <c r="V43" i="1"/>
  <c r="V31" i="1"/>
  <c r="V19" i="1"/>
  <c r="V1287" i="1"/>
  <c r="V1263" i="1"/>
  <c r="V1251" i="1"/>
  <c r="V1239" i="1"/>
  <c r="V1227" i="1"/>
  <c r="V1203" i="1"/>
  <c r="V1191" i="1"/>
  <c r="V1179" i="1"/>
  <c r="V1167" i="1"/>
  <c r="V1155" i="1"/>
  <c r="V1143" i="1"/>
  <c r="V1119" i="1"/>
  <c r="V1107" i="1"/>
  <c r="V1095" i="1"/>
  <c r="V1083" i="1"/>
  <c r="V1071" i="1"/>
  <c r="V1059" i="1"/>
  <c r="V1047" i="1"/>
  <c r="V1023" i="1"/>
  <c r="V1011" i="1"/>
  <c r="V999" i="1"/>
  <c r="V987" i="1"/>
  <c r="V975" i="1"/>
  <c r="V963" i="1"/>
  <c r="V951" i="1"/>
  <c r="V927" i="1"/>
  <c r="V915" i="1"/>
  <c r="V903" i="1"/>
  <c r="V879" i="1"/>
  <c r="V867" i="1"/>
  <c r="V855" i="1"/>
  <c r="V843" i="1"/>
  <c r="V831" i="1"/>
  <c r="V819" i="1"/>
  <c r="V807" i="1"/>
  <c r="V795" i="1"/>
  <c r="V783" i="1"/>
  <c r="V771" i="1"/>
  <c r="V1286" i="1"/>
  <c r="V1274" i="1"/>
  <c r="V1262" i="1"/>
  <c r="V1250" i="1"/>
  <c r="V1238" i="1"/>
  <c r="V1226" i="1"/>
  <c r="V1214" i="1"/>
  <c r="V1202" i="1"/>
  <c r="V1190" i="1"/>
  <c r="V1178" i="1"/>
  <c r="V1166" i="1"/>
  <c r="V1154" i="1"/>
  <c r="V1142" i="1"/>
  <c r="V1130" i="1"/>
  <c r="V1118" i="1"/>
  <c r="V1094" i="1"/>
  <c r="V1082" i="1"/>
  <c r="V1070" i="1"/>
  <c r="V1058" i="1"/>
  <c r="V1046" i="1"/>
  <c r="V1034" i="1"/>
  <c r="V1022" i="1"/>
  <c r="V1010" i="1"/>
  <c r="V998" i="1"/>
  <c r="V986" i="1"/>
  <c r="V974" i="1"/>
  <c r="V950" i="1"/>
  <c r="V938" i="1"/>
  <c r="V926" i="1"/>
  <c r="V914" i="1"/>
  <c r="V902" i="1"/>
  <c r="V890" i="1"/>
  <c r="V878" i="1"/>
  <c r="V866" i="1"/>
  <c r="V854" i="1"/>
  <c r="V842" i="1"/>
  <c r="V830" i="1"/>
  <c r="V806" i="1"/>
  <c r="V794" i="1"/>
  <c r="V782" i="1"/>
  <c r="V770" i="1"/>
  <c r="V758" i="1"/>
  <c r="V746" i="1"/>
  <c r="V734" i="1"/>
  <c r="V722" i="1"/>
  <c r="V710" i="1"/>
  <c r="V698" i="1"/>
  <c r="V686" i="1"/>
  <c r="V662" i="1"/>
  <c r="V650" i="1"/>
  <c r="V638" i="1"/>
  <c r="V626" i="1"/>
  <c r="V614" i="1"/>
  <c r="V602" i="1"/>
  <c r="V590" i="1"/>
  <c r="V578" i="1"/>
  <c r="V566" i="1"/>
  <c r="V554" i="1"/>
  <c r="V542" i="1"/>
  <c r="V530" i="1"/>
  <c r="V518" i="1"/>
  <c r="V506" i="1"/>
  <c r="V494" i="1"/>
  <c r="V482" i="1"/>
  <c r="V470" i="1"/>
  <c r="V458" i="1"/>
  <c r="V446" i="1"/>
  <c r="V434" i="1"/>
  <c r="V422" i="1"/>
  <c r="V410" i="1"/>
  <c r="V398" i="1"/>
  <c r="V386" i="1"/>
  <c r="V374" i="1"/>
  <c r="V362" i="1"/>
  <c r="V350" i="1"/>
  <c r="V338" i="1"/>
  <c r="V326" i="1"/>
  <c r="V314" i="1"/>
  <c r="V302" i="1"/>
  <c r="V290" i="1"/>
  <c r="V278" i="1"/>
  <c r="V266" i="1"/>
  <c r="V254" i="1"/>
  <c r="V242" i="1"/>
  <c r="V230" i="1"/>
  <c r="V218" i="1"/>
  <c r="V206" i="1"/>
  <c r="V194" i="1"/>
  <c r="V182" i="1"/>
  <c r="V170" i="1"/>
  <c r="V158" i="1"/>
  <c r="V146" i="1"/>
  <c r="V134" i="1"/>
  <c r="V122" i="1"/>
  <c r="V110" i="1"/>
  <c r="V98" i="1"/>
  <c r="V86" i="1"/>
  <c r="V74" i="1"/>
  <c r="V61" i="1"/>
  <c r="V49" i="1"/>
  <c r="V37" i="1"/>
  <c r="V25" i="1"/>
  <c r="V13" i="1"/>
  <c r="V1093" i="1"/>
  <c r="V1081" i="1"/>
  <c r="V1069" i="1"/>
  <c r="V1057" i="1"/>
  <c r="V1045" i="1"/>
  <c r="V1033" i="1"/>
  <c r="V1021" i="1"/>
  <c r="V1009" i="1"/>
  <c r="V997" i="1"/>
  <c r="V985" i="1"/>
  <c r="V973" i="1"/>
  <c r="V961" i="1"/>
  <c r="V949" i="1"/>
  <c r="V937" i="1"/>
  <c r="V925" i="1"/>
  <c r="V913" i="1"/>
  <c r="V901" i="1"/>
  <c r="V889" i="1"/>
  <c r="V877" i="1"/>
  <c r="V865" i="1"/>
  <c r="V853" i="1"/>
  <c r="V841" i="1"/>
  <c r="V829" i="1"/>
  <c r="V817" i="1"/>
  <c r="V805" i="1"/>
  <c r="V793" i="1"/>
  <c r="V781" i="1"/>
  <c r="V769" i="1"/>
  <c r="V757" i="1"/>
  <c r="V745" i="1"/>
  <c r="V733" i="1"/>
  <c r="V721" i="1"/>
  <c r="V709" i="1"/>
  <c r="V697" i="1"/>
  <c r="V685" i="1"/>
  <c r="V673" i="1"/>
  <c r="V661" i="1"/>
  <c r="V649" i="1"/>
  <c r="V637" i="1"/>
  <c r="V625" i="1"/>
  <c r="V613" i="1"/>
  <c r="V601" i="1"/>
  <c r="V589" i="1"/>
  <c r="V577" i="1"/>
  <c r="V565" i="1"/>
  <c r="V553" i="1"/>
  <c r="V541" i="1"/>
  <c r="V529" i="1"/>
  <c r="V517" i="1"/>
  <c r="V505" i="1"/>
  <c r="V493" i="1"/>
  <c r="V481" i="1"/>
  <c r="V469" i="1"/>
  <c r="V457" i="1"/>
  <c r="V445" i="1"/>
  <c r="V433" i="1"/>
  <c r="V421" i="1"/>
  <c r="V409" i="1"/>
  <c r="V397" i="1"/>
  <c r="V385" i="1"/>
  <c r="V373" i="1"/>
  <c r="V361" i="1"/>
  <c r="V349" i="1"/>
  <c r="V325" i="1"/>
  <c r="V313" i="1"/>
  <c r="V301" i="1"/>
  <c r="V289" i="1"/>
  <c r="V277" i="1"/>
  <c r="V265" i="1"/>
  <c r="V253" i="1"/>
  <c r="V241" i="1"/>
  <c r="V229" i="1"/>
  <c r="V217" i="1"/>
  <c r="V205" i="1"/>
  <c r="V193" i="1"/>
  <c r="V181" i="1"/>
  <c r="V169" i="1"/>
  <c r="V157" i="1"/>
  <c r="V145" i="1"/>
  <c r="V133" i="1"/>
  <c r="V121" i="1"/>
  <c r="V109" i="1"/>
  <c r="V97" i="1"/>
  <c r="V85" i="1"/>
  <c r="V73" i="1"/>
  <c r="X18" i="1"/>
  <c r="X1297" i="1"/>
  <c r="X1259" i="1"/>
  <c r="X1212" i="1"/>
  <c r="X1168" i="1"/>
  <c r="X1120" i="1"/>
  <c r="X1062" i="1"/>
  <c r="X998" i="1"/>
  <c r="X891" i="1"/>
  <c r="X1167" i="1"/>
  <c r="X1118" i="1"/>
  <c r="X1060" i="1"/>
  <c r="X996" i="1"/>
  <c r="X882" i="1"/>
  <c r="X1295" i="1"/>
  <c r="X1252" i="1"/>
  <c r="X1208" i="1"/>
  <c r="X1166" i="1"/>
  <c r="X1117" i="1"/>
  <c r="X1047" i="1"/>
  <c r="X984" i="1"/>
  <c r="X881" i="1"/>
  <c r="X1285" i="1"/>
  <c r="X1238" i="1"/>
  <c r="X1199" i="1"/>
  <c r="X1156" i="1"/>
  <c r="X1097" i="1"/>
  <c r="X1043" i="1"/>
  <c r="X964" i="1"/>
  <c r="X824" i="1"/>
  <c r="U1242" i="1"/>
  <c r="X1274" i="1"/>
  <c r="X1230" i="1"/>
  <c r="X1190" i="1"/>
  <c r="X1142" i="1"/>
  <c r="X1092" i="1"/>
  <c r="X1026" i="1"/>
  <c r="X942" i="1"/>
  <c r="X771" i="1"/>
  <c r="U1205" i="1"/>
  <c r="U1204" i="1"/>
  <c r="U1114" i="1"/>
  <c r="U864" i="1"/>
  <c r="U859" i="1"/>
  <c r="U573" i="1"/>
  <c r="X692" i="1"/>
  <c r="U807" i="1"/>
  <c r="U776" i="1"/>
  <c r="U1257" i="1"/>
  <c r="U552" i="1"/>
  <c r="U1066" i="1"/>
  <c r="U494" i="1"/>
  <c r="U1004" i="1"/>
  <c r="U450" i="1"/>
  <c r="U982" i="1"/>
  <c r="U448" i="1"/>
  <c r="U948" i="1"/>
  <c r="U365" i="1"/>
  <c r="X677" i="1"/>
  <c r="U1048" i="1"/>
  <c r="U730" i="1"/>
  <c r="U10" i="1"/>
  <c r="U736" i="1"/>
  <c r="U12" i="1"/>
  <c r="U1044" i="1"/>
  <c r="U706" i="1"/>
  <c r="U1003" i="1"/>
  <c r="U572" i="1"/>
  <c r="X1061" i="1"/>
  <c r="X1000" i="1"/>
  <c r="X903" i="1"/>
  <c r="X609" i="1"/>
  <c r="U1173" i="1"/>
  <c r="U330" i="1"/>
  <c r="V1278" i="1"/>
  <c r="V1242" i="1"/>
  <c r="V1230" i="1"/>
  <c r="V1218" i="1"/>
  <c r="V1206" i="1"/>
  <c r="V1194" i="1"/>
  <c r="V1182" i="1"/>
  <c r="V1158" i="1"/>
  <c r="V1134" i="1"/>
  <c r="V1122" i="1"/>
  <c r="V1110" i="1"/>
  <c r="V1074" i="1"/>
  <c r="V1062" i="1"/>
  <c r="V1014" i="1"/>
  <c r="V990" i="1"/>
  <c r="V966" i="1"/>
  <c r="V918" i="1"/>
  <c r="V894" i="1"/>
  <c r="V870" i="1"/>
  <c r="V858" i="1"/>
  <c r="V822" i="1"/>
  <c r="V798" i="1"/>
  <c r="V774" i="1"/>
  <c r="V726" i="1"/>
  <c r="V714" i="1"/>
  <c r="V678" i="1"/>
  <c r="V666" i="1"/>
  <c r="V654" i="1"/>
  <c r="U1132" i="1"/>
  <c r="U920" i="1"/>
  <c r="U660" i="1"/>
  <c r="U329" i="1"/>
  <c r="U705" i="1"/>
  <c r="V1289" i="1"/>
  <c r="V1277" i="1"/>
  <c r="V1265" i="1"/>
  <c r="V1253" i="1"/>
  <c r="V1241" i="1"/>
  <c r="V1229" i="1"/>
  <c r="V1217" i="1"/>
  <c r="V1205" i="1"/>
  <c r="V1193" i="1"/>
  <c r="V1133" i="1"/>
  <c r="V1109" i="1"/>
  <c r="V1097" i="1"/>
  <c r="V1085" i="1"/>
  <c r="V989" i="1"/>
  <c r="U1128" i="1"/>
  <c r="U919" i="1"/>
  <c r="U631" i="1"/>
  <c r="U222" i="1"/>
  <c r="X968" i="1"/>
  <c r="X889" i="1"/>
  <c r="X438" i="1"/>
  <c r="U947" i="1"/>
  <c r="V1288" i="1"/>
  <c r="V1276" i="1"/>
  <c r="V1264" i="1"/>
  <c r="V1252" i="1"/>
  <c r="V1240" i="1"/>
  <c r="V1228" i="1"/>
  <c r="V1216" i="1"/>
  <c r="V1204" i="1"/>
  <c r="V1192" i="1"/>
  <c r="V1180" i="1"/>
  <c r="V1168" i="1"/>
  <c r="V1156" i="1"/>
  <c r="V1144" i="1"/>
  <c r="V1132" i="1"/>
  <c r="V1120" i="1"/>
  <c r="V1108" i="1"/>
  <c r="V1096" i="1"/>
  <c r="V1084" i="1"/>
  <c r="V1072" i="1"/>
  <c r="V1060" i="1"/>
  <c r="V1048" i="1"/>
  <c r="V1036" i="1"/>
  <c r="V1024" i="1"/>
  <c r="V1012" i="1"/>
  <c r="V1000" i="1"/>
  <c r="V988" i="1"/>
  <c r="V976" i="1"/>
  <c r="V964" i="1"/>
  <c r="V952" i="1"/>
  <c r="V940" i="1"/>
  <c r="V928" i="1"/>
  <c r="V916" i="1"/>
  <c r="V904" i="1"/>
  <c r="V892" i="1"/>
  <c r="V880" i="1"/>
  <c r="V868" i="1"/>
  <c r="V856" i="1"/>
  <c r="V844" i="1"/>
  <c r="V832" i="1"/>
  <c r="V808" i="1"/>
  <c r="V796" i="1"/>
  <c r="V784" i="1"/>
  <c r="V760" i="1"/>
  <c r="U1115" i="1"/>
  <c r="U871" i="1"/>
  <c r="U630" i="1"/>
  <c r="X965" i="1"/>
  <c r="X886" i="1"/>
  <c r="X422" i="1"/>
  <c r="X623" i="1"/>
  <c r="X1286" i="1"/>
  <c r="X1256" i="1"/>
  <c r="X1223" i="1"/>
  <c r="X1192" i="1"/>
  <c r="X1157" i="1"/>
  <c r="X1119" i="1"/>
  <c r="X1076" i="1"/>
  <c r="X1036" i="1"/>
  <c r="X987" i="1"/>
  <c r="X939" i="1"/>
  <c r="X831" i="1"/>
  <c r="X525" i="1"/>
  <c r="X1277" i="1"/>
  <c r="X1249" i="1"/>
  <c r="X1214" i="1"/>
  <c r="X1184" i="1"/>
  <c r="X1151" i="1"/>
  <c r="X1116" i="1"/>
  <c r="X1067" i="1"/>
  <c r="X1025" i="1"/>
  <c r="X972" i="1"/>
  <c r="X927" i="1"/>
  <c r="X801" i="1"/>
  <c r="X421" i="1"/>
  <c r="V62" i="1"/>
  <c r="V50" i="1"/>
  <c r="V38" i="1"/>
  <c r="V26" i="1"/>
  <c r="X1276" i="1"/>
  <c r="X1242" i="1"/>
  <c r="X1213" i="1"/>
  <c r="X1179" i="1"/>
  <c r="X1145" i="1"/>
  <c r="X1108" i="1"/>
  <c r="X1064" i="1"/>
  <c r="X1016" i="1"/>
  <c r="X971" i="1"/>
  <c r="X910" i="1"/>
  <c r="X796" i="1"/>
  <c r="X254" i="1"/>
  <c r="X1290" i="1"/>
  <c r="X1271" i="1"/>
  <c r="X1248" i="1"/>
  <c r="X1227" i="1"/>
  <c r="X1205" i="1"/>
  <c r="X1182" i="1"/>
  <c r="X1164" i="1"/>
  <c r="X1136" i="1"/>
  <c r="X1115" i="1"/>
  <c r="X1084" i="1"/>
  <c r="X1055" i="1"/>
  <c r="X1024" i="1"/>
  <c r="X990" i="1"/>
  <c r="X962" i="1"/>
  <c r="X925" i="1"/>
  <c r="X855" i="1"/>
  <c r="X714" i="1"/>
  <c r="X412" i="1"/>
  <c r="X1289" i="1"/>
  <c r="X1268" i="1"/>
  <c r="X1247" i="1"/>
  <c r="X1226" i="1"/>
  <c r="X1204" i="1"/>
  <c r="X1181" i="1"/>
  <c r="X1163" i="1"/>
  <c r="X1134" i="1"/>
  <c r="X1112" i="1"/>
  <c r="X1083" i="1"/>
  <c r="X1049" i="1"/>
  <c r="X1023" i="1"/>
  <c r="X989" i="1"/>
  <c r="X959" i="1"/>
  <c r="X924" i="1"/>
  <c r="X850" i="1"/>
  <c r="X712" i="1"/>
  <c r="X312" i="1"/>
  <c r="X1288" i="1"/>
  <c r="X1264" i="1"/>
  <c r="X1244" i="1"/>
  <c r="X1225" i="1"/>
  <c r="X1201" i="1"/>
  <c r="X1180" i="1"/>
  <c r="X1160" i="1"/>
  <c r="X1133" i="1"/>
  <c r="X1109" i="1"/>
  <c r="X1079" i="1"/>
  <c r="X1048" i="1"/>
  <c r="X1020" i="1"/>
  <c r="X988" i="1"/>
  <c r="X956" i="1"/>
  <c r="X913" i="1"/>
  <c r="X848" i="1"/>
  <c r="X709" i="1"/>
  <c r="X267" i="1"/>
  <c r="X239" i="1"/>
  <c r="X1280" i="1"/>
  <c r="X1261" i="1"/>
  <c r="X1240" i="1"/>
  <c r="X1216" i="1"/>
  <c r="X1196" i="1"/>
  <c r="X1177" i="1"/>
  <c r="X1153" i="1"/>
  <c r="X1130" i="1"/>
  <c r="X1098" i="1"/>
  <c r="X1072" i="1"/>
  <c r="X1044" i="1"/>
  <c r="X1011" i="1"/>
  <c r="X983" i="1"/>
  <c r="X944" i="1"/>
  <c r="X901" i="1"/>
  <c r="X825" i="1"/>
  <c r="X671" i="1"/>
  <c r="X191" i="1"/>
  <c r="V655" i="1"/>
  <c r="V643" i="1"/>
  <c r="V595" i="1"/>
  <c r="V559" i="1"/>
  <c r="V547" i="1"/>
  <c r="V511" i="1"/>
  <c r="V499" i="1"/>
  <c r="V463" i="1"/>
  <c r="V439" i="1"/>
  <c r="V391" i="1"/>
  <c r="V379" i="1"/>
  <c r="V367" i="1"/>
  <c r="V355" i="1"/>
  <c r="V343" i="1"/>
  <c r="V307" i="1"/>
  <c r="V295" i="1"/>
  <c r="V283" i="1"/>
  <c r="V259" i="1"/>
  <c r="V247" i="1"/>
  <c r="V223" i="1"/>
  <c r="V211" i="1"/>
  <c r="V199" i="1"/>
  <c r="V187" i="1"/>
  <c r="V175" i="1"/>
  <c r="V151" i="1"/>
  <c r="V127" i="1"/>
  <c r="V115" i="1"/>
  <c r="V103" i="1"/>
  <c r="V91" i="1"/>
  <c r="V79" i="1"/>
  <c r="V54" i="1"/>
  <c r="V30" i="1"/>
  <c r="V18" i="1"/>
  <c r="V630" i="1"/>
  <c r="V606" i="1"/>
  <c r="V582" i="1"/>
  <c r="V570" i="1"/>
  <c r="V558" i="1"/>
  <c r="V534" i="1"/>
  <c r="V522" i="1"/>
  <c r="V510" i="1"/>
  <c r="V486" i="1"/>
  <c r="V474" i="1"/>
  <c r="V438" i="1"/>
  <c r="V426" i="1"/>
  <c r="V414" i="1"/>
  <c r="V390" i="1"/>
  <c r="V378" i="1"/>
  <c r="V366" i="1"/>
  <c r="V342" i="1"/>
  <c r="V318" i="1"/>
  <c r="V306" i="1"/>
  <c r="V294" i="1"/>
  <c r="V282" i="1"/>
  <c r="V270" i="1"/>
  <c r="V234" i="1"/>
  <c r="V222" i="1"/>
  <c r="V198" i="1"/>
  <c r="V186" i="1"/>
  <c r="V174" i="1"/>
  <c r="V150" i="1"/>
  <c r="V138" i="1"/>
  <c r="V126" i="1"/>
  <c r="V102" i="1"/>
  <c r="V90" i="1"/>
  <c r="U13" i="1"/>
  <c r="U223" i="1"/>
  <c r="U451" i="1"/>
  <c r="U574" i="1"/>
  <c r="U708" i="1"/>
  <c r="U816" i="1"/>
  <c r="U921" i="1"/>
  <c r="U1008" i="1"/>
  <c r="U1122" i="1"/>
  <c r="U1206" i="1"/>
  <c r="U319" i="1"/>
  <c r="U489" i="1"/>
  <c r="U624" i="1"/>
  <c r="U725" i="1"/>
  <c r="U857" i="1"/>
  <c r="U945" i="1"/>
  <c r="U1042" i="1"/>
  <c r="U1126" i="1"/>
  <c r="U1240" i="1"/>
  <c r="U322" i="1"/>
  <c r="U490" i="1"/>
  <c r="U629" i="1"/>
  <c r="U729" i="1"/>
  <c r="U858" i="1"/>
  <c r="U946" i="1"/>
  <c r="U1043" i="1"/>
  <c r="U1127" i="1"/>
  <c r="U1241" i="1"/>
  <c r="U137" i="1"/>
  <c r="U366" i="1"/>
  <c r="U557" i="1"/>
  <c r="U662" i="1"/>
  <c r="U777" i="1"/>
  <c r="U872" i="1"/>
  <c r="U983" i="1"/>
  <c r="U1067" i="1"/>
  <c r="U1174" i="1"/>
  <c r="U1258" i="1"/>
  <c r="U139" i="1"/>
  <c r="U369" i="1"/>
  <c r="U558" i="1"/>
  <c r="U663" i="1"/>
  <c r="U778" i="1"/>
  <c r="U873" i="1"/>
  <c r="U984" i="1"/>
  <c r="U1074" i="1"/>
  <c r="U1175" i="1"/>
  <c r="U1259" i="1"/>
  <c r="U154" i="1"/>
  <c r="U370" i="1"/>
  <c r="U562" i="1"/>
  <c r="U664" i="1"/>
  <c r="U780" i="1"/>
  <c r="U874" i="1"/>
  <c r="U988" i="1"/>
  <c r="U1075" i="1"/>
  <c r="U1176" i="1"/>
  <c r="U1266" i="1"/>
  <c r="U217" i="1"/>
  <c r="U441" i="1"/>
  <c r="U571" i="1"/>
  <c r="U704" i="1"/>
  <c r="U806" i="1"/>
  <c r="U918" i="1"/>
  <c r="U1002" i="1"/>
  <c r="U1113" i="1"/>
  <c r="U1200" i="1"/>
  <c r="V63" i="1"/>
  <c r="V14" i="1"/>
  <c r="V696" i="1"/>
  <c r="V684" i="1"/>
  <c r="V672" i="1"/>
  <c r="V660" i="1"/>
  <c r="V648" i="1"/>
  <c r="V636" i="1"/>
  <c r="V624" i="1"/>
  <c r="V612" i="1"/>
  <c r="V600" i="1"/>
  <c r="V588" i="1"/>
  <c r="V576" i="1"/>
  <c r="V564" i="1"/>
  <c r="V552" i="1"/>
  <c r="V540" i="1"/>
  <c r="V528" i="1"/>
  <c r="V516" i="1"/>
  <c r="V504" i="1"/>
  <c r="V492" i="1"/>
  <c r="V480" i="1"/>
  <c r="V468" i="1"/>
  <c r="V444" i="1"/>
  <c r="V432" i="1"/>
  <c r="V420" i="1"/>
  <c r="V408" i="1"/>
  <c r="V396" i="1"/>
  <c r="V384" i="1"/>
  <c r="V372" i="1"/>
  <c r="V360" i="1"/>
  <c r="V348" i="1"/>
  <c r="V336" i="1"/>
  <c r="V324" i="1"/>
  <c r="V312" i="1"/>
  <c r="V300" i="1"/>
  <c r="V288" i="1"/>
  <c r="V276" i="1"/>
  <c r="V264" i="1"/>
  <c r="V252" i="1"/>
  <c r="V240" i="1"/>
  <c r="V228" i="1"/>
  <c r="V216" i="1"/>
  <c r="V204" i="1"/>
  <c r="V192" i="1"/>
  <c r="V180" i="1"/>
  <c r="V168" i="1"/>
  <c r="V156" i="1"/>
  <c r="V144" i="1"/>
  <c r="V132" i="1"/>
  <c r="V120" i="1"/>
  <c r="V108" i="1"/>
  <c r="V96" i="1"/>
  <c r="V84" i="1"/>
  <c r="V72" i="1"/>
  <c r="V60" i="1"/>
  <c r="V48" i="1"/>
  <c r="V36" i="1"/>
  <c r="V24" i="1"/>
  <c r="V12" i="1"/>
  <c r="V911" i="1"/>
  <c r="V899" i="1"/>
  <c r="V887" i="1"/>
  <c r="V875" i="1"/>
  <c r="V851" i="1"/>
  <c r="V827" i="1"/>
  <c r="V803" i="1"/>
  <c r="V779" i="1"/>
  <c r="V767" i="1"/>
  <c r="V755" i="1"/>
  <c r="V743" i="1"/>
  <c r="V731" i="1"/>
  <c r="V707" i="1"/>
  <c r="V695" i="1"/>
  <c r="V683" i="1"/>
  <c r="V659" i="1"/>
  <c r="V898" i="1"/>
  <c r="V886" i="1"/>
  <c r="V874" i="1"/>
  <c r="V850" i="1"/>
  <c r="V838" i="1"/>
  <c r="V826" i="1"/>
  <c r="V814" i="1"/>
  <c r="V802" i="1"/>
  <c r="V790" i="1"/>
  <c r="V778" i="1"/>
  <c r="V766" i="1"/>
  <c r="V754" i="1"/>
  <c r="V730" i="1"/>
  <c r="V718" i="1"/>
  <c r="V706" i="1"/>
  <c r="V694" i="1"/>
  <c r="V682" i="1"/>
  <c r="V670" i="1"/>
  <c r="V658" i="1"/>
  <c r="V646" i="1"/>
  <c r="V634" i="1"/>
  <c r="V622" i="1"/>
  <c r="V610" i="1"/>
  <c r="V598" i="1"/>
  <c r="V586" i="1"/>
  <c r="V574" i="1"/>
  <c r="V562" i="1"/>
  <c r="V550" i="1"/>
  <c r="V538" i="1"/>
  <c r="V526" i="1"/>
  <c r="V514" i="1"/>
  <c r="V933" i="1"/>
  <c r="V873" i="1"/>
  <c r="V861" i="1"/>
  <c r="V849" i="1"/>
  <c r="V837" i="1"/>
  <c r="V801" i="1"/>
  <c r="V789" i="1"/>
  <c r="V765" i="1"/>
  <c r="V753" i="1"/>
  <c r="V741" i="1"/>
  <c r="V729" i="1"/>
  <c r="V693" i="1"/>
  <c r="V681" i="1"/>
  <c r="V669" i="1"/>
  <c r="V965" i="1"/>
  <c r="V953" i="1"/>
  <c r="V893" i="1"/>
  <c r="V857" i="1"/>
  <c r="V833" i="1"/>
  <c r="V797" i="1"/>
  <c r="V773" i="1"/>
  <c r="V749" i="1"/>
  <c r="V737" i="1"/>
  <c r="V725" i="1"/>
  <c r="V713" i="1"/>
  <c r="V689" i="1"/>
  <c r="V653" i="1"/>
  <c r="V617" i="1"/>
  <c r="V605" i="1"/>
  <c r="V593" i="1"/>
  <c r="V581" i="1"/>
  <c r="V557" i="1"/>
  <c r="V509" i="1"/>
  <c r="V497" i="1"/>
  <c r="V425" i="1"/>
  <c r="V413" i="1"/>
  <c r="V377" i="1"/>
  <c r="V353" i="1"/>
  <c r="V329" i="1"/>
  <c r="V221" i="1"/>
  <c r="V209" i="1"/>
  <c r="V197" i="1"/>
  <c r="V185" i="1"/>
  <c r="V101" i="1"/>
  <c r="V89" i="1"/>
  <c r="V77" i="1"/>
  <c r="V65" i="1"/>
  <c r="V53" i="1"/>
  <c r="V41" i="1"/>
  <c r="V29" i="1"/>
  <c r="V17" i="1"/>
  <c r="V748" i="1"/>
  <c r="V736" i="1"/>
  <c r="V724" i="1"/>
  <c r="V712" i="1"/>
  <c r="V700" i="1"/>
  <c r="V688" i="1"/>
  <c r="V676" i="1"/>
  <c r="V664" i="1"/>
  <c r="V652" i="1"/>
  <c r="V640" i="1"/>
  <c r="V616" i="1"/>
  <c r="V604" i="1"/>
  <c r="V592" i="1"/>
  <c r="V580" i="1"/>
  <c r="V568" i="1"/>
  <c r="V556" i="1"/>
  <c r="V544" i="1"/>
  <c r="V532" i="1"/>
  <c r="V520" i="1"/>
  <c r="V508" i="1"/>
  <c r="V496" i="1"/>
  <c r="V484" i="1"/>
  <c r="V472" i="1"/>
  <c r="V460" i="1"/>
  <c r="V448" i="1"/>
  <c r="V436" i="1"/>
  <c r="V424" i="1"/>
  <c r="V412" i="1"/>
  <c r="V400" i="1"/>
  <c r="V388" i="1"/>
  <c r="V376" i="1"/>
  <c r="V364" i="1"/>
  <c r="V352" i="1"/>
  <c r="V340" i="1"/>
  <c r="V328" i="1"/>
  <c r="V316" i="1"/>
  <c r="V304" i="1"/>
  <c r="V292" i="1"/>
  <c r="V280" i="1"/>
  <c r="V268" i="1"/>
  <c r="V256" i="1"/>
  <c r="V244" i="1"/>
  <c r="V232" i="1"/>
  <c r="V220" i="1"/>
  <c r="V208" i="1"/>
  <c r="V196" i="1"/>
  <c r="V184" i="1"/>
  <c r="V172" i="1"/>
  <c r="V160" i="1"/>
  <c r="V148" i="1"/>
  <c r="V136" i="1"/>
  <c r="V124" i="1"/>
  <c r="V112" i="1"/>
  <c r="V100" i="1"/>
  <c r="V88" i="1"/>
  <c r="V76" i="1"/>
  <c r="V64" i="1"/>
  <c r="V52" i="1"/>
  <c r="V40" i="1"/>
  <c r="V28" i="1"/>
  <c r="V16" i="1"/>
  <c r="V4" i="1"/>
  <c r="X1148" i="1"/>
  <c r="X1129" i="1"/>
  <c r="X1104" i="1"/>
  <c r="X1082" i="1"/>
  <c r="X1059" i="1"/>
  <c r="X1031" i="1"/>
  <c r="X1007" i="1"/>
  <c r="X980" i="1"/>
  <c r="X951" i="1"/>
  <c r="X922" i="1"/>
  <c r="X869" i="1"/>
  <c r="X786" i="1"/>
  <c r="X585" i="1"/>
  <c r="X181" i="1"/>
  <c r="V759" i="1"/>
  <c r="V735" i="1"/>
  <c r="V723" i="1"/>
  <c r="V711" i="1"/>
  <c r="V687" i="1"/>
  <c r="V675" i="1"/>
  <c r="V663" i="1"/>
  <c r="V651" i="1"/>
  <c r="V639" i="1"/>
  <c r="V615" i="1"/>
  <c r="V603" i="1"/>
  <c r="V591" i="1"/>
  <c r="V579" i="1"/>
  <c r="V567" i="1"/>
  <c r="V543" i="1"/>
  <c r="V531" i="1"/>
  <c r="V519" i="1"/>
  <c r="V507" i="1"/>
  <c r="V495" i="1"/>
  <c r="V471" i="1"/>
  <c r="V447" i="1"/>
  <c r="V435" i="1"/>
  <c r="V423" i="1"/>
  <c r="V411" i="1"/>
  <c r="V399" i="1"/>
  <c r="V387" i="1"/>
  <c r="V375" i="1"/>
  <c r="V363" i="1"/>
  <c r="V351" i="1"/>
  <c r="V339" i="1"/>
  <c r="V327" i="1"/>
  <c r="V315" i="1"/>
  <c r="V303" i="1"/>
  <c r="V291" i="1"/>
  <c r="V279" i="1"/>
  <c r="V267" i="1"/>
  <c r="V255" i="1"/>
  <c r="V243" i="1"/>
  <c r="V231" i="1"/>
  <c r="V219" i="1"/>
  <c r="V207" i="1"/>
  <c r="V195" i="1"/>
  <c r="V183" i="1"/>
  <c r="V171" i="1"/>
  <c r="V159" i="1"/>
  <c r="V147" i="1"/>
  <c r="V135" i="1"/>
  <c r="V123" i="1"/>
  <c r="V111" i="1"/>
  <c r="V99" i="1"/>
  <c r="V87" i="1"/>
  <c r="V75" i="1"/>
  <c r="V51" i="1"/>
  <c r="V39" i="1"/>
  <c r="V27" i="1"/>
  <c r="V15" i="1"/>
  <c r="V3" i="1"/>
  <c r="X1146" i="1"/>
  <c r="X1127" i="1"/>
  <c r="X1103" i="1"/>
  <c r="X1080" i="1"/>
  <c r="X1056" i="1"/>
  <c r="X1028" i="1"/>
  <c r="X1004" i="1"/>
  <c r="X977" i="1"/>
  <c r="X948" i="1"/>
  <c r="X921" i="1"/>
  <c r="X867" i="1"/>
  <c r="X779" i="1"/>
  <c r="X552" i="1"/>
  <c r="X177" i="1"/>
  <c r="U1290" i="1"/>
  <c r="U1219" i="1"/>
  <c r="U1159" i="1"/>
  <c r="U1092" i="1"/>
  <c r="U1032" i="1"/>
  <c r="U964" i="1"/>
  <c r="U904" i="1"/>
  <c r="U834" i="1"/>
  <c r="U764" i="1"/>
  <c r="U679" i="1"/>
  <c r="U607" i="1"/>
  <c r="U529" i="1"/>
  <c r="U439" i="1"/>
  <c r="U261" i="1"/>
  <c r="U94" i="1"/>
  <c r="U1289" i="1"/>
  <c r="U1218" i="1"/>
  <c r="U1158" i="1"/>
  <c r="U1091" i="1"/>
  <c r="U1031" i="1"/>
  <c r="U960" i="1"/>
  <c r="U900" i="1"/>
  <c r="U833" i="1"/>
  <c r="U763" i="1"/>
  <c r="U678" i="1"/>
  <c r="U606" i="1"/>
  <c r="U528" i="1"/>
  <c r="U438" i="1"/>
  <c r="U245" i="1"/>
  <c r="U79" i="1"/>
  <c r="U1288" i="1"/>
  <c r="U1211" i="1"/>
  <c r="U1157" i="1"/>
  <c r="U1090" i="1"/>
  <c r="U1030" i="1"/>
  <c r="U956" i="1"/>
  <c r="U899" i="1"/>
  <c r="U832" i="1"/>
  <c r="U762" i="1"/>
  <c r="U674" i="1"/>
  <c r="U605" i="1"/>
  <c r="U526" i="1"/>
  <c r="U426" i="1"/>
  <c r="U237" i="1"/>
  <c r="U77" i="1"/>
  <c r="U1284" i="1"/>
  <c r="U1210" i="1"/>
  <c r="U1156" i="1"/>
  <c r="U1089" i="1"/>
  <c r="U1029" i="1"/>
  <c r="U955" i="1"/>
  <c r="U898" i="1"/>
  <c r="U831" i="1"/>
  <c r="U761" i="1"/>
  <c r="U672" i="1"/>
  <c r="U604" i="1"/>
  <c r="U521" i="1"/>
  <c r="U417" i="1"/>
  <c r="U235" i="1"/>
  <c r="U72" i="1"/>
  <c r="X963" i="1"/>
  <c r="X938" i="1"/>
  <c r="X896" i="1"/>
  <c r="X846" i="1"/>
  <c r="X753" i="1"/>
  <c r="X497" i="1"/>
  <c r="X133" i="1"/>
  <c r="U1276" i="1"/>
  <c r="U1236" i="1"/>
  <c r="U1192" i="1"/>
  <c r="U1152" i="1"/>
  <c r="U1108" i="1"/>
  <c r="U1065" i="1"/>
  <c r="U1018" i="1"/>
  <c r="U981" i="1"/>
  <c r="U934" i="1"/>
  <c r="U897" i="1"/>
  <c r="U848" i="1"/>
  <c r="U804" i="1"/>
  <c r="U748" i="1"/>
  <c r="U703" i="1"/>
  <c r="U646" i="1"/>
  <c r="U603" i="1"/>
  <c r="U546" i="1"/>
  <c r="U487" i="1"/>
  <c r="U396" i="1"/>
  <c r="U305" i="1"/>
  <c r="U178" i="1"/>
  <c r="U69" i="1"/>
  <c r="U1269" i="1"/>
  <c r="U1235" i="1"/>
  <c r="U1185" i="1"/>
  <c r="U1148" i="1"/>
  <c r="U1098" i="1"/>
  <c r="U1064" i="1"/>
  <c r="U1014" i="1"/>
  <c r="U980" i="1"/>
  <c r="U930" i="1"/>
  <c r="U893" i="1"/>
  <c r="U837" i="1"/>
  <c r="U802" i="1"/>
  <c r="U739" i="1"/>
  <c r="U702" i="1"/>
  <c r="U639" i="1"/>
  <c r="U594" i="1"/>
  <c r="U533" i="1"/>
  <c r="U481" i="1"/>
  <c r="U393" i="1"/>
  <c r="U301" i="1"/>
  <c r="U177" i="1"/>
  <c r="U67" i="1"/>
  <c r="U1268" i="1"/>
  <c r="U1234" i="1"/>
  <c r="U1181" i="1"/>
  <c r="U1147" i="1"/>
  <c r="U1097" i="1"/>
  <c r="U1063" i="1"/>
  <c r="U1013" i="1"/>
  <c r="U979" i="1"/>
  <c r="U923" i="1"/>
  <c r="U892" i="1"/>
  <c r="U836" i="1"/>
  <c r="U801" i="1"/>
  <c r="U738" i="1"/>
  <c r="U701" i="1"/>
  <c r="U633" i="1"/>
  <c r="U593" i="1"/>
  <c r="U532" i="1"/>
  <c r="U472" i="1"/>
  <c r="U391" i="1"/>
  <c r="U293" i="1"/>
  <c r="U169" i="1"/>
  <c r="U60" i="1"/>
  <c r="U1267" i="1"/>
  <c r="U1224" i="1"/>
  <c r="U1180" i="1"/>
  <c r="U1140" i="1"/>
  <c r="U1096" i="1"/>
  <c r="U1056" i="1"/>
  <c r="U1012" i="1"/>
  <c r="U969" i="1"/>
  <c r="U922" i="1"/>
  <c r="U885" i="1"/>
  <c r="U835" i="1"/>
  <c r="U794" i="1"/>
  <c r="U737" i="1"/>
  <c r="U689" i="1"/>
  <c r="U632" i="1"/>
  <c r="U588" i="1"/>
  <c r="U530" i="1"/>
  <c r="U470" i="1"/>
  <c r="U390" i="1"/>
  <c r="U288" i="1"/>
  <c r="U157" i="1"/>
  <c r="U34" i="1"/>
  <c r="U1283" i="1"/>
  <c r="U1256" i="1"/>
  <c r="U1223" i="1"/>
  <c r="U1196" i="1"/>
  <c r="U1172" i="1"/>
  <c r="U1139" i="1"/>
  <c r="U1112" i="1"/>
  <c r="U1085" i="1"/>
  <c r="U1052" i="1"/>
  <c r="U1028" i="1"/>
  <c r="U1001" i="1"/>
  <c r="U968" i="1"/>
  <c r="U941" i="1"/>
  <c r="U917" i="1"/>
  <c r="U884" i="1"/>
  <c r="U856" i="1"/>
  <c r="U823" i="1"/>
  <c r="U788" i="1"/>
  <c r="U760" i="1"/>
  <c r="U724" i="1"/>
  <c r="U688" i="1"/>
  <c r="U652" i="1"/>
  <c r="U622" i="1"/>
  <c r="U586" i="1"/>
  <c r="U550" i="1"/>
  <c r="U516" i="1"/>
  <c r="U467" i="1"/>
  <c r="U413" i="1"/>
  <c r="U355" i="1"/>
  <c r="U286" i="1"/>
  <c r="U216" i="1"/>
  <c r="U120" i="1"/>
  <c r="U33" i="1"/>
  <c r="U1282" i="1"/>
  <c r="U1255" i="1"/>
  <c r="U1222" i="1"/>
  <c r="U1195" i="1"/>
  <c r="U1171" i="1"/>
  <c r="U1138" i="1"/>
  <c r="U1111" i="1"/>
  <c r="U1084" i="1"/>
  <c r="U1051" i="1"/>
  <c r="U1027" i="1"/>
  <c r="U1000" i="1"/>
  <c r="U967" i="1"/>
  <c r="U940" i="1"/>
  <c r="U916" i="1"/>
  <c r="U883" i="1"/>
  <c r="U855" i="1"/>
  <c r="U822" i="1"/>
  <c r="U787" i="1"/>
  <c r="U759" i="1"/>
  <c r="U723" i="1"/>
  <c r="U687" i="1"/>
  <c r="U651" i="1"/>
  <c r="U621" i="1"/>
  <c r="U585" i="1"/>
  <c r="U549" i="1"/>
  <c r="U515" i="1"/>
  <c r="U466" i="1"/>
  <c r="U411" i="1"/>
  <c r="U354" i="1"/>
  <c r="U281" i="1"/>
  <c r="U214" i="1"/>
  <c r="U109" i="1"/>
  <c r="U31" i="1"/>
  <c r="U1281" i="1"/>
  <c r="U1248" i="1"/>
  <c r="U1221" i="1"/>
  <c r="U1194" i="1"/>
  <c r="U1161" i="1"/>
  <c r="U1137" i="1"/>
  <c r="U1110" i="1"/>
  <c r="U1077" i="1"/>
  <c r="U1050" i="1"/>
  <c r="U1026" i="1"/>
  <c r="U993" i="1"/>
  <c r="U966" i="1"/>
  <c r="U936" i="1"/>
  <c r="U906" i="1"/>
  <c r="U882" i="1"/>
  <c r="U850" i="1"/>
  <c r="U818" i="1"/>
  <c r="U783" i="1"/>
  <c r="U753" i="1"/>
  <c r="U717" i="1"/>
  <c r="U681" i="1"/>
  <c r="U650" i="1"/>
  <c r="U609" i="1"/>
  <c r="U581" i="1"/>
  <c r="U548" i="1"/>
  <c r="U503" i="1"/>
  <c r="U465" i="1"/>
  <c r="U409" i="1"/>
  <c r="U353" i="1"/>
  <c r="U269" i="1"/>
  <c r="U189" i="1"/>
  <c r="U108" i="1"/>
  <c r="U17" i="1"/>
  <c r="U1277" i="1"/>
  <c r="U1244" i="1"/>
  <c r="U1220" i="1"/>
  <c r="U1193" i="1"/>
  <c r="U1160" i="1"/>
  <c r="U1133" i="1"/>
  <c r="U1109" i="1"/>
  <c r="U1076" i="1"/>
  <c r="U1049" i="1"/>
  <c r="U1019" i="1"/>
  <c r="U989" i="1"/>
  <c r="U965" i="1"/>
  <c r="U935" i="1"/>
  <c r="U905" i="1"/>
  <c r="U875" i="1"/>
  <c r="U849" i="1"/>
  <c r="U817" i="1"/>
  <c r="U782" i="1"/>
  <c r="U749" i="1"/>
  <c r="U710" i="1"/>
  <c r="U680" i="1"/>
  <c r="U648" i="1"/>
  <c r="U608" i="1"/>
  <c r="U576" i="1"/>
  <c r="U547" i="1"/>
  <c r="U502" i="1"/>
  <c r="U464" i="1"/>
  <c r="U399" i="1"/>
  <c r="U333" i="1"/>
  <c r="U265" i="1"/>
  <c r="U180" i="1"/>
  <c r="U106" i="1"/>
  <c r="X861" i="1"/>
  <c r="X819" i="1"/>
  <c r="X724" i="1"/>
  <c r="X599" i="1"/>
  <c r="X369" i="1"/>
  <c r="X860" i="1"/>
  <c r="X810" i="1"/>
  <c r="X721" i="1"/>
  <c r="X597" i="1"/>
  <c r="X320" i="1"/>
  <c r="X834" i="1"/>
  <c r="X782" i="1"/>
  <c r="X685" i="1"/>
  <c r="X479" i="1"/>
  <c r="X205" i="1"/>
  <c r="X865" i="1"/>
  <c r="X822" i="1"/>
  <c r="X752" i="1"/>
  <c r="X600" i="1"/>
  <c r="X381" i="1"/>
  <c r="X108" i="1"/>
  <c r="X1287" i="1"/>
  <c r="X1272" i="1"/>
  <c r="X1254" i="1"/>
  <c r="X1239" i="1"/>
  <c r="X1224" i="1"/>
  <c r="X1206" i="1"/>
  <c r="X1191" i="1"/>
  <c r="X1176" i="1"/>
  <c r="X1158" i="1"/>
  <c r="X1143" i="1"/>
  <c r="X1128" i="1"/>
  <c r="X1110" i="1"/>
  <c r="X1094" i="1"/>
  <c r="X1074" i="1"/>
  <c r="X1058" i="1"/>
  <c r="X1037" i="1"/>
  <c r="X1019" i="1"/>
  <c r="X999" i="1"/>
  <c r="X978" i="1"/>
  <c r="X960" i="1"/>
  <c r="X940" i="1"/>
  <c r="X917" i="1"/>
  <c r="X885" i="1"/>
  <c r="X849" i="1"/>
  <c r="X814" i="1"/>
  <c r="X770" i="1"/>
  <c r="X680" i="1"/>
  <c r="X541" i="1"/>
  <c r="X340" i="1"/>
  <c r="X162" i="1"/>
  <c r="X1284" i="1"/>
  <c r="X1266" i="1"/>
  <c r="X1251" i="1"/>
  <c r="X1236" i="1"/>
  <c r="X1218" i="1"/>
  <c r="X1203" i="1"/>
  <c r="X1188" i="1"/>
  <c r="X1170" i="1"/>
  <c r="X1155" i="1"/>
  <c r="X1140" i="1"/>
  <c r="X1122" i="1"/>
  <c r="X1107" i="1"/>
  <c r="X1088" i="1"/>
  <c r="X1071" i="1"/>
  <c r="X1052" i="1"/>
  <c r="X1034" i="1"/>
  <c r="X1013" i="1"/>
  <c r="X995" i="1"/>
  <c r="X975" i="1"/>
  <c r="X954" i="1"/>
  <c r="X936" i="1"/>
  <c r="X909" i="1"/>
  <c r="X874" i="1"/>
  <c r="X841" i="1"/>
  <c r="X800" i="1"/>
  <c r="X743" i="1"/>
  <c r="X654" i="1"/>
  <c r="X494" i="1"/>
  <c r="X309" i="1"/>
  <c r="X76" i="1"/>
  <c r="X1283" i="1"/>
  <c r="X1265" i="1"/>
  <c r="X1250" i="1"/>
  <c r="X1235" i="1"/>
  <c r="X1217" i="1"/>
  <c r="X1202" i="1"/>
  <c r="X1187" i="1"/>
  <c r="X1169" i="1"/>
  <c r="X1154" i="1"/>
  <c r="X1139" i="1"/>
  <c r="X1121" i="1"/>
  <c r="X1106" i="1"/>
  <c r="X1086" i="1"/>
  <c r="X1070" i="1"/>
  <c r="X1050" i="1"/>
  <c r="X1032" i="1"/>
  <c r="X1012" i="1"/>
  <c r="X992" i="1"/>
  <c r="X974" i="1"/>
  <c r="X953" i="1"/>
  <c r="X935" i="1"/>
  <c r="X908" i="1"/>
  <c r="X870" i="1"/>
  <c r="X838" i="1"/>
  <c r="X798" i="1"/>
  <c r="X735" i="1"/>
  <c r="X640" i="1"/>
  <c r="X482" i="1"/>
  <c r="X297" i="1"/>
  <c r="X62" i="1"/>
  <c r="X294" i="1"/>
  <c r="X104" i="1"/>
  <c r="X95" i="1"/>
  <c r="X1038" i="1"/>
  <c r="X1022" i="1"/>
  <c r="X1002" i="1"/>
  <c r="X986" i="1"/>
  <c r="X966" i="1"/>
  <c r="X950" i="1"/>
  <c r="X929" i="1"/>
  <c r="X906" i="1"/>
  <c r="X872" i="1"/>
  <c r="X845" i="1"/>
  <c r="X807" i="1"/>
  <c r="X767" i="1"/>
  <c r="X684" i="1"/>
  <c r="X565" i="1"/>
  <c r="X410" i="1"/>
  <c r="X225" i="1"/>
  <c r="X50" i="1"/>
  <c r="X723" i="1"/>
  <c r="X651" i="1"/>
  <c r="X508" i="1"/>
  <c r="X368" i="1"/>
  <c r="X194" i="1"/>
  <c r="X47" i="1"/>
  <c r="Q408" i="1"/>
  <c r="S408" i="1" s="1"/>
  <c r="U36" i="1"/>
  <c r="U97" i="1"/>
  <c r="U150" i="1"/>
  <c r="U193" i="1"/>
  <c r="U246" i="1"/>
  <c r="U294" i="1"/>
  <c r="U341" i="1"/>
  <c r="U387" i="1"/>
  <c r="U418" i="1"/>
  <c r="U452" i="1"/>
  <c r="U482" i="1"/>
  <c r="U510" i="1"/>
  <c r="U534" i="1"/>
  <c r="U564" i="1"/>
  <c r="U590" i="1"/>
  <c r="U615" i="1"/>
  <c r="U643" i="1"/>
  <c r="U665" i="1"/>
  <c r="U690" i="1"/>
  <c r="U718" i="1"/>
  <c r="U744" i="1"/>
  <c r="U765" i="1"/>
  <c r="U795" i="1"/>
  <c r="U819" i="1"/>
  <c r="U842" i="1"/>
  <c r="U868" i="1"/>
  <c r="U886" i="1"/>
  <c r="U907" i="1"/>
  <c r="U931" i="1"/>
  <c r="U952" i="1"/>
  <c r="U970" i="1"/>
  <c r="U994" i="1"/>
  <c r="U1015" i="1"/>
  <c r="U1036" i="1"/>
  <c r="U1060" i="1"/>
  <c r="U1078" i="1"/>
  <c r="U1099" i="1"/>
  <c r="U1123" i="1"/>
  <c r="U1144" i="1"/>
  <c r="U1162" i="1"/>
  <c r="U1186" i="1"/>
  <c r="U1207" i="1"/>
  <c r="U1228" i="1"/>
  <c r="U1252" i="1"/>
  <c r="U1270" i="1"/>
  <c r="U1291" i="1"/>
  <c r="U37" i="1"/>
  <c r="U101" i="1"/>
  <c r="U151" i="1"/>
  <c r="U197" i="1"/>
  <c r="U247" i="1"/>
  <c r="U297" i="1"/>
  <c r="U343" i="1"/>
  <c r="U388" i="1"/>
  <c r="U420" i="1"/>
  <c r="U453" i="1"/>
  <c r="U484" i="1"/>
  <c r="U511" i="1"/>
  <c r="U535" i="1"/>
  <c r="U566" i="1"/>
  <c r="U591" i="1"/>
  <c r="U616" i="1"/>
  <c r="U644" i="1"/>
  <c r="U666" i="1"/>
  <c r="U691" i="1"/>
  <c r="U720" i="1"/>
  <c r="U746" i="1"/>
  <c r="U766" i="1"/>
  <c r="U796" i="1"/>
  <c r="U820" i="1"/>
  <c r="U843" i="1"/>
  <c r="U869" i="1"/>
  <c r="U887" i="1"/>
  <c r="U908" i="1"/>
  <c r="U932" i="1"/>
  <c r="U953" i="1"/>
  <c r="U971" i="1"/>
  <c r="U995" i="1"/>
  <c r="U1016" i="1"/>
  <c r="U1037" i="1"/>
  <c r="U1061" i="1"/>
  <c r="U1079" i="1"/>
  <c r="U1100" i="1"/>
  <c r="U1124" i="1"/>
  <c r="U1145" i="1"/>
  <c r="U1163" i="1"/>
  <c r="U1187" i="1"/>
  <c r="U1208" i="1"/>
  <c r="U1229" i="1"/>
  <c r="U1253" i="1"/>
  <c r="U1271" i="1"/>
  <c r="U1292" i="1"/>
  <c r="U54" i="1"/>
  <c r="U102" i="1"/>
  <c r="U153" i="1"/>
  <c r="U213" i="1"/>
  <c r="U252" i="1"/>
  <c r="U300" i="1"/>
  <c r="U352" i="1"/>
  <c r="U389" i="1"/>
  <c r="U421" i="1"/>
  <c r="U457" i="1"/>
  <c r="U485" i="1"/>
  <c r="U513" i="1"/>
  <c r="U545" i="1"/>
  <c r="U567" i="1"/>
  <c r="U592" i="1"/>
  <c r="U620" i="1"/>
  <c r="U645" i="1"/>
  <c r="U667" i="1"/>
  <c r="U696" i="1"/>
  <c r="U722" i="1"/>
  <c r="U747" i="1"/>
  <c r="U775" i="1"/>
  <c r="U797" i="1"/>
  <c r="U821" i="1"/>
  <c r="U847" i="1"/>
  <c r="U870" i="1"/>
  <c r="U888" i="1"/>
  <c r="U912" i="1"/>
  <c r="U933" i="1"/>
  <c r="U954" i="1"/>
  <c r="U978" i="1"/>
  <c r="U996" i="1"/>
  <c r="U1017" i="1"/>
  <c r="U1041" i="1"/>
  <c r="U1062" i="1"/>
  <c r="U1080" i="1"/>
  <c r="U1104" i="1"/>
  <c r="U1125" i="1"/>
  <c r="U1146" i="1"/>
  <c r="U1170" i="1"/>
  <c r="U1188" i="1"/>
  <c r="U1209" i="1"/>
  <c r="U1233" i="1"/>
  <c r="U1254" i="1"/>
  <c r="U1272" i="1"/>
  <c r="U1296" i="1"/>
  <c r="U505" i="1"/>
  <c r="U469" i="1"/>
  <c r="U437" i="1"/>
  <c r="U378" i="1"/>
  <c r="U325" i="1"/>
  <c r="U264" i="1"/>
  <c r="U192" i="1"/>
  <c r="U132" i="1"/>
  <c r="U66" i="1"/>
  <c r="U504" i="1"/>
  <c r="U468" i="1"/>
  <c r="U427" i="1"/>
  <c r="U372" i="1"/>
  <c r="U324" i="1"/>
  <c r="U262" i="1"/>
  <c r="U190" i="1"/>
  <c r="U121" i="1"/>
  <c r="U61" i="1"/>
  <c r="V635" i="1"/>
  <c r="V623" i="1"/>
  <c r="V611" i="1"/>
  <c r="V599" i="1"/>
  <c r="V587" i="1"/>
  <c r="V575" i="1"/>
  <c r="V563" i="1"/>
  <c r="V539" i="1"/>
  <c r="V527" i="1"/>
  <c r="V515" i="1"/>
  <c r="V491" i="1"/>
  <c r="V479" i="1"/>
  <c r="V467" i="1"/>
  <c r="V443" i="1"/>
  <c r="V419" i="1"/>
  <c r="V407" i="1"/>
  <c r="V395" i="1"/>
  <c r="V383" i="1"/>
  <c r="V323" i="1"/>
  <c r="V311" i="1"/>
  <c r="V275" i="1"/>
  <c r="V263" i="1"/>
  <c r="V239" i="1"/>
  <c r="V227" i="1"/>
  <c r="V215" i="1"/>
  <c r="V191" i="1"/>
  <c r="V155" i="1"/>
  <c r="V143" i="1"/>
  <c r="V131" i="1"/>
  <c r="V119" i="1"/>
  <c r="V95" i="1"/>
  <c r="V71" i="1"/>
  <c r="V59" i="1"/>
  <c r="V35" i="1"/>
  <c r="V23" i="1"/>
  <c r="V502" i="1"/>
  <c r="V490" i="1"/>
  <c r="V478" i="1"/>
  <c r="V466" i="1"/>
  <c r="V442" i="1"/>
  <c r="V430" i="1"/>
  <c r="V418" i="1"/>
  <c r="V406" i="1"/>
  <c r="V394" i="1"/>
  <c r="V382" i="1"/>
  <c r="V370" i="1"/>
  <c r="V358" i="1"/>
  <c r="V346" i="1"/>
  <c r="V334" i="1"/>
  <c r="V322" i="1"/>
  <c r="V310" i="1"/>
  <c r="V298" i="1"/>
  <c r="V286" i="1"/>
  <c r="V274" i="1"/>
  <c r="V262" i="1"/>
  <c r="V250" i="1"/>
  <c r="V238" i="1"/>
  <c r="V226" i="1"/>
  <c r="V214" i="1"/>
  <c r="V202" i="1"/>
  <c r="V190" i="1"/>
  <c r="V166" i="1"/>
  <c r="V154" i="1"/>
  <c r="V142" i="1"/>
  <c r="V130" i="1"/>
  <c r="V118" i="1"/>
  <c r="V106" i="1"/>
  <c r="V94" i="1"/>
  <c r="V82" i="1"/>
  <c r="V70" i="1"/>
  <c r="V46" i="1"/>
  <c r="V34" i="1"/>
  <c r="V22" i="1"/>
  <c r="V10" i="1"/>
  <c r="V645" i="1"/>
  <c r="V609" i="1"/>
  <c r="V573" i="1"/>
  <c r="V537" i="1"/>
  <c r="V501" i="1"/>
  <c r="V489" i="1"/>
  <c r="V465" i="1"/>
  <c r="V417" i="1"/>
  <c r="V393" i="1"/>
  <c r="V357" i="1"/>
  <c r="V345" i="1"/>
  <c r="V297" i="1"/>
  <c r="V285" i="1"/>
  <c r="V273" i="1"/>
  <c r="V261" i="1"/>
  <c r="V237" i="1"/>
  <c r="V225" i="1"/>
  <c r="V201" i="1"/>
  <c r="V153" i="1"/>
  <c r="V141" i="1"/>
  <c r="V129" i="1"/>
  <c r="V105" i="1"/>
  <c r="V93" i="1"/>
  <c r="V69" i="1"/>
  <c r="V57" i="1"/>
  <c r="V45" i="1"/>
  <c r="V21" i="1"/>
  <c r="V9" i="1"/>
  <c r="Q1249" i="1"/>
  <c r="S1249" i="1" s="1"/>
  <c r="X1105" i="1"/>
  <c r="X1093" i="1"/>
  <c r="X1081" i="1"/>
  <c r="X1069" i="1"/>
  <c r="X1057" i="1"/>
  <c r="X1045" i="1"/>
  <c r="X1033" i="1"/>
  <c r="X1021" i="1"/>
  <c r="X1009" i="1"/>
  <c r="X997" i="1"/>
  <c r="X985" i="1"/>
  <c r="X973" i="1"/>
  <c r="X961" i="1"/>
  <c r="X949" i="1"/>
  <c r="X937" i="1"/>
  <c r="X923" i="1"/>
  <c r="X905" i="1"/>
  <c r="X884" i="1"/>
  <c r="X862" i="1"/>
  <c r="X843" i="1"/>
  <c r="X821" i="1"/>
  <c r="X795" i="1"/>
  <c r="X756" i="1"/>
  <c r="X713" i="1"/>
  <c r="X657" i="1"/>
  <c r="X593" i="1"/>
  <c r="X493" i="1"/>
  <c r="X377" i="1"/>
  <c r="X282" i="1"/>
  <c r="X180" i="1"/>
  <c r="X52" i="1"/>
  <c r="X1294" i="1"/>
  <c r="X1282" i="1"/>
  <c r="X1270" i="1"/>
  <c r="X1258" i="1"/>
  <c r="X1246" i="1"/>
  <c r="X1234" i="1"/>
  <c r="X1222" i="1"/>
  <c r="X1210" i="1"/>
  <c r="X1198" i="1"/>
  <c r="X1186" i="1"/>
  <c r="X1174" i="1"/>
  <c r="X1162" i="1"/>
  <c r="X1150" i="1"/>
  <c r="X1138" i="1"/>
  <c r="X1126" i="1"/>
  <c r="X1114" i="1"/>
  <c r="X1102" i="1"/>
  <c r="X1090" i="1"/>
  <c r="X1078" i="1"/>
  <c r="X1066" i="1"/>
  <c r="X1054" i="1"/>
  <c r="X1042" i="1"/>
  <c r="X1030" i="1"/>
  <c r="X1018" i="1"/>
  <c r="X1006" i="1"/>
  <c r="X994" i="1"/>
  <c r="X982" i="1"/>
  <c r="X970" i="1"/>
  <c r="X958" i="1"/>
  <c r="X946" i="1"/>
  <c r="X934" i="1"/>
  <c r="X920" i="1"/>
  <c r="X898" i="1"/>
  <c r="X879" i="1"/>
  <c r="X858" i="1"/>
  <c r="X837" i="1"/>
  <c r="X813" i="1"/>
  <c r="X785" i="1"/>
  <c r="X749" i="1"/>
  <c r="X700" i="1"/>
  <c r="X649" i="1"/>
  <c r="X555" i="1"/>
  <c r="X468" i="1"/>
  <c r="X366" i="1"/>
  <c r="X249" i="1"/>
  <c r="X137" i="1"/>
  <c r="X37" i="1"/>
  <c r="X1293" i="1"/>
  <c r="X1281" i="1"/>
  <c r="X1269" i="1"/>
  <c r="X1257" i="1"/>
  <c r="X1245" i="1"/>
  <c r="X1233" i="1"/>
  <c r="X1221" i="1"/>
  <c r="X1209" i="1"/>
  <c r="X1197" i="1"/>
  <c r="X1185" i="1"/>
  <c r="X1173" i="1"/>
  <c r="X1161" i="1"/>
  <c r="X1149" i="1"/>
  <c r="X1137" i="1"/>
  <c r="X1125" i="1"/>
  <c r="X1113" i="1"/>
  <c r="X1101" i="1"/>
  <c r="X1089" i="1"/>
  <c r="X1077" i="1"/>
  <c r="X1065" i="1"/>
  <c r="X1053" i="1"/>
  <c r="X1041" i="1"/>
  <c r="X1029" i="1"/>
  <c r="X1017" i="1"/>
  <c r="X1005" i="1"/>
  <c r="X993" i="1"/>
  <c r="X981" i="1"/>
  <c r="X969" i="1"/>
  <c r="X957" i="1"/>
  <c r="X945" i="1"/>
  <c r="X933" i="1"/>
  <c r="X918" i="1"/>
  <c r="X897" i="1"/>
  <c r="X877" i="1"/>
  <c r="X857" i="1"/>
  <c r="X836" i="1"/>
  <c r="X812" i="1"/>
  <c r="X784" i="1"/>
  <c r="X744" i="1"/>
  <c r="X695" i="1"/>
  <c r="X641" i="1"/>
  <c r="X554" i="1"/>
  <c r="X450" i="1"/>
  <c r="X364" i="1"/>
  <c r="X240" i="1"/>
  <c r="X134" i="1"/>
  <c r="X32" i="1"/>
  <c r="X1291" i="1"/>
  <c r="X1279" i="1"/>
  <c r="X1267" i="1"/>
  <c r="X1255" i="1"/>
  <c r="X1243" i="1"/>
  <c r="X1231" i="1"/>
  <c r="X1219" i="1"/>
  <c r="X1207" i="1"/>
  <c r="X1195" i="1"/>
  <c r="X1183" i="1"/>
  <c r="X1171" i="1"/>
  <c r="X1159" i="1"/>
  <c r="X1147" i="1"/>
  <c r="X1135" i="1"/>
  <c r="X1123" i="1"/>
  <c r="X1111" i="1"/>
  <c r="X1099" i="1"/>
  <c r="X1087" i="1"/>
  <c r="X1075" i="1"/>
  <c r="X1063" i="1"/>
  <c r="X1051" i="1"/>
  <c r="X1039" i="1"/>
  <c r="X1027" i="1"/>
  <c r="X1015" i="1"/>
  <c r="X1003" i="1"/>
  <c r="X991" i="1"/>
  <c r="X979" i="1"/>
  <c r="X967" i="1"/>
  <c r="X955" i="1"/>
  <c r="X943" i="1"/>
  <c r="X930" i="1"/>
  <c r="X915" i="1"/>
  <c r="X894" i="1"/>
  <c r="X873" i="1"/>
  <c r="X853" i="1"/>
  <c r="X833" i="1"/>
  <c r="X809" i="1"/>
  <c r="X781" i="1"/>
  <c r="X741" i="1"/>
  <c r="X686" i="1"/>
  <c r="X635" i="1"/>
  <c r="X542" i="1"/>
  <c r="X426" i="1"/>
  <c r="X326" i="1"/>
  <c r="X234" i="1"/>
  <c r="X123" i="1"/>
  <c r="X768" i="1"/>
  <c r="X737" i="1"/>
  <c r="X707" i="1"/>
  <c r="X672" i="1"/>
  <c r="X637" i="1"/>
  <c r="X591" i="1"/>
  <c r="X537" i="1"/>
  <c r="X469" i="1"/>
  <c r="X411" i="1"/>
  <c r="X353" i="1"/>
  <c r="X292" i="1"/>
  <c r="X233" i="1"/>
  <c r="X176" i="1"/>
  <c r="X96" i="1"/>
  <c r="X36" i="1"/>
  <c r="X764" i="1"/>
  <c r="X729" i="1"/>
  <c r="X699" i="1"/>
  <c r="X666" i="1"/>
  <c r="X628" i="1"/>
  <c r="X584" i="1"/>
  <c r="X521" i="1"/>
  <c r="X456" i="1"/>
  <c r="X408" i="1"/>
  <c r="X338" i="1"/>
  <c r="X280" i="1"/>
  <c r="X224" i="1"/>
  <c r="X148" i="1"/>
  <c r="X93" i="1"/>
  <c r="X24" i="1"/>
  <c r="X758" i="1"/>
  <c r="X728" i="1"/>
  <c r="X698" i="1"/>
  <c r="X665" i="1"/>
  <c r="X627" i="1"/>
  <c r="X580" i="1"/>
  <c r="X513" i="1"/>
  <c r="X455" i="1"/>
  <c r="X407" i="1"/>
  <c r="X336" i="1"/>
  <c r="X278" i="1"/>
  <c r="X222" i="1"/>
  <c r="X147" i="1"/>
  <c r="X90" i="1"/>
  <c r="X23" i="1"/>
  <c r="X757" i="1"/>
  <c r="X726" i="1"/>
  <c r="X696" i="1"/>
  <c r="X663" i="1"/>
  <c r="X626" i="1"/>
  <c r="X569" i="1"/>
  <c r="X512" i="1"/>
  <c r="X453" i="1"/>
  <c r="X392" i="1"/>
  <c r="X335" i="1"/>
  <c r="X268" i="1"/>
  <c r="X209" i="1"/>
  <c r="X138" i="1"/>
  <c r="X78" i="1"/>
  <c r="X6" i="1"/>
  <c r="X656" i="1"/>
  <c r="X620" i="1"/>
  <c r="X556" i="1"/>
  <c r="X507" i="1"/>
  <c r="X449" i="1"/>
  <c r="X378" i="1"/>
  <c r="X325" i="1"/>
  <c r="X266" i="1"/>
  <c r="X195" i="1"/>
  <c r="X136" i="1"/>
  <c r="X66" i="1"/>
  <c r="U1295" i="1"/>
  <c r="U1280" i="1"/>
  <c r="U1265" i="1"/>
  <c r="U1247" i="1"/>
  <c r="U1232" i="1"/>
  <c r="U1217" i="1"/>
  <c r="U1199" i="1"/>
  <c r="U1184" i="1"/>
  <c r="U1169" i="1"/>
  <c r="U1151" i="1"/>
  <c r="U1136" i="1"/>
  <c r="U1121" i="1"/>
  <c r="U1103" i="1"/>
  <c r="U1088" i="1"/>
  <c r="U1073" i="1"/>
  <c r="U1055" i="1"/>
  <c r="U1040" i="1"/>
  <c r="U1025" i="1"/>
  <c r="U1007" i="1"/>
  <c r="U992" i="1"/>
  <c r="U977" i="1"/>
  <c r="U959" i="1"/>
  <c r="U944" i="1"/>
  <c r="U929" i="1"/>
  <c r="U911" i="1"/>
  <c r="U896" i="1"/>
  <c r="U881" i="1"/>
  <c r="U862" i="1"/>
  <c r="U846" i="1"/>
  <c r="U830" i="1"/>
  <c r="U810" i="1"/>
  <c r="U792" i="1"/>
  <c r="U774" i="1"/>
  <c r="U752" i="1"/>
  <c r="U735" i="1"/>
  <c r="U716" i="1"/>
  <c r="U694" i="1"/>
  <c r="U677" i="1"/>
  <c r="U658" i="1"/>
  <c r="U638" i="1"/>
  <c r="U619" i="1"/>
  <c r="U602" i="1"/>
  <c r="U580" i="1"/>
  <c r="U561" i="1"/>
  <c r="U544" i="1"/>
  <c r="U520" i="1"/>
  <c r="U500" i="1"/>
  <c r="U480" i="1"/>
  <c r="U456" i="1"/>
  <c r="U436" i="1"/>
  <c r="U408" i="1"/>
  <c r="U376" i="1"/>
  <c r="U348" i="1"/>
  <c r="U317" i="1"/>
  <c r="U277" i="1"/>
  <c r="U241" i="1"/>
  <c r="U211" i="1"/>
  <c r="U168" i="1"/>
  <c r="U129" i="1"/>
  <c r="U91" i="1"/>
  <c r="U46" i="1"/>
  <c r="U9" i="1"/>
  <c r="Q812" i="1"/>
  <c r="S812" i="1" s="1"/>
  <c r="U1294" i="1"/>
  <c r="U1279" i="1"/>
  <c r="U1264" i="1"/>
  <c r="U1246" i="1"/>
  <c r="U1231" i="1"/>
  <c r="U1216" i="1"/>
  <c r="U1198" i="1"/>
  <c r="U1183" i="1"/>
  <c r="U1168" i="1"/>
  <c r="U1150" i="1"/>
  <c r="U1135" i="1"/>
  <c r="U1120" i="1"/>
  <c r="U1102" i="1"/>
  <c r="U1087" i="1"/>
  <c r="U1072" i="1"/>
  <c r="U1054" i="1"/>
  <c r="U1039" i="1"/>
  <c r="U1024" i="1"/>
  <c r="U1006" i="1"/>
  <c r="U991" i="1"/>
  <c r="U976" i="1"/>
  <c r="U958" i="1"/>
  <c r="U943" i="1"/>
  <c r="U928" i="1"/>
  <c r="U910" i="1"/>
  <c r="U895" i="1"/>
  <c r="U880" i="1"/>
  <c r="U861" i="1"/>
  <c r="U845" i="1"/>
  <c r="U829" i="1"/>
  <c r="U809" i="1"/>
  <c r="U790" i="1"/>
  <c r="U773" i="1"/>
  <c r="U751" i="1"/>
  <c r="U734" i="1"/>
  <c r="U715" i="1"/>
  <c r="U693" i="1"/>
  <c r="U676" i="1"/>
  <c r="U657" i="1"/>
  <c r="U636" i="1"/>
  <c r="U618" i="1"/>
  <c r="U600" i="1"/>
  <c r="U579" i="1"/>
  <c r="U560" i="1"/>
  <c r="U542" i="1"/>
  <c r="U518" i="1"/>
  <c r="U498" i="1"/>
  <c r="U479" i="1"/>
  <c r="U455" i="1"/>
  <c r="U435" i="1"/>
  <c r="U406" i="1"/>
  <c r="U375" i="1"/>
  <c r="U346" i="1"/>
  <c r="U313" i="1"/>
  <c r="U274" i="1"/>
  <c r="U240" i="1"/>
  <c r="U205" i="1"/>
  <c r="U165" i="1"/>
  <c r="U127" i="1"/>
  <c r="U90" i="1"/>
  <c r="U45" i="1"/>
  <c r="U7" i="1"/>
  <c r="Q744" i="1"/>
  <c r="S744" i="1" s="1"/>
  <c r="Q837" i="1"/>
  <c r="S837" i="1" s="1"/>
  <c r="U1293" i="1"/>
  <c r="U1278" i="1"/>
  <c r="U1260" i="1"/>
  <c r="U1245" i="1"/>
  <c r="U1230" i="1"/>
  <c r="U1212" i="1"/>
  <c r="U1197" i="1"/>
  <c r="U1182" i="1"/>
  <c r="U1164" i="1"/>
  <c r="U1149" i="1"/>
  <c r="U1134" i="1"/>
  <c r="U1116" i="1"/>
  <c r="U1101" i="1"/>
  <c r="U1086" i="1"/>
  <c r="U1068" i="1"/>
  <c r="U1053" i="1"/>
  <c r="U1038" i="1"/>
  <c r="U1020" i="1"/>
  <c r="U1005" i="1"/>
  <c r="U990" i="1"/>
  <c r="U972" i="1"/>
  <c r="U957" i="1"/>
  <c r="U942" i="1"/>
  <c r="U924" i="1"/>
  <c r="U909" i="1"/>
  <c r="U894" i="1"/>
  <c r="U876" i="1"/>
  <c r="U860" i="1"/>
  <c r="U844" i="1"/>
  <c r="U824" i="1"/>
  <c r="U808" i="1"/>
  <c r="U789" i="1"/>
  <c r="U768" i="1"/>
  <c r="U750" i="1"/>
  <c r="U732" i="1"/>
  <c r="U711" i="1"/>
  <c r="U692" i="1"/>
  <c r="U675" i="1"/>
  <c r="U653" i="1"/>
  <c r="U634" i="1"/>
  <c r="U617" i="1"/>
  <c r="U595" i="1"/>
  <c r="U578" i="1"/>
  <c r="U559" i="1"/>
  <c r="U536" i="1"/>
  <c r="U517" i="1"/>
  <c r="U497" i="1"/>
  <c r="U474" i="1"/>
  <c r="U454" i="1"/>
  <c r="U430" i="1"/>
  <c r="U401" i="1"/>
  <c r="U373" i="1"/>
  <c r="U345" i="1"/>
  <c r="U306" i="1"/>
  <c r="U271" i="1"/>
  <c r="U238" i="1"/>
  <c r="U198" i="1"/>
  <c r="U162" i="1"/>
  <c r="U125" i="1"/>
  <c r="U81" i="1"/>
  <c r="U42" i="1"/>
  <c r="U6" i="1"/>
  <c r="Q567" i="1"/>
  <c r="S567" i="1" s="1"/>
  <c r="Q808" i="1"/>
  <c r="S808" i="1" s="1"/>
  <c r="Q672" i="1"/>
  <c r="S672" i="1" s="1"/>
  <c r="Q484" i="1"/>
  <c r="S484" i="1" s="1"/>
  <c r="Q480" i="1"/>
  <c r="T480" i="1" s="1"/>
  <c r="Q421" i="1"/>
  <c r="S421" i="1" s="1"/>
  <c r="Q93" i="1"/>
  <c r="S93" i="1" s="1"/>
  <c r="Q491" i="1"/>
  <c r="S491" i="1" s="1"/>
  <c r="Q884" i="1"/>
  <c r="S884" i="1" s="1"/>
  <c r="U21" i="1"/>
  <c r="U55" i="1"/>
  <c r="U82" i="1"/>
  <c r="U113" i="1"/>
  <c r="U142" i="1"/>
  <c r="U173" i="1"/>
  <c r="U199" i="1"/>
  <c r="U225" i="1"/>
  <c r="U257" i="1"/>
  <c r="U282" i="1"/>
  <c r="U307" i="1"/>
  <c r="U334" i="1"/>
  <c r="U357" i="1"/>
  <c r="U381" i="1"/>
  <c r="U402" i="1"/>
  <c r="U423" i="1"/>
  <c r="U442" i="1"/>
  <c r="U458" i="1"/>
  <c r="U476" i="1"/>
  <c r="U491" i="1"/>
  <c r="U506" i="1"/>
  <c r="U522" i="1"/>
  <c r="U537" i="1"/>
  <c r="U554" i="1"/>
  <c r="U568" i="1"/>
  <c r="U582" i="1"/>
  <c r="U596" i="1"/>
  <c r="U610" i="1"/>
  <c r="U626" i="1"/>
  <c r="U640" i="1"/>
  <c r="U654" i="1"/>
  <c r="U668" i="1"/>
  <c r="U682" i="1"/>
  <c r="U698" i="1"/>
  <c r="U712" i="1"/>
  <c r="U726" i="1"/>
  <c r="U740" i="1"/>
  <c r="U754" i="1"/>
  <c r="U770" i="1"/>
  <c r="U784" i="1"/>
  <c r="U798" i="1"/>
  <c r="U812" i="1"/>
  <c r="U825" i="1"/>
  <c r="U838" i="1"/>
  <c r="U852" i="1"/>
  <c r="U865" i="1"/>
  <c r="U877" i="1"/>
  <c r="U889" i="1"/>
  <c r="U901" i="1"/>
  <c r="U913" i="1"/>
  <c r="U925" i="1"/>
  <c r="U937" i="1"/>
  <c r="U949" i="1"/>
  <c r="U961" i="1"/>
  <c r="U973" i="1"/>
  <c r="U985" i="1"/>
  <c r="U997" i="1"/>
  <c r="U1009" i="1"/>
  <c r="U1021" i="1"/>
  <c r="U1033" i="1"/>
  <c r="U1045" i="1"/>
  <c r="U1057" i="1"/>
  <c r="U1069" i="1"/>
  <c r="U1081" i="1"/>
  <c r="U1093" i="1"/>
  <c r="U1105" i="1"/>
  <c r="U1117" i="1"/>
  <c r="U1129" i="1"/>
  <c r="U1141" i="1"/>
  <c r="U1153" i="1"/>
  <c r="U1165" i="1"/>
  <c r="U1177" i="1"/>
  <c r="U1189" i="1"/>
  <c r="U1201" i="1"/>
  <c r="U1213" i="1"/>
  <c r="U1225" i="1"/>
  <c r="U1237" i="1"/>
  <c r="U1249" i="1"/>
  <c r="U1261" i="1"/>
  <c r="U1273" i="1"/>
  <c r="U1285" i="1"/>
  <c r="U1297" i="1"/>
  <c r="Q96" i="1"/>
  <c r="S96" i="1" s="1"/>
  <c r="Q499" i="1"/>
  <c r="S499" i="1" s="1"/>
  <c r="Q986" i="1"/>
  <c r="S986" i="1" s="1"/>
  <c r="U25" i="1"/>
  <c r="U57" i="1"/>
  <c r="U85" i="1"/>
  <c r="U114" i="1"/>
  <c r="U144" i="1"/>
  <c r="U174" i="1"/>
  <c r="U201" i="1"/>
  <c r="U229" i="1"/>
  <c r="U258" i="1"/>
  <c r="U283" i="1"/>
  <c r="U309" i="1"/>
  <c r="U336" i="1"/>
  <c r="U360" i="1"/>
  <c r="U382" i="1"/>
  <c r="U403" i="1"/>
  <c r="U424" i="1"/>
  <c r="U444" i="1"/>
  <c r="U461" i="1"/>
  <c r="U477" i="1"/>
  <c r="U492" i="1"/>
  <c r="U508" i="1"/>
  <c r="U523" i="1"/>
  <c r="U539" i="1"/>
  <c r="U555" i="1"/>
  <c r="U569" i="1"/>
  <c r="U583" i="1"/>
  <c r="U597" i="1"/>
  <c r="U612" i="1"/>
  <c r="U627" i="1"/>
  <c r="U641" i="1"/>
  <c r="U655" i="1"/>
  <c r="U669" i="1"/>
  <c r="U684" i="1"/>
  <c r="U699" i="1"/>
  <c r="U713" i="1"/>
  <c r="U727" i="1"/>
  <c r="U741" i="1"/>
  <c r="U756" i="1"/>
  <c r="U771" i="1"/>
  <c r="U785" i="1"/>
  <c r="U799" i="1"/>
  <c r="U813" i="1"/>
  <c r="U826" i="1"/>
  <c r="U840" i="1"/>
  <c r="U853" i="1"/>
  <c r="U866" i="1"/>
  <c r="U878" i="1"/>
  <c r="U890" i="1"/>
  <c r="U902" i="1"/>
  <c r="U914" i="1"/>
  <c r="U926" i="1"/>
  <c r="U938" i="1"/>
  <c r="U950" i="1"/>
  <c r="U962" i="1"/>
  <c r="U974" i="1"/>
  <c r="U986" i="1"/>
  <c r="U998" i="1"/>
  <c r="U1010" i="1"/>
  <c r="U1022" i="1"/>
  <c r="U1034" i="1"/>
  <c r="U1046" i="1"/>
  <c r="U1058" i="1"/>
  <c r="U1070" i="1"/>
  <c r="U1082" i="1"/>
  <c r="U1094" i="1"/>
  <c r="U1106" i="1"/>
  <c r="U1118" i="1"/>
  <c r="U1130" i="1"/>
  <c r="U1142" i="1"/>
  <c r="U1154" i="1"/>
  <c r="U1166" i="1"/>
  <c r="U1178" i="1"/>
  <c r="U1190" i="1"/>
  <c r="U1202" i="1"/>
  <c r="U1214" i="1"/>
  <c r="U1226" i="1"/>
  <c r="U1238" i="1"/>
  <c r="U1250" i="1"/>
  <c r="U1262" i="1"/>
  <c r="U1274" i="1"/>
  <c r="U1286" i="1"/>
  <c r="Q164" i="1"/>
  <c r="S164" i="1" s="1"/>
  <c r="Q563" i="1"/>
  <c r="S563" i="1" s="1"/>
  <c r="Q987" i="1"/>
  <c r="S987" i="1" s="1"/>
  <c r="U30" i="1"/>
  <c r="U58" i="1"/>
  <c r="U89" i="1"/>
  <c r="U117" i="1"/>
  <c r="U149" i="1"/>
  <c r="U175" i="1"/>
  <c r="U202" i="1"/>
  <c r="U234" i="1"/>
  <c r="U259" i="1"/>
  <c r="U285" i="1"/>
  <c r="U312" i="1"/>
  <c r="U337" i="1"/>
  <c r="U364" i="1"/>
  <c r="U385" i="1"/>
  <c r="U405" i="1"/>
  <c r="U425" i="1"/>
  <c r="U445" i="1"/>
  <c r="U463" i="1"/>
  <c r="U478" i="1"/>
  <c r="U493" i="1"/>
  <c r="U509" i="1"/>
  <c r="U524" i="1"/>
  <c r="U541" i="1"/>
  <c r="U556" i="1"/>
  <c r="U570" i="1"/>
  <c r="U584" i="1"/>
  <c r="U598" i="1"/>
  <c r="U614" i="1"/>
  <c r="U628" i="1"/>
  <c r="U642" i="1"/>
  <c r="U656" i="1"/>
  <c r="U670" i="1"/>
  <c r="U686" i="1"/>
  <c r="U700" i="1"/>
  <c r="U714" i="1"/>
  <c r="U728" i="1"/>
  <c r="U742" i="1"/>
  <c r="U758" i="1"/>
  <c r="U772" i="1"/>
  <c r="U786" i="1"/>
  <c r="U800" i="1"/>
  <c r="U814" i="1"/>
  <c r="U828" i="1"/>
  <c r="U841" i="1"/>
  <c r="U854" i="1"/>
  <c r="U867" i="1"/>
  <c r="U879" i="1"/>
  <c r="U891" i="1"/>
  <c r="U903" i="1"/>
  <c r="U915" i="1"/>
  <c r="U927" i="1"/>
  <c r="U939" i="1"/>
  <c r="U951" i="1"/>
  <c r="U963" i="1"/>
  <c r="U975" i="1"/>
  <c r="U987" i="1"/>
  <c r="U999" i="1"/>
  <c r="U1011" i="1"/>
  <c r="U1023" i="1"/>
  <c r="U1035" i="1"/>
  <c r="U1047" i="1"/>
  <c r="U1059" i="1"/>
  <c r="U1071" i="1"/>
  <c r="U1083" i="1"/>
  <c r="U1095" i="1"/>
  <c r="U1107" i="1"/>
  <c r="U1119" i="1"/>
  <c r="U1131" i="1"/>
  <c r="U1143" i="1"/>
  <c r="U1155" i="1"/>
  <c r="U1167" i="1"/>
  <c r="U1179" i="1"/>
  <c r="U1191" i="1"/>
  <c r="U1203" i="1"/>
  <c r="U1215" i="1"/>
  <c r="U1227" i="1"/>
  <c r="U1239" i="1"/>
  <c r="U1251" i="1"/>
  <c r="U1263" i="1"/>
  <c r="U1275" i="1"/>
  <c r="U1287" i="1"/>
  <c r="Q170" i="1"/>
  <c r="S170" i="1" s="1"/>
  <c r="Q570" i="1"/>
  <c r="S570" i="1" s="1"/>
  <c r="Q1059" i="1"/>
  <c r="S1059" i="1" s="1"/>
  <c r="Q222" i="1"/>
  <c r="S222" i="1" s="1"/>
  <c r="Q703" i="1"/>
  <c r="S703" i="1" s="1"/>
  <c r="Q1107" i="1"/>
  <c r="T1107" i="1" s="1"/>
  <c r="Q260" i="1"/>
  <c r="S260" i="1" s="1"/>
  <c r="Q739" i="1"/>
  <c r="S739" i="1" s="1"/>
  <c r="Q1124" i="1"/>
  <c r="T1124" i="1" s="1"/>
  <c r="Q1166" i="1"/>
  <c r="S1166" i="1" s="1"/>
  <c r="Q285" i="1"/>
  <c r="S285" i="1" s="1"/>
  <c r="Q1065" i="1"/>
  <c r="S1065" i="1" s="1"/>
  <c r="Q221" i="1"/>
  <c r="S221" i="1" s="1"/>
  <c r="Q988" i="1"/>
  <c r="S988" i="1" s="1"/>
  <c r="Q166" i="1"/>
  <c r="S166" i="1" s="1"/>
  <c r="Q21" i="1"/>
  <c r="S21" i="1" s="1"/>
  <c r="X614" i="1"/>
  <c r="X579" i="1"/>
  <c r="X536" i="1"/>
  <c r="X484" i="1"/>
  <c r="X441" i="1"/>
  <c r="X398" i="1"/>
  <c r="X352" i="1"/>
  <c r="X306" i="1"/>
  <c r="X264" i="1"/>
  <c r="X219" i="1"/>
  <c r="X168" i="1"/>
  <c r="X120" i="1"/>
  <c r="X65" i="1"/>
  <c r="X21" i="1"/>
  <c r="X612" i="1"/>
  <c r="X570" i="1"/>
  <c r="X527" i="1"/>
  <c r="X483" i="1"/>
  <c r="X440" i="1"/>
  <c r="X396" i="1"/>
  <c r="X349" i="1"/>
  <c r="X305" i="1"/>
  <c r="X263" i="1"/>
  <c r="X210" i="1"/>
  <c r="X165" i="1"/>
  <c r="X109" i="1"/>
  <c r="X64" i="1"/>
  <c r="X17" i="1"/>
  <c r="X605" i="1"/>
  <c r="X568" i="1"/>
  <c r="X522" i="1"/>
  <c r="X480" i="1"/>
  <c r="X435" i="1"/>
  <c r="X383" i="1"/>
  <c r="X339" i="1"/>
  <c r="X296" i="1"/>
  <c r="X252" i="1"/>
  <c r="X206" i="1"/>
  <c r="X152" i="1"/>
  <c r="X105" i="1"/>
  <c r="X61" i="1"/>
  <c r="X4" i="1"/>
  <c r="X5" i="1"/>
  <c r="X642" i="1"/>
  <c r="X613" i="1"/>
  <c r="X582" i="1"/>
  <c r="X551" i="1"/>
  <c r="X510" i="1"/>
  <c r="X470" i="1"/>
  <c r="X436" i="1"/>
  <c r="X397" i="1"/>
  <c r="X363" i="1"/>
  <c r="X321" i="1"/>
  <c r="X281" i="1"/>
  <c r="X248" i="1"/>
  <c r="X208" i="1"/>
  <c r="X167" i="1"/>
  <c r="X124" i="1"/>
  <c r="X81" i="1"/>
  <c r="X38" i="1"/>
  <c r="X11" i="1"/>
  <c r="X669" i="1"/>
  <c r="X638" i="1"/>
  <c r="X608" i="1"/>
  <c r="X577" i="1"/>
  <c r="X540" i="1"/>
  <c r="X498" i="1"/>
  <c r="X465" i="1"/>
  <c r="X424" i="1"/>
  <c r="X384" i="1"/>
  <c r="X350" i="1"/>
  <c r="X311" i="1"/>
  <c r="X277" i="1"/>
  <c r="X237" i="1"/>
  <c r="X196" i="1"/>
  <c r="X161" i="1"/>
  <c r="X110" i="1"/>
  <c r="X75" i="1"/>
  <c r="X33" i="1"/>
  <c r="Q1126" i="1"/>
  <c r="T1126" i="1" s="1"/>
  <c r="Q764" i="1"/>
  <c r="S764" i="1" s="1"/>
  <c r="Q12" i="1"/>
  <c r="S12" i="1" s="1"/>
  <c r="Q86" i="1"/>
  <c r="S86" i="1" s="1"/>
  <c r="Q145" i="1"/>
  <c r="S145" i="1" s="1"/>
  <c r="Q216" i="1"/>
  <c r="S216" i="1" s="1"/>
  <c r="Q266" i="1"/>
  <c r="S266" i="1" s="1"/>
  <c r="Q348" i="1"/>
  <c r="S348" i="1" s="1"/>
  <c r="Q409" i="1"/>
  <c r="S409" i="1" s="1"/>
  <c r="Q490" i="1"/>
  <c r="S490" i="1" s="1"/>
  <c r="Q557" i="1"/>
  <c r="S557" i="1" s="1"/>
  <c r="Q617" i="1"/>
  <c r="S617" i="1" s="1"/>
  <c r="Q681" i="1"/>
  <c r="S681" i="1" s="1"/>
  <c r="Q753" i="1"/>
  <c r="S753" i="1" s="1"/>
  <c r="Q819" i="1"/>
  <c r="S819" i="1" s="1"/>
  <c r="Q896" i="1"/>
  <c r="S896" i="1" s="1"/>
  <c r="Q964" i="1"/>
  <c r="S964" i="1" s="1"/>
  <c r="Q1051" i="1"/>
  <c r="S1051" i="1" s="1"/>
  <c r="Q1111" i="1"/>
  <c r="S1111" i="1" s="1"/>
  <c r="Q1176" i="1"/>
  <c r="S1176" i="1" s="1"/>
  <c r="Q1235" i="1"/>
  <c r="S1235" i="1" s="1"/>
  <c r="Q14" i="1"/>
  <c r="T14" i="1" s="1"/>
  <c r="Q101" i="1"/>
  <c r="S101" i="1" s="1"/>
  <c r="Q175" i="1"/>
  <c r="S175" i="1" s="1"/>
  <c r="Q227" i="1"/>
  <c r="S227" i="1" s="1"/>
  <c r="Q295" i="1"/>
  <c r="S295" i="1" s="1"/>
  <c r="Q370" i="1"/>
  <c r="S370" i="1" s="1"/>
  <c r="Q436" i="1"/>
  <c r="S436" i="1" s="1"/>
  <c r="Q502" i="1"/>
  <c r="S502" i="1" s="1"/>
  <c r="Q581" i="1"/>
  <c r="S581" i="1" s="1"/>
  <c r="Q637" i="1"/>
  <c r="S637" i="1" s="1"/>
  <c r="Q707" i="1"/>
  <c r="S707" i="1" s="1"/>
  <c r="Q765" i="1"/>
  <c r="S765" i="1" s="1"/>
  <c r="Q851" i="1"/>
  <c r="S851" i="1" s="1"/>
  <c r="Q918" i="1"/>
  <c r="S918" i="1" s="1"/>
  <c r="Q995" i="1"/>
  <c r="S995" i="1" s="1"/>
  <c r="Q1067" i="1"/>
  <c r="S1067" i="1" s="1"/>
  <c r="Q1133" i="1"/>
  <c r="S1133" i="1" s="1"/>
  <c r="Q1190" i="1"/>
  <c r="S1190" i="1" s="1"/>
  <c r="Q1264" i="1"/>
  <c r="S1264" i="1" s="1"/>
  <c r="Q17" i="1"/>
  <c r="S17" i="1" s="1"/>
  <c r="Q116" i="1"/>
  <c r="S116" i="1" s="1"/>
  <c r="Q180" i="1"/>
  <c r="S180" i="1" s="1"/>
  <c r="Q238" i="1"/>
  <c r="S238" i="1" s="1"/>
  <c r="Q306" i="1"/>
  <c r="T306" i="1" s="1"/>
  <c r="Q380" i="1"/>
  <c r="T380" i="1" s="1"/>
  <c r="Q438" i="1"/>
  <c r="S438" i="1" s="1"/>
  <c r="Q517" i="1"/>
  <c r="S517" i="1" s="1"/>
  <c r="Q588" i="1"/>
  <c r="S588" i="1" s="1"/>
  <c r="Q655" i="1"/>
  <c r="S655" i="1" s="1"/>
  <c r="Q711" i="1"/>
  <c r="T711" i="1" s="1"/>
  <c r="Q778" i="1"/>
  <c r="T778" i="1" s="1"/>
  <c r="Q854" i="1"/>
  <c r="T854" i="1" s="1"/>
  <c r="Q936" i="1"/>
  <c r="T936" i="1" s="1"/>
  <c r="Q1000" i="1"/>
  <c r="S1000" i="1" s="1"/>
  <c r="Q1081" i="1"/>
  <c r="S1081" i="1" s="1"/>
  <c r="Q1134" i="1"/>
  <c r="T1134" i="1" s="1"/>
  <c r="Q1195" i="1"/>
  <c r="S1195" i="1" s="1"/>
  <c r="Q1276" i="1"/>
  <c r="S1276" i="1" s="1"/>
  <c r="U3" i="1"/>
  <c r="Q18" i="1"/>
  <c r="S18" i="1" s="1"/>
  <c r="Q118" i="1"/>
  <c r="T118" i="1" s="1"/>
  <c r="Q186" i="1"/>
  <c r="S186" i="1" s="1"/>
  <c r="Q240" i="1"/>
  <c r="S240" i="1" s="1"/>
  <c r="Q308" i="1"/>
  <c r="S308" i="1" s="1"/>
  <c r="Q383" i="1"/>
  <c r="S383" i="1" s="1"/>
  <c r="Q439" i="1"/>
  <c r="S439" i="1" s="1"/>
  <c r="Q527" i="1"/>
  <c r="S527" i="1" s="1"/>
  <c r="Q593" i="1"/>
  <c r="S593" i="1" s="1"/>
  <c r="Q661" i="1"/>
  <c r="S661" i="1" s="1"/>
  <c r="Q713" i="1"/>
  <c r="S713" i="1" s="1"/>
  <c r="Q779" i="1"/>
  <c r="S779" i="1" s="1"/>
  <c r="Q857" i="1"/>
  <c r="S857" i="1" s="1"/>
  <c r="Q943" i="1"/>
  <c r="S943" i="1" s="1"/>
  <c r="Q1003" i="1"/>
  <c r="S1003" i="1" s="1"/>
  <c r="Q1083" i="1"/>
  <c r="S1083" i="1" s="1"/>
  <c r="Q1141" i="1"/>
  <c r="S1141" i="1" s="1"/>
  <c r="Q1197" i="1"/>
  <c r="S1197" i="1" s="1"/>
  <c r="Q1278" i="1"/>
  <c r="T1278" i="1" s="1"/>
  <c r="Q43" i="1"/>
  <c r="S43" i="1" s="1"/>
  <c r="Q122" i="1"/>
  <c r="S122" i="1" s="1"/>
  <c r="Q187" i="1"/>
  <c r="S187" i="1" s="1"/>
  <c r="Q247" i="1"/>
  <c r="S247" i="1" s="1"/>
  <c r="Q310" i="1"/>
  <c r="T310" i="1" s="1"/>
  <c r="Q393" i="1"/>
  <c r="S393" i="1" s="1"/>
  <c r="Q458" i="1"/>
  <c r="S458" i="1" s="1"/>
  <c r="Q529" i="1"/>
  <c r="S529" i="1" s="1"/>
  <c r="Q595" i="1"/>
  <c r="S595" i="1" s="1"/>
  <c r="Q662" i="1"/>
  <c r="S662" i="1" s="1"/>
  <c r="Q716" i="1"/>
  <c r="S716" i="1" s="1"/>
  <c r="Q784" i="1"/>
  <c r="S784" i="1" s="1"/>
  <c r="Q858" i="1"/>
  <c r="S858" i="1" s="1"/>
  <c r="Q944" i="1"/>
  <c r="S944" i="1" s="1"/>
  <c r="Q1015" i="1"/>
  <c r="S1015" i="1" s="1"/>
  <c r="Q1087" i="1"/>
  <c r="S1087" i="1" s="1"/>
  <c r="Q1142" i="1"/>
  <c r="S1142" i="1" s="1"/>
  <c r="Q1200" i="1"/>
  <c r="T1200" i="1" s="1"/>
  <c r="Q1280" i="1"/>
  <c r="T1280" i="1" s="1"/>
  <c r="Q48" i="1"/>
  <c r="S48" i="1" s="1"/>
  <c r="Q133" i="1"/>
  <c r="S133" i="1" s="1"/>
  <c r="Q191" i="1"/>
  <c r="S191" i="1" s="1"/>
  <c r="Q255" i="1"/>
  <c r="S255" i="1" s="1"/>
  <c r="Q314" i="1"/>
  <c r="S314" i="1" s="1"/>
  <c r="Q395" i="1"/>
  <c r="S395" i="1" s="1"/>
  <c r="Q463" i="1"/>
  <c r="S463" i="1" s="1"/>
  <c r="Q538" i="1"/>
  <c r="S538" i="1" s="1"/>
  <c r="Q598" i="1"/>
  <c r="S598" i="1" s="1"/>
  <c r="Q666" i="1"/>
  <c r="S666" i="1" s="1"/>
  <c r="Q720" i="1"/>
  <c r="S720" i="1" s="1"/>
  <c r="Q793" i="1"/>
  <c r="S793" i="1" s="1"/>
  <c r="Q868" i="1"/>
  <c r="T868" i="1" s="1"/>
  <c r="Q950" i="1"/>
  <c r="S950" i="1" s="1"/>
  <c r="Q1017" i="1"/>
  <c r="S1017" i="1" s="1"/>
  <c r="Q1101" i="1"/>
  <c r="S1101" i="1" s="1"/>
  <c r="Q1148" i="1"/>
  <c r="S1148" i="1" s="1"/>
  <c r="Q1218" i="1"/>
  <c r="S1218" i="1" s="1"/>
  <c r="Q1285" i="1"/>
  <c r="S1285" i="1" s="1"/>
  <c r="Q73" i="1"/>
  <c r="S73" i="1" s="1"/>
  <c r="Q134" i="1"/>
  <c r="S134" i="1" s="1"/>
  <c r="Q199" i="1"/>
  <c r="S199" i="1" s="1"/>
  <c r="Q256" i="1"/>
  <c r="S256" i="1" s="1"/>
  <c r="Q338" i="1"/>
  <c r="T338" i="1" s="1"/>
  <c r="Q404" i="1"/>
  <c r="S404" i="1" s="1"/>
  <c r="Q479" i="1"/>
  <c r="T479" i="1" s="1"/>
  <c r="Q540" i="1"/>
  <c r="S540" i="1" s="1"/>
  <c r="Q610" i="1"/>
  <c r="T610" i="1" s="1"/>
  <c r="Q670" i="1"/>
  <c r="S670" i="1" s="1"/>
  <c r="Q737" i="1"/>
  <c r="S737" i="1" s="1"/>
  <c r="Q796" i="1"/>
  <c r="S796" i="1" s="1"/>
  <c r="Q877" i="1"/>
  <c r="S877" i="1" s="1"/>
  <c r="Q958" i="1"/>
  <c r="S958" i="1" s="1"/>
  <c r="Q1034" i="1"/>
  <c r="S1034" i="1" s="1"/>
  <c r="Q1103" i="1"/>
  <c r="S1103" i="1" s="1"/>
  <c r="Q1155" i="1"/>
  <c r="S1155" i="1" s="1"/>
  <c r="Q1222" i="1"/>
  <c r="S1222" i="1" s="1"/>
  <c r="Q206" i="1"/>
  <c r="S206" i="1" s="1"/>
  <c r="Q353" i="1"/>
  <c r="S353" i="1" s="1"/>
  <c r="Q501" i="1"/>
  <c r="S501" i="1" s="1"/>
  <c r="Q679" i="1"/>
  <c r="S679" i="1" s="1"/>
  <c r="Q844" i="1"/>
  <c r="S844" i="1" s="1"/>
  <c r="Q1036" i="1"/>
  <c r="S1036" i="1" s="1"/>
  <c r="Q1178" i="1"/>
  <c r="S1178" i="1" s="1"/>
  <c r="U24" i="1"/>
  <c r="U48" i="1"/>
  <c r="U70" i="1"/>
  <c r="U93" i="1"/>
  <c r="U115" i="1"/>
  <c r="U138" i="1"/>
  <c r="U161" i="1"/>
  <c r="U181" i="1"/>
  <c r="U204" i="1"/>
  <c r="U226" i="1"/>
  <c r="U250" i="1"/>
  <c r="U273" i="1"/>
  <c r="U295" i="1"/>
  <c r="U318" i="1"/>
  <c r="U340" i="1"/>
  <c r="U358" i="1"/>
  <c r="U377" i="1"/>
  <c r="U394" i="1"/>
  <c r="U412" i="1"/>
  <c r="U429" i="1"/>
  <c r="U446" i="1"/>
  <c r="U460" i="1"/>
  <c r="U473" i="1"/>
  <c r="U486" i="1"/>
  <c r="U499" i="1"/>
  <c r="U512" i="1"/>
  <c r="U525" i="1"/>
  <c r="U538" i="1"/>
  <c r="U551" i="1"/>
  <c r="U563" i="1"/>
  <c r="U575" i="1"/>
  <c r="U587" i="1"/>
  <c r="U599" i="1"/>
  <c r="U611" i="1"/>
  <c r="U623" i="1"/>
  <c r="U635" i="1"/>
  <c r="U647" i="1"/>
  <c r="U659" i="1"/>
  <c r="U671" i="1"/>
  <c r="U683" i="1"/>
  <c r="U695" i="1"/>
  <c r="U707" i="1"/>
  <c r="U719" i="1"/>
  <c r="U731" i="1"/>
  <c r="U743" i="1"/>
  <c r="U755" i="1"/>
  <c r="U767" i="1"/>
  <c r="U779" i="1"/>
  <c r="U791" i="1"/>
  <c r="U803" i="1"/>
  <c r="U815" i="1"/>
  <c r="U827" i="1"/>
  <c r="U839" i="1"/>
  <c r="U851" i="1"/>
  <c r="U863" i="1"/>
  <c r="Q209" i="1"/>
  <c r="S209" i="1" s="1"/>
  <c r="Q355" i="1"/>
  <c r="S355" i="1" s="1"/>
  <c r="Q543" i="1"/>
  <c r="S543" i="1" s="1"/>
  <c r="Q692" i="1"/>
  <c r="S692" i="1" s="1"/>
  <c r="Q847" i="1"/>
  <c r="S847" i="1" s="1"/>
  <c r="Q1043" i="1"/>
  <c r="S1043" i="1" s="1"/>
  <c r="Q1180" i="1"/>
  <c r="T1180" i="1" s="1"/>
  <c r="Q74" i="1"/>
  <c r="S74" i="1" s="1"/>
  <c r="Q218" i="1"/>
  <c r="S218" i="1" s="1"/>
  <c r="Q367" i="1"/>
  <c r="S367" i="1" s="1"/>
  <c r="Q547" i="1"/>
  <c r="S547" i="1" s="1"/>
  <c r="Q693" i="1"/>
  <c r="S693" i="1" s="1"/>
  <c r="Q883" i="1"/>
  <c r="S883" i="1" s="1"/>
  <c r="Q1055" i="1"/>
  <c r="S1055" i="1" s="1"/>
  <c r="Q1182" i="1"/>
  <c r="S1182" i="1" s="1"/>
  <c r="U5" i="1"/>
  <c r="U29" i="1"/>
  <c r="U53" i="1"/>
  <c r="U73" i="1"/>
  <c r="U96" i="1"/>
  <c r="U118" i="1"/>
  <c r="U141" i="1"/>
  <c r="U163" i="1"/>
  <c r="U186" i="1"/>
  <c r="U210" i="1"/>
  <c r="U233" i="1"/>
  <c r="U253" i="1"/>
  <c r="U276" i="1"/>
  <c r="U298" i="1"/>
  <c r="U321" i="1"/>
  <c r="U342" i="1"/>
  <c r="U361" i="1"/>
  <c r="U379" i="1"/>
  <c r="U397" i="1"/>
  <c r="U414" i="1"/>
  <c r="U433" i="1"/>
  <c r="U449" i="1"/>
  <c r="U462" i="1"/>
  <c r="U475" i="1"/>
  <c r="U488" i="1"/>
  <c r="U501" i="1"/>
  <c r="U514" i="1"/>
  <c r="U527" i="1"/>
  <c r="U540" i="1"/>
  <c r="U553" i="1"/>
  <c r="U565" i="1"/>
  <c r="U577" i="1"/>
  <c r="U589" i="1"/>
  <c r="U601" i="1"/>
  <c r="U613" i="1"/>
  <c r="U625" i="1"/>
  <c r="U637" i="1"/>
  <c r="U649" i="1"/>
  <c r="U661" i="1"/>
  <c r="U673" i="1"/>
  <c r="U685" i="1"/>
  <c r="U697" i="1"/>
  <c r="U709" i="1"/>
  <c r="U721" i="1"/>
  <c r="U733" i="1"/>
  <c r="U745" i="1"/>
  <c r="U757" i="1"/>
  <c r="U769" i="1"/>
  <c r="U781" i="1"/>
  <c r="U793" i="1"/>
  <c r="U805" i="1"/>
  <c r="Q98" i="1"/>
  <c r="S98" i="1" s="1"/>
  <c r="Q262" i="1"/>
  <c r="T262" i="1" s="1"/>
  <c r="Q424" i="1"/>
  <c r="S424" i="1" s="1"/>
  <c r="Q612" i="1"/>
  <c r="T612" i="1" s="1"/>
  <c r="Q756" i="1"/>
  <c r="T756" i="1" s="1"/>
  <c r="Q910" i="1"/>
  <c r="S910" i="1" s="1"/>
  <c r="Q1109" i="1"/>
  <c r="S1109" i="1" s="1"/>
  <c r="Q1253" i="1"/>
  <c r="S1253" i="1" s="1"/>
  <c r="Q138" i="1"/>
  <c r="S138" i="1" s="1"/>
  <c r="Q279" i="1"/>
  <c r="S279" i="1" s="1"/>
  <c r="Q426" i="1"/>
  <c r="S426" i="1" s="1"/>
  <c r="Q614" i="1"/>
  <c r="S614" i="1" s="1"/>
  <c r="Q760" i="1"/>
  <c r="S760" i="1" s="1"/>
  <c r="Q959" i="1"/>
  <c r="S959" i="1" s="1"/>
  <c r="Q1123" i="1"/>
  <c r="S1123" i="1" s="1"/>
  <c r="Q1255" i="1"/>
  <c r="S1255" i="1" s="1"/>
  <c r="Q143" i="1"/>
  <c r="S143" i="1" s="1"/>
  <c r="Q282" i="1"/>
  <c r="S282" i="1" s="1"/>
  <c r="Q1230" i="1"/>
  <c r="T1230" i="1" s="1"/>
  <c r="Q961" i="1"/>
  <c r="T961" i="1" s="1"/>
  <c r="Q634" i="1"/>
  <c r="S634" i="1" s="1"/>
  <c r="Q406" i="1"/>
  <c r="T406" i="1" s="1"/>
  <c r="Q82" i="1"/>
  <c r="S82" i="1" s="1"/>
  <c r="Q1228" i="1"/>
  <c r="S1228" i="1" s="1"/>
  <c r="Q907" i="1"/>
  <c r="S907" i="1" s="1"/>
  <c r="Q626" i="1"/>
  <c r="S626" i="1" s="1"/>
  <c r="Q343" i="1"/>
  <c r="S343" i="1" s="1"/>
  <c r="U185" i="1"/>
  <c r="U156" i="1"/>
  <c r="U130" i="1"/>
  <c r="U103" i="1"/>
  <c r="U78" i="1"/>
  <c r="U49" i="1"/>
  <c r="U18" i="1"/>
  <c r="Q1167" i="1"/>
  <c r="S1167" i="1" s="1"/>
  <c r="Q899" i="1"/>
  <c r="S899" i="1" s="1"/>
  <c r="Q624" i="1"/>
  <c r="S624" i="1" s="1"/>
  <c r="Q342" i="1"/>
  <c r="S342" i="1" s="1"/>
  <c r="X192" i="1"/>
  <c r="X153" i="1"/>
  <c r="X122" i="1"/>
  <c r="X89" i="1"/>
  <c r="X51" i="1"/>
  <c r="X3" i="1"/>
  <c r="X20" i="1"/>
  <c r="X35" i="1"/>
  <c r="X49" i="1"/>
  <c r="X63" i="1"/>
  <c r="X77" i="1"/>
  <c r="X92" i="1"/>
  <c r="X107" i="1"/>
  <c r="X121" i="1"/>
  <c r="X135" i="1"/>
  <c r="X149" i="1"/>
  <c r="X164" i="1"/>
  <c r="X179" i="1"/>
  <c r="X193" i="1"/>
  <c r="X207" i="1"/>
  <c r="X221" i="1"/>
  <c r="X236" i="1"/>
  <c r="X251" i="1"/>
  <c r="X265" i="1"/>
  <c r="X279" i="1"/>
  <c r="X293" i="1"/>
  <c r="X308" i="1"/>
  <c r="X323" i="1"/>
  <c r="X337" i="1"/>
  <c r="X351" i="1"/>
  <c r="X365" i="1"/>
  <c r="X380" i="1"/>
  <c r="X395" i="1"/>
  <c r="X409" i="1"/>
  <c r="X423" i="1"/>
  <c r="X437" i="1"/>
  <c r="X452" i="1"/>
  <c r="X467" i="1"/>
  <c r="X481" i="1"/>
  <c r="X495" i="1"/>
  <c r="X509" i="1"/>
  <c r="X524" i="1"/>
  <c r="X539" i="1"/>
  <c r="X553" i="1"/>
  <c r="X567" i="1"/>
  <c r="X581" i="1"/>
  <c r="X596" i="1"/>
  <c r="X611" i="1"/>
  <c r="X625" i="1"/>
  <c r="X639" i="1"/>
  <c r="X653" i="1"/>
  <c r="X668" i="1"/>
  <c r="X683" i="1"/>
  <c r="X697" i="1"/>
  <c r="X711" i="1"/>
  <c r="X725" i="1"/>
  <c r="X740" i="1"/>
  <c r="X755" i="1"/>
  <c r="X769" i="1"/>
  <c r="X783" i="1"/>
  <c r="X797" i="1"/>
  <c r="X811" i="1"/>
  <c r="X823" i="1"/>
  <c r="X835" i="1"/>
  <c r="X847" i="1"/>
  <c r="X859" i="1"/>
  <c r="X871" i="1"/>
  <c r="X883" i="1"/>
  <c r="X895" i="1"/>
  <c r="X907" i="1"/>
  <c r="X919" i="1"/>
  <c r="X931" i="1"/>
  <c r="X9" i="1"/>
  <c r="X25" i="1"/>
  <c r="X39" i="1"/>
  <c r="X53" i="1"/>
  <c r="X68" i="1"/>
  <c r="X83" i="1"/>
  <c r="X97" i="1"/>
  <c r="X111" i="1"/>
  <c r="X125" i="1"/>
  <c r="X140" i="1"/>
  <c r="X155" i="1"/>
  <c r="X169" i="1"/>
  <c r="X183" i="1"/>
  <c r="X197" i="1"/>
  <c r="X212" i="1"/>
  <c r="X227" i="1"/>
  <c r="X241" i="1"/>
  <c r="X255" i="1"/>
  <c r="X269" i="1"/>
  <c r="X284" i="1"/>
  <c r="X299" i="1"/>
  <c r="X313" i="1"/>
  <c r="X327" i="1"/>
  <c r="X341" i="1"/>
  <c r="X356" i="1"/>
  <c r="X371" i="1"/>
  <c r="X385" i="1"/>
  <c r="X399" i="1"/>
  <c r="X413" i="1"/>
  <c r="X428" i="1"/>
  <c r="X443" i="1"/>
  <c r="X457" i="1"/>
  <c r="X471" i="1"/>
  <c r="X485" i="1"/>
  <c r="X500" i="1"/>
  <c r="X515" i="1"/>
  <c r="X529" i="1"/>
  <c r="X543" i="1"/>
  <c r="X557" i="1"/>
  <c r="X572" i="1"/>
  <c r="X587" i="1"/>
  <c r="X601" i="1"/>
  <c r="X615" i="1"/>
  <c r="X629" i="1"/>
  <c r="X644" i="1"/>
  <c r="X659" i="1"/>
  <c r="X673" i="1"/>
  <c r="X687" i="1"/>
  <c r="X701" i="1"/>
  <c r="X716" i="1"/>
  <c r="X731" i="1"/>
  <c r="X745" i="1"/>
  <c r="X759" i="1"/>
  <c r="X773" i="1"/>
  <c r="X788" i="1"/>
  <c r="X803" i="1"/>
  <c r="X815" i="1"/>
  <c r="X827" i="1"/>
  <c r="X839" i="1"/>
  <c r="X851" i="1"/>
  <c r="X863" i="1"/>
  <c r="X875" i="1"/>
  <c r="X887" i="1"/>
  <c r="X899" i="1"/>
  <c r="X911" i="1"/>
  <c r="X10" i="1"/>
  <c r="X26" i="1"/>
  <c r="X40" i="1"/>
  <c r="X54" i="1"/>
  <c r="X69" i="1"/>
  <c r="X84" i="1"/>
  <c r="X98" i="1"/>
  <c r="X112" i="1"/>
  <c r="X126" i="1"/>
  <c r="X141" i="1"/>
  <c r="X156" i="1"/>
  <c r="X170" i="1"/>
  <c r="X184" i="1"/>
  <c r="X198" i="1"/>
  <c r="X213" i="1"/>
  <c r="X228" i="1"/>
  <c r="X242" i="1"/>
  <c r="X256" i="1"/>
  <c r="X270" i="1"/>
  <c r="X285" i="1"/>
  <c r="X300" i="1"/>
  <c r="X314" i="1"/>
  <c r="X328" i="1"/>
  <c r="X342" i="1"/>
  <c r="X357" i="1"/>
  <c r="X372" i="1"/>
  <c r="X386" i="1"/>
  <c r="X400" i="1"/>
  <c r="X414" i="1"/>
  <c r="X429" i="1"/>
  <c r="X444" i="1"/>
  <c r="X458" i="1"/>
  <c r="X472" i="1"/>
  <c r="X486" i="1"/>
  <c r="X501" i="1"/>
  <c r="X516" i="1"/>
  <c r="X530" i="1"/>
  <c r="X544" i="1"/>
  <c r="X558" i="1"/>
  <c r="X573" i="1"/>
  <c r="X588" i="1"/>
  <c r="X602" i="1"/>
  <c r="X616" i="1"/>
  <c r="X630" i="1"/>
  <c r="X645" i="1"/>
  <c r="X660" i="1"/>
  <c r="X674" i="1"/>
  <c r="X688" i="1"/>
  <c r="X702" i="1"/>
  <c r="X717" i="1"/>
  <c r="X732" i="1"/>
  <c r="X746" i="1"/>
  <c r="X760" i="1"/>
  <c r="X774" i="1"/>
  <c r="X789" i="1"/>
  <c r="X804" i="1"/>
  <c r="X816" i="1"/>
  <c r="X828" i="1"/>
  <c r="X840" i="1"/>
  <c r="X852" i="1"/>
  <c r="X864" i="1"/>
  <c r="X876" i="1"/>
  <c r="X888" i="1"/>
  <c r="X900" i="1"/>
  <c r="X912" i="1"/>
  <c r="X13" i="1"/>
  <c r="X27" i="1"/>
  <c r="X41" i="1"/>
  <c r="X56" i="1"/>
  <c r="X71" i="1"/>
  <c r="X85" i="1"/>
  <c r="X99" i="1"/>
  <c r="X113" i="1"/>
  <c r="X128" i="1"/>
  <c r="X143" i="1"/>
  <c r="X157" i="1"/>
  <c r="X171" i="1"/>
  <c r="X185" i="1"/>
  <c r="X200" i="1"/>
  <c r="X215" i="1"/>
  <c r="X229" i="1"/>
  <c r="X243" i="1"/>
  <c r="X257" i="1"/>
  <c r="X272" i="1"/>
  <c r="X287" i="1"/>
  <c r="X301" i="1"/>
  <c r="X315" i="1"/>
  <c r="X329" i="1"/>
  <c r="X344" i="1"/>
  <c r="X359" i="1"/>
  <c r="X373" i="1"/>
  <c r="X387" i="1"/>
  <c r="X401" i="1"/>
  <c r="X416" i="1"/>
  <c r="X431" i="1"/>
  <c r="X445" i="1"/>
  <c r="X459" i="1"/>
  <c r="X473" i="1"/>
  <c r="X488" i="1"/>
  <c r="X503" i="1"/>
  <c r="X517" i="1"/>
  <c r="X531" i="1"/>
  <c r="X545" i="1"/>
  <c r="X560" i="1"/>
  <c r="X575" i="1"/>
  <c r="X589" i="1"/>
  <c r="X603" i="1"/>
  <c r="X617" i="1"/>
  <c r="X632" i="1"/>
  <c r="X647" i="1"/>
  <c r="X661" i="1"/>
  <c r="X675" i="1"/>
  <c r="X689" i="1"/>
  <c r="X704" i="1"/>
  <c r="X719" i="1"/>
  <c r="X733" i="1"/>
  <c r="X747" i="1"/>
  <c r="X761" i="1"/>
  <c r="X776" i="1"/>
  <c r="X791" i="1"/>
  <c r="X805" i="1"/>
  <c r="X817" i="1"/>
  <c r="X829" i="1"/>
  <c r="X14" i="1"/>
  <c r="X28" i="1"/>
  <c r="X42" i="1"/>
  <c r="X57" i="1"/>
  <c r="X72" i="1"/>
  <c r="X86" i="1"/>
  <c r="X100" i="1"/>
  <c r="X114" i="1"/>
  <c r="X129" i="1"/>
  <c r="X144" i="1"/>
  <c r="X158" i="1"/>
  <c r="X172" i="1"/>
  <c r="X186" i="1"/>
  <c r="X201" i="1"/>
  <c r="X216" i="1"/>
  <c r="X230" i="1"/>
  <c r="X244" i="1"/>
  <c r="X258" i="1"/>
  <c r="X273" i="1"/>
  <c r="X288" i="1"/>
  <c r="X302" i="1"/>
  <c r="X316" i="1"/>
  <c r="X330" i="1"/>
  <c r="X345" i="1"/>
  <c r="X360" i="1"/>
  <c r="X374" i="1"/>
  <c r="X388" i="1"/>
  <c r="X402" i="1"/>
  <c r="X417" i="1"/>
  <c r="X432" i="1"/>
  <c r="X446" i="1"/>
  <c r="X460" i="1"/>
  <c r="X474" i="1"/>
  <c r="X489" i="1"/>
  <c r="X504" i="1"/>
  <c r="X518" i="1"/>
  <c r="X532" i="1"/>
  <c r="X546" i="1"/>
  <c r="X561" i="1"/>
  <c r="X576" i="1"/>
  <c r="X590" i="1"/>
  <c r="X604" i="1"/>
  <c r="X618" i="1"/>
  <c r="X633" i="1"/>
  <c r="X648" i="1"/>
  <c r="X662" i="1"/>
  <c r="X676" i="1"/>
  <c r="X690" i="1"/>
  <c r="X705" i="1"/>
  <c r="X720" i="1"/>
  <c r="X734" i="1"/>
  <c r="X748" i="1"/>
  <c r="X762" i="1"/>
  <c r="X777" i="1"/>
  <c r="X792" i="1"/>
  <c r="X806" i="1"/>
  <c r="X818" i="1"/>
  <c r="X830" i="1"/>
  <c r="X842" i="1"/>
  <c r="X854" i="1"/>
  <c r="X866" i="1"/>
  <c r="X878" i="1"/>
  <c r="X890" i="1"/>
  <c r="X902" i="1"/>
  <c r="X914" i="1"/>
  <c r="X926" i="1"/>
  <c r="X15" i="1"/>
  <c r="X29" i="1"/>
  <c r="X44" i="1"/>
  <c r="X59" i="1"/>
  <c r="X73" i="1"/>
  <c r="X87" i="1"/>
  <c r="X101" i="1"/>
  <c r="X116" i="1"/>
  <c r="X131" i="1"/>
  <c r="X145" i="1"/>
  <c r="X159" i="1"/>
  <c r="X173" i="1"/>
  <c r="X188" i="1"/>
  <c r="X203" i="1"/>
  <c r="X217" i="1"/>
  <c r="X231" i="1"/>
  <c r="X245" i="1"/>
  <c r="X260" i="1"/>
  <c r="X275" i="1"/>
  <c r="X289" i="1"/>
  <c r="X303" i="1"/>
  <c r="X317" i="1"/>
  <c r="X332" i="1"/>
  <c r="X347" i="1"/>
  <c r="X361" i="1"/>
  <c r="X375" i="1"/>
  <c r="X389" i="1"/>
  <c r="X404" i="1"/>
  <c r="X419" i="1"/>
  <c r="X433" i="1"/>
  <c r="X447" i="1"/>
  <c r="X461" i="1"/>
  <c r="X476" i="1"/>
  <c r="X491" i="1"/>
  <c r="X505" i="1"/>
  <c r="X519" i="1"/>
  <c r="X533" i="1"/>
  <c r="X548" i="1"/>
  <c r="X563" i="1"/>
  <c r="X12" i="1"/>
  <c r="X16" i="1"/>
  <c r="X30" i="1"/>
  <c r="X45" i="1"/>
  <c r="X60" i="1"/>
  <c r="X74" i="1"/>
  <c r="X88" i="1"/>
  <c r="X102" i="1"/>
  <c r="X117" i="1"/>
  <c r="X132" i="1"/>
  <c r="X146" i="1"/>
  <c r="X160" i="1"/>
  <c r="X174" i="1"/>
  <c r="X189" i="1"/>
  <c r="X204" i="1"/>
  <c r="X218" i="1"/>
  <c r="X232" i="1"/>
  <c r="X246" i="1"/>
  <c r="X261" i="1"/>
  <c r="X276" i="1"/>
  <c r="X290" i="1"/>
  <c r="X304" i="1"/>
  <c r="X318" i="1"/>
  <c r="X333" i="1"/>
  <c r="X348" i="1"/>
  <c r="X362" i="1"/>
  <c r="X376" i="1"/>
  <c r="X390" i="1"/>
  <c r="X405" i="1"/>
  <c r="X420" i="1"/>
  <c r="X434" i="1"/>
  <c r="X448" i="1"/>
  <c r="X462" i="1"/>
  <c r="X477" i="1"/>
  <c r="X492" i="1"/>
  <c r="X506" i="1"/>
  <c r="X520" i="1"/>
  <c r="X534" i="1"/>
  <c r="X549" i="1"/>
  <c r="X564" i="1"/>
  <c r="X578" i="1"/>
  <c r="X592" i="1"/>
  <c r="X606" i="1"/>
  <c r="X621" i="1"/>
  <c r="X636" i="1"/>
  <c r="X650" i="1"/>
  <c r="X664" i="1"/>
  <c r="X678" i="1"/>
  <c r="X693" i="1"/>
  <c r="X708" i="1"/>
  <c r="X722" i="1"/>
  <c r="X736" i="1"/>
  <c r="X750" i="1"/>
  <c r="X765" i="1"/>
  <c r="X780" i="1"/>
  <c r="X794" i="1"/>
  <c r="X808" i="1"/>
  <c r="X820" i="1"/>
  <c r="X832" i="1"/>
  <c r="X844" i="1"/>
  <c r="X856" i="1"/>
  <c r="X868" i="1"/>
  <c r="X880" i="1"/>
  <c r="X892" i="1"/>
  <c r="X904" i="1"/>
  <c r="X916" i="1"/>
  <c r="X738" i="1"/>
  <c r="X710" i="1"/>
  <c r="X681" i="1"/>
  <c r="X652" i="1"/>
  <c r="X624" i="1"/>
  <c r="X594" i="1"/>
  <c r="X566" i="1"/>
  <c r="X528" i="1"/>
  <c r="X496" i="1"/>
  <c r="X464" i="1"/>
  <c r="X425" i="1"/>
  <c r="X393" i="1"/>
  <c r="X354" i="1"/>
  <c r="X324" i="1"/>
  <c r="X291" i="1"/>
  <c r="X253" i="1"/>
  <c r="X220" i="1"/>
  <c r="X182" i="1"/>
  <c r="X150" i="1"/>
  <c r="X119" i="1"/>
  <c r="X80" i="1"/>
  <c r="X48" i="1"/>
  <c r="X7" i="1"/>
  <c r="Q1260" i="1"/>
  <c r="S1260" i="1" s="1"/>
  <c r="Q1217" i="1"/>
  <c r="S1217" i="1" s="1"/>
  <c r="Q1168" i="1"/>
  <c r="T1168" i="1" s="1"/>
  <c r="Q1129" i="1"/>
  <c r="S1129" i="1" s="1"/>
  <c r="Q1088" i="1"/>
  <c r="S1088" i="1" s="1"/>
  <c r="Q1046" i="1"/>
  <c r="T1046" i="1" s="1"/>
  <c r="Q990" i="1"/>
  <c r="S990" i="1" s="1"/>
  <c r="Q949" i="1"/>
  <c r="S949" i="1" s="1"/>
  <c r="Q894" i="1"/>
  <c r="S894" i="1" s="1"/>
  <c r="Q848" i="1"/>
  <c r="S848" i="1" s="1"/>
  <c r="Q789" i="1"/>
  <c r="S789" i="1" s="1"/>
  <c r="Q746" i="1"/>
  <c r="S746" i="1" s="1"/>
  <c r="Q706" i="1"/>
  <c r="S706" i="1" s="1"/>
  <c r="Q664" i="1"/>
  <c r="S664" i="1" s="1"/>
  <c r="Q616" i="1"/>
  <c r="S616" i="1" s="1"/>
  <c r="Q579" i="1"/>
  <c r="S579" i="1" s="1"/>
  <c r="Q532" i="1"/>
  <c r="S532" i="1" s="1"/>
  <c r="Q486" i="1"/>
  <c r="S486" i="1" s="1"/>
  <c r="Q428" i="1"/>
  <c r="S428" i="1" s="1"/>
  <c r="Q394" i="1"/>
  <c r="S394" i="1" s="1"/>
  <c r="Q346" i="1"/>
  <c r="S346" i="1" s="1"/>
  <c r="Q290" i="1"/>
  <c r="S290" i="1" s="1"/>
  <c r="Q254" i="1"/>
  <c r="S254" i="1" s="1"/>
  <c r="Q211" i="1"/>
  <c r="S211" i="1" s="1"/>
  <c r="Q172" i="1"/>
  <c r="S172" i="1" s="1"/>
  <c r="Q124" i="1"/>
  <c r="S124" i="1" s="1"/>
  <c r="Q85" i="1"/>
  <c r="S85" i="1" s="1"/>
  <c r="Q19" i="1"/>
  <c r="S19" i="1" s="1"/>
  <c r="Q36" i="1"/>
  <c r="S36" i="1" s="1"/>
  <c r="Q77" i="1"/>
  <c r="S77" i="1" s="1"/>
  <c r="Q102" i="1"/>
  <c r="S102" i="1" s="1"/>
  <c r="Q127" i="1"/>
  <c r="S127" i="1" s="1"/>
  <c r="Q153" i="1"/>
  <c r="S153" i="1" s="1"/>
  <c r="Q181" i="1"/>
  <c r="S181" i="1" s="1"/>
  <c r="Q201" i="1"/>
  <c r="S201" i="1" s="1"/>
  <c r="Q223" i="1"/>
  <c r="S223" i="1" s="1"/>
  <c r="Q248" i="1"/>
  <c r="S248" i="1" s="1"/>
  <c r="Q270" i="1"/>
  <c r="Q297" i="1"/>
  <c r="S297" i="1" s="1"/>
  <c r="Q327" i="1"/>
  <c r="S327" i="1" s="1"/>
  <c r="Q357" i="1"/>
  <c r="S357" i="1" s="1"/>
  <c r="Q385" i="1"/>
  <c r="T385" i="1" s="1"/>
  <c r="Q410" i="1"/>
  <c r="S410" i="1" s="1"/>
  <c r="Q430" i="1"/>
  <c r="S430" i="1" s="1"/>
  <c r="Q469" i="1"/>
  <c r="S469" i="1" s="1"/>
  <c r="Q493" i="1"/>
  <c r="S493" i="1" s="1"/>
  <c r="Q519" i="1"/>
  <c r="S519" i="1" s="1"/>
  <c r="Q550" i="1"/>
  <c r="S550" i="1" s="1"/>
  <c r="Q573" i="1"/>
  <c r="S573" i="1" s="1"/>
  <c r="Q600" i="1"/>
  <c r="S600" i="1" s="1"/>
  <c r="Q620" i="1"/>
  <c r="S620" i="1" s="1"/>
  <c r="Q652" i="1"/>
  <c r="S652" i="1" s="1"/>
  <c r="Q673" i="1"/>
  <c r="S673" i="1" s="1"/>
  <c r="Q695" i="1"/>
  <c r="S695" i="1" s="1"/>
  <c r="Q721" i="1"/>
  <c r="S721" i="1" s="1"/>
  <c r="Q748" i="1"/>
  <c r="S748" i="1" s="1"/>
  <c r="Q769" i="1"/>
  <c r="T769" i="1" s="1"/>
  <c r="Q797" i="1"/>
  <c r="S797" i="1" s="1"/>
  <c r="Q840" i="1"/>
  <c r="T840" i="1" s="1"/>
  <c r="Q861" i="1"/>
  <c r="S861" i="1" s="1"/>
  <c r="Q888" i="1"/>
  <c r="S888" i="1" s="1"/>
  <c r="Q923" i="1"/>
  <c r="S923" i="1" s="1"/>
  <c r="Q952" i="1"/>
  <c r="T952" i="1" s="1"/>
  <c r="Q981" i="1"/>
  <c r="S981" i="1" s="1"/>
  <c r="Q1005" i="1"/>
  <c r="S1005" i="1" s="1"/>
  <c r="Q1039" i="1"/>
  <c r="S1039" i="1" s="1"/>
  <c r="Q1069" i="1"/>
  <c r="S1069" i="1" s="1"/>
  <c r="Q1092" i="1"/>
  <c r="S1092" i="1" s="1"/>
  <c r="Q1116" i="1"/>
  <c r="S1116" i="1" s="1"/>
  <c r="Q1135" i="1"/>
  <c r="S1135" i="1" s="1"/>
  <c r="Q1158" i="1"/>
  <c r="S1158" i="1" s="1"/>
  <c r="Q1184" i="1"/>
  <c r="S1184" i="1" s="1"/>
  <c r="Q1204" i="1"/>
  <c r="S1204" i="1" s="1"/>
  <c r="Q1237" i="1"/>
  <c r="S1237" i="1" s="1"/>
  <c r="Q1265" i="1"/>
  <c r="S1265" i="1" s="1"/>
  <c r="Q1296" i="1"/>
  <c r="T1296" i="1" s="1"/>
  <c r="U14" i="1"/>
  <c r="U26" i="1"/>
  <c r="U38" i="1"/>
  <c r="U50" i="1"/>
  <c r="U62" i="1"/>
  <c r="U74" i="1"/>
  <c r="U86" i="1"/>
  <c r="U98" i="1"/>
  <c r="U110" i="1"/>
  <c r="U122" i="1"/>
  <c r="U134" i="1"/>
  <c r="U146" i="1"/>
  <c r="U158" i="1"/>
  <c r="U170" i="1"/>
  <c r="U182" i="1"/>
  <c r="U194" i="1"/>
  <c r="U206" i="1"/>
  <c r="U218" i="1"/>
  <c r="U230" i="1"/>
  <c r="U242" i="1"/>
  <c r="U254" i="1"/>
  <c r="U266" i="1"/>
  <c r="U278" i="1"/>
  <c r="U290" i="1"/>
  <c r="U302" i="1"/>
  <c r="U314" i="1"/>
  <c r="U326" i="1"/>
  <c r="U338" i="1"/>
  <c r="U350" i="1"/>
  <c r="U362" i="1"/>
  <c r="U374" i="1"/>
  <c r="U386" i="1"/>
  <c r="U398" i="1"/>
  <c r="U410" i="1"/>
  <c r="U422" i="1"/>
  <c r="U434" i="1"/>
  <c r="Q37" i="1"/>
  <c r="S37" i="1" s="1"/>
  <c r="Q79" i="1"/>
  <c r="S79" i="1" s="1"/>
  <c r="Q104" i="1"/>
  <c r="S104" i="1" s="1"/>
  <c r="Q129" i="1"/>
  <c r="S129" i="1" s="1"/>
  <c r="Q155" i="1"/>
  <c r="S155" i="1" s="1"/>
  <c r="Q182" i="1"/>
  <c r="S182" i="1" s="1"/>
  <c r="Q202" i="1"/>
  <c r="S202" i="1" s="1"/>
  <c r="Q224" i="1"/>
  <c r="T224" i="1" s="1"/>
  <c r="Q252" i="1"/>
  <c r="S252" i="1" s="1"/>
  <c r="Q273" i="1"/>
  <c r="S273" i="1" s="1"/>
  <c r="Q300" i="1"/>
  <c r="S300" i="1" s="1"/>
  <c r="Q329" i="1"/>
  <c r="S329" i="1" s="1"/>
  <c r="Q364" i="1"/>
  <c r="S364" i="1" s="1"/>
  <c r="Q388" i="1"/>
  <c r="S388" i="1" s="1"/>
  <c r="Q413" i="1"/>
  <c r="S413" i="1" s="1"/>
  <c r="Q432" i="1"/>
  <c r="S432" i="1" s="1"/>
  <c r="Q472" i="1"/>
  <c r="S472" i="1" s="1"/>
  <c r="Q494" i="1"/>
  <c r="S494" i="1" s="1"/>
  <c r="Q522" i="1"/>
  <c r="S522" i="1" s="1"/>
  <c r="Q552" i="1"/>
  <c r="S552" i="1" s="1"/>
  <c r="Q574" i="1"/>
  <c r="S574" i="1" s="1"/>
  <c r="Q601" i="1"/>
  <c r="T601" i="1" s="1"/>
  <c r="Q622" i="1"/>
  <c r="S622" i="1" s="1"/>
  <c r="Q653" i="1"/>
  <c r="S653" i="1" s="1"/>
  <c r="Q675" i="1"/>
  <c r="S675" i="1" s="1"/>
  <c r="Q697" i="1"/>
  <c r="S697" i="1" s="1"/>
  <c r="Q724" i="1"/>
  <c r="T724" i="1" s="1"/>
  <c r="Q749" i="1"/>
  <c r="S749" i="1" s="1"/>
  <c r="Q770" i="1"/>
  <c r="S770" i="1" s="1"/>
  <c r="Q798" i="1"/>
  <c r="S798" i="1" s="1"/>
  <c r="Q841" i="1"/>
  <c r="S841" i="1" s="1"/>
  <c r="Q866" i="1"/>
  <c r="S866" i="1" s="1"/>
  <c r="Q889" i="1"/>
  <c r="T889" i="1" s="1"/>
  <c r="Q924" i="1"/>
  <c r="S924" i="1" s="1"/>
  <c r="Q953" i="1"/>
  <c r="S953" i="1" s="1"/>
  <c r="Q982" i="1"/>
  <c r="S982" i="1" s="1"/>
  <c r="Q1006" i="1"/>
  <c r="S1006" i="1" s="1"/>
  <c r="Q1040" i="1"/>
  <c r="S1040" i="1" s="1"/>
  <c r="Q1071" i="1"/>
  <c r="S1071" i="1" s="1"/>
  <c r="Q1096" i="1"/>
  <c r="S1096" i="1" s="1"/>
  <c r="Q1118" i="1"/>
  <c r="S1118" i="1" s="1"/>
  <c r="Q1138" i="1"/>
  <c r="S1138" i="1" s="1"/>
  <c r="Q1162" i="1"/>
  <c r="T1162" i="1" s="1"/>
  <c r="Q1187" i="1"/>
  <c r="T1187" i="1" s="1"/>
  <c r="Q1211" i="1"/>
  <c r="T1211" i="1" s="1"/>
  <c r="Q1238" i="1"/>
  <c r="S1238" i="1" s="1"/>
  <c r="Q1270" i="1"/>
  <c r="S1270" i="1" s="1"/>
  <c r="U15" i="1"/>
  <c r="U27" i="1"/>
  <c r="U39" i="1"/>
  <c r="U51" i="1"/>
  <c r="U63" i="1"/>
  <c r="U75" i="1"/>
  <c r="U87" i="1"/>
  <c r="U99" i="1"/>
  <c r="U111" i="1"/>
  <c r="U123" i="1"/>
  <c r="U135" i="1"/>
  <c r="U147" i="1"/>
  <c r="U159" i="1"/>
  <c r="U171" i="1"/>
  <c r="U183" i="1"/>
  <c r="U195" i="1"/>
  <c r="U207" i="1"/>
  <c r="U219" i="1"/>
  <c r="U231" i="1"/>
  <c r="U243" i="1"/>
  <c r="U255" i="1"/>
  <c r="U267" i="1"/>
  <c r="U279" i="1"/>
  <c r="U291" i="1"/>
  <c r="U303" i="1"/>
  <c r="U315" i="1"/>
  <c r="U327" i="1"/>
  <c r="U339" i="1"/>
  <c r="U351" i="1"/>
  <c r="U363" i="1"/>
  <c r="Q41" i="1"/>
  <c r="S41" i="1" s="1"/>
  <c r="Q80" i="1"/>
  <c r="S80" i="1" s="1"/>
  <c r="Q105" i="1"/>
  <c r="S105" i="1" s="1"/>
  <c r="Q130" i="1"/>
  <c r="S130" i="1" s="1"/>
  <c r="Q157" i="1"/>
  <c r="S157" i="1" s="1"/>
  <c r="Q185" i="1"/>
  <c r="S185" i="1" s="1"/>
  <c r="Q204" i="1"/>
  <c r="S204" i="1" s="1"/>
  <c r="Q225" i="1"/>
  <c r="S225" i="1" s="1"/>
  <c r="Q253" i="1"/>
  <c r="S253" i="1" s="1"/>
  <c r="Q274" i="1"/>
  <c r="S274" i="1" s="1"/>
  <c r="Q302" i="1"/>
  <c r="S302" i="1" s="1"/>
  <c r="Q332" i="1"/>
  <c r="S332" i="1" s="1"/>
  <c r="Q366" i="1"/>
  <c r="S366" i="1" s="1"/>
  <c r="Q391" i="1"/>
  <c r="S391" i="1" s="1"/>
  <c r="Q414" i="1"/>
  <c r="T414" i="1" s="1"/>
  <c r="Q433" i="1"/>
  <c r="S433" i="1" s="1"/>
  <c r="Q474" i="1"/>
  <c r="S474" i="1" s="1"/>
  <c r="Q497" i="1"/>
  <c r="S497" i="1" s="1"/>
  <c r="Q526" i="1"/>
  <c r="S526" i="1" s="1"/>
  <c r="Q554" i="1"/>
  <c r="S554" i="1" s="1"/>
  <c r="Q575" i="1"/>
  <c r="S575" i="1" s="1"/>
  <c r="Q602" i="1"/>
  <c r="S602" i="1" s="1"/>
  <c r="Q623" i="1"/>
  <c r="S623" i="1" s="1"/>
  <c r="Q654" i="1"/>
  <c r="S654" i="1" s="1"/>
  <c r="Q676" i="1"/>
  <c r="S676" i="1" s="1"/>
  <c r="Q698" i="1"/>
  <c r="S698" i="1" s="1"/>
  <c r="Q725" i="1"/>
  <c r="S725" i="1" s="1"/>
  <c r="Q752" i="1"/>
  <c r="S752" i="1" s="1"/>
  <c r="Q771" i="1"/>
  <c r="S771" i="1" s="1"/>
  <c r="Q803" i="1"/>
  <c r="S803" i="1" s="1"/>
  <c r="Q842" i="1"/>
  <c r="S842" i="1" s="1"/>
  <c r="Q867" i="1"/>
  <c r="S867" i="1" s="1"/>
  <c r="Q893" i="1"/>
  <c r="S893" i="1" s="1"/>
  <c r="Q925" i="1"/>
  <c r="S925" i="1" s="1"/>
  <c r="Q955" i="1"/>
  <c r="S955" i="1" s="1"/>
  <c r="Q984" i="1"/>
  <c r="T984" i="1" s="1"/>
  <c r="Q1011" i="1"/>
  <c r="S1011" i="1" s="1"/>
  <c r="Q1041" i="1"/>
  <c r="S1041" i="1" s="1"/>
  <c r="Q1074" i="1"/>
  <c r="S1074" i="1" s="1"/>
  <c r="Q1097" i="1"/>
  <c r="S1097" i="1" s="1"/>
  <c r="Q1119" i="1"/>
  <c r="T1119" i="1" s="1"/>
  <c r="Q1140" i="1"/>
  <c r="T1140" i="1" s="1"/>
  <c r="Q1164" i="1"/>
  <c r="T1164" i="1" s="1"/>
  <c r="Q1189" i="1"/>
  <c r="S1189" i="1" s="1"/>
  <c r="Q1213" i="1"/>
  <c r="S1213" i="1" s="1"/>
  <c r="Q1242" i="1"/>
  <c r="S1242" i="1" s="1"/>
  <c r="Q1273" i="1"/>
  <c r="S1273" i="1" s="1"/>
  <c r="U4" i="1"/>
  <c r="U16" i="1"/>
  <c r="U28" i="1"/>
  <c r="U40" i="1"/>
  <c r="U52" i="1"/>
  <c r="U64" i="1"/>
  <c r="U76" i="1"/>
  <c r="U88" i="1"/>
  <c r="U100" i="1"/>
  <c r="U112" i="1"/>
  <c r="U124" i="1"/>
  <c r="U136" i="1"/>
  <c r="U148" i="1"/>
  <c r="U160" i="1"/>
  <c r="U172" i="1"/>
  <c r="U184" i="1"/>
  <c r="U196" i="1"/>
  <c r="U208" i="1"/>
  <c r="U220" i="1"/>
  <c r="U232" i="1"/>
  <c r="U244" i="1"/>
  <c r="U256" i="1"/>
  <c r="U268" i="1"/>
  <c r="U280" i="1"/>
  <c r="U292" i="1"/>
  <c r="U304" i="1"/>
  <c r="U316" i="1"/>
  <c r="U328" i="1"/>
  <c r="Q8" i="1"/>
  <c r="S8" i="1" s="1"/>
  <c r="Q54" i="1"/>
  <c r="S54" i="1" s="1"/>
  <c r="Q91" i="1"/>
  <c r="S91" i="1" s="1"/>
  <c r="Q112" i="1"/>
  <c r="S112" i="1" s="1"/>
  <c r="Q141" i="1"/>
  <c r="S141" i="1" s="1"/>
  <c r="Q168" i="1"/>
  <c r="S168" i="1" s="1"/>
  <c r="Q192" i="1"/>
  <c r="T192" i="1" s="1"/>
  <c r="Q215" i="1"/>
  <c r="S215" i="1" s="1"/>
  <c r="Q234" i="1"/>
  <c r="S234" i="1" s="1"/>
  <c r="Q259" i="1"/>
  <c r="S259" i="1" s="1"/>
  <c r="Q280" i="1"/>
  <c r="S280" i="1" s="1"/>
  <c r="Q313" i="1"/>
  <c r="S313" i="1" s="1"/>
  <c r="Q345" i="1"/>
  <c r="S345" i="1" s="1"/>
  <c r="Q375" i="1"/>
  <c r="S375" i="1" s="1"/>
  <c r="Q400" i="1"/>
  <c r="S400" i="1" s="1"/>
  <c r="Q419" i="1"/>
  <c r="S419" i="1" s="1"/>
  <c r="Q452" i="1"/>
  <c r="S452" i="1" s="1"/>
  <c r="Q481" i="1"/>
  <c r="S481" i="1" s="1"/>
  <c r="Q506" i="1"/>
  <c r="S506" i="1" s="1"/>
  <c r="Q534" i="1"/>
  <c r="S534" i="1" s="1"/>
  <c r="Q560" i="1"/>
  <c r="S560" i="1" s="1"/>
  <c r="Q590" i="1"/>
  <c r="S590" i="1" s="1"/>
  <c r="Q611" i="1"/>
  <c r="S611" i="1" s="1"/>
  <c r="Q636" i="1"/>
  <c r="S636" i="1" s="1"/>
  <c r="Q663" i="1"/>
  <c r="T663" i="1" s="1"/>
  <c r="Q684" i="1"/>
  <c r="S684" i="1" s="1"/>
  <c r="Q709" i="1"/>
  <c r="S709" i="1" s="1"/>
  <c r="Q734" i="1"/>
  <c r="S734" i="1" s="1"/>
  <c r="Q763" i="1"/>
  <c r="S763" i="1" s="1"/>
  <c r="Q782" i="1"/>
  <c r="S782" i="1" s="1"/>
  <c r="Q824" i="1"/>
  <c r="T824" i="1" s="1"/>
  <c r="Q849" i="1"/>
  <c r="S849" i="1" s="1"/>
  <c r="Q874" i="1"/>
  <c r="T874" i="1" s="1"/>
  <c r="Q902" i="1"/>
  <c r="S902" i="1" s="1"/>
  <c r="Q937" i="1"/>
  <c r="S937" i="1" s="1"/>
  <c r="Q963" i="1"/>
  <c r="S963" i="1" s="1"/>
  <c r="Q989" i="1"/>
  <c r="S989" i="1" s="1"/>
  <c r="Q1023" i="1"/>
  <c r="S1023" i="1" s="1"/>
  <c r="Q1053" i="1"/>
  <c r="S1053" i="1" s="1"/>
  <c r="Q1079" i="1"/>
  <c r="T1079" i="1" s="1"/>
  <c r="Q1108" i="1"/>
  <c r="T1108" i="1" s="1"/>
  <c r="Q1125" i="1"/>
  <c r="T1125" i="1" s="1"/>
  <c r="Q1149" i="1"/>
  <c r="T1149" i="1" s="1"/>
  <c r="Q1175" i="1"/>
  <c r="S1175" i="1" s="1"/>
  <c r="Q1193" i="1"/>
  <c r="S1193" i="1" s="1"/>
  <c r="Q1226" i="1"/>
  <c r="S1226" i="1" s="1"/>
  <c r="Q1252" i="1"/>
  <c r="S1252" i="1" s="1"/>
  <c r="Q1284" i="1"/>
  <c r="S1284" i="1" s="1"/>
  <c r="U8" i="1"/>
  <c r="U20" i="1"/>
  <c r="U32" i="1"/>
  <c r="U44" i="1"/>
  <c r="U56" i="1"/>
  <c r="U68" i="1"/>
  <c r="U80" i="1"/>
  <c r="U92" i="1"/>
  <c r="U104" i="1"/>
  <c r="U116" i="1"/>
  <c r="U128" i="1"/>
  <c r="U140" i="1"/>
  <c r="U152" i="1"/>
  <c r="U164" i="1"/>
  <c r="U176" i="1"/>
  <c r="U188" i="1"/>
  <c r="U200" i="1"/>
  <c r="U212" i="1"/>
  <c r="U224" i="1"/>
  <c r="U236" i="1"/>
  <c r="U248" i="1"/>
  <c r="U260" i="1"/>
  <c r="U272" i="1"/>
  <c r="U284" i="1"/>
  <c r="U296" i="1"/>
  <c r="U308" i="1"/>
  <c r="U320" i="1"/>
  <c r="U332" i="1"/>
  <c r="U344" i="1"/>
  <c r="U356" i="1"/>
  <c r="U368" i="1"/>
  <c r="U380" i="1"/>
  <c r="U392" i="1"/>
  <c r="U404" i="1"/>
  <c r="U416" i="1"/>
  <c r="U428" i="1"/>
  <c r="U440" i="1"/>
  <c r="Q16" i="1"/>
  <c r="S16" i="1" s="1"/>
  <c r="Q63" i="1"/>
  <c r="S63" i="1" s="1"/>
  <c r="Q97" i="1"/>
  <c r="S97" i="1" s="1"/>
  <c r="Q120" i="1"/>
  <c r="S120" i="1" s="1"/>
  <c r="Q148" i="1"/>
  <c r="T148" i="1" s="1"/>
  <c r="Q174" i="1"/>
  <c r="S174" i="1" s="1"/>
  <c r="Q196" i="1"/>
  <c r="S196" i="1" s="1"/>
  <c r="Q220" i="1"/>
  <c r="S220" i="1" s="1"/>
  <c r="Q239" i="1"/>
  <c r="S239" i="1" s="1"/>
  <c r="Q263" i="1"/>
  <c r="T263" i="1" s="1"/>
  <c r="Q286" i="1"/>
  <c r="S286" i="1" s="1"/>
  <c r="Q320" i="1"/>
  <c r="T320" i="1" s="1"/>
  <c r="Q350" i="1"/>
  <c r="S350" i="1" s="1"/>
  <c r="Q379" i="1"/>
  <c r="S379" i="1" s="1"/>
  <c r="Q407" i="1"/>
  <c r="S407" i="1" s="1"/>
  <c r="Q425" i="1"/>
  <c r="S425" i="1" s="1"/>
  <c r="Q464" i="1"/>
  <c r="S464" i="1" s="1"/>
  <c r="Q489" i="1"/>
  <c r="S489" i="1" s="1"/>
  <c r="Q511" i="1"/>
  <c r="S511" i="1" s="1"/>
  <c r="Q542" i="1"/>
  <c r="S542" i="1" s="1"/>
  <c r="Q565" i="1"/>
  <c r="S565" i="1" s="1"/>
  <c r="Q596" i="1"/>
  <c r="S596" i="1" s="1"/>
  <c r="Q615" i="1"/>
  <c r="S615" i="1" s="1"/>
  <c r="Q643" i="1"/>
  <c r="S643" i="1" s="1"/>
  <c r="Q669" i="1"/>
  <c r="S669" i="1" s="1"/>
  <c r="Q691" i="1"/>
  <c r="S691" i="1" s="1"/>
  <c r="Q714" i="1"/>
  <c r="S714" i="1" s="1"/>
  <c r="Q743" i="1"/>
  <c r="S743" i="1" s="1"/>
  <c r="Q766" i="1"/>
  <c r="S766" i="1" s="1"/>
  <c r="Q792" i="1"/>
  <c r="T792" i="1" s="1"/>
  <c r="Q833" i="1"/>
  <c r="S833" i="1" s="1"/>
  <c r="Q856" i="1"/>
  <c r="S856" i="1" s="1"/>
  <c r="Q879" i="1"/>
  <c r="S879" i="1" s="1"/>
  <c r="Q913" i="1"/>
  <c r="T913" i="1" s="1"/>
  <c r="Q947" i="1"/>
  <c r="S947" i="1" s="1"/>
  <c r="Q972" i="1"/>
  <c r="S972" i="1" s="1"/>
  <c r="Q998" i="1"/>
  <c r="T998" i="1" s="1"/>
  <c r="Q1032" i="1"/>
  <c r="S1032" i="1" s="1"/>
  <c r="Q1062" i="1"/>
  <c r="S1062" i="1" s="1"/>
  <c r="Q1085" i="1"/>
  <c r="S1085" i="1" s="1"/>
  <c r="Q1113" i="1"/>
  <c r="S1113" i="1" s="1"/>
  <c r="Q1132" i="1"/>
  <c r="T1132" i="1" s="1"/>
  <c r="Q1153" i="1"/>
  <c r="S1153" i="1" s="1"/>
  <c r="Q1179" i="1"/>
  <c r="S1179" i="1" s="1"/>
  <c r="Q1196" i="1"/>
  <c r="T1196" i="1" s="1"/>
  <c r="Q1232" i="1"/>
  <c r="S1232" i="1" s="1"/>
  <c r="Q1257" i="1"/>
  <c r="S1257" i="1" s="1"/>
  <c r="Q1289" i="1"/>
  <c r="S1289" i="1" s="1"/>
  <c r="U11" i="1"/>
  <c r="U23" i="1"/>
  <c r="U35" i="1"/>
  <c r="U47" i="1"/>
  <c r="U59" i="1"/>
  <c r="U71" i="1"/>
  <c r="U83" i="1"/>
  <c r="U95" i="1"/>
  <c r="U107" i="1"/>
  <c r="U119" i="1"/>
  <c r="U131" i="1"/>
  <c r="U143" i="1"/>
  <c r="U155" i="1"/>
  <c r="U167" i="1"/>
  <c r="U179" i="1"/>
  <c r="U191" i="1"/>
  <c r="U203" i="1"/>
  <c r="U215" i="1"/>
  <c r="U227" i="1"/>
  <c r="U239" i="1"/>
  <c r="U251" i="1"/>
  <c r="U263" i="1"/>
  <c r="U275" i="1"/>
  <c r="U287" i="1"/>
  <c r="U299" i="1"/>
  <c r="U311" i="1"/>
  <c r="U323" i="1"/>
  <c r="U335" i="1"/>
  <c r="U347" i="1"/>
  <c r="U359" i="1"/>
  <c r="U371" i="1"/>
  <c r="U383" i="1"/>
  <c r="U395" i="1"/>
  <c r="U407" i="1"/>
  <c r="U419" i="1"/>
  <c r="U431" i="1"/>
  <c r="U443" i="1"/>
  <c r="U543" i="1"/>
  <c r="U531" i="1"/>
  <c r="U519" i="1"/>
  <c r="U507" i="1"/>
  <c r="U495" i="1"/>
  <c r="U483" i="1"/>
  <c r="U471" i="1"/>
  <c r="U459" i="1"/>
  <c r="U447" i="1"/>
  <c r="U432" i="1"/>
  <c r="U415" i="1"/>
  <c r="U400" i="1"/>
  <c r="U384" i="1"/>
  <c r="U367" i="1"/>
  <c r="U349" i="1"/>
  <c r="U331" i="1"/>
  <c r="U310" i="1"/>
  <c r="U289" i="1"/>
  <c r="U270" i="1"/>
  <c r="U249" i="1"/>
  <c r="U228" i="1"/>
  <c r="U209" i="1"/>
  <c r="U187" i="1"/>
  <c r="U166" i="1"/>
  <c r="U145" i="1"/>
  <c r="U126" i="1"/>
  <c r="U105" i="1"/>
  <c r="U84" i="1"/>
  <c r="U65" i="1"/>
  <c r="U43" i="1"/>
  <c r="U22" i="1"/>
  <c r="Q1294" i="1"/>
  <c r="T1294" i="1" s="1"/>
  <c r="Q1248" i="1"/>
  <c r="S1248" i="1" s="1"/>
  <c r="Q1194" i="1"/>
  <c r="S1194" i="1" s="1"/>
  <c r="Q1154" i="1"/>
  <c r="S1154" i="1" s="1"/>
  <c r="Q1122" i="1"/>
  <c r="T1122" i="1" s="1"/>
  <c r="Q1078" i="1"/>
  <c r="T1078" i="1" s="1"/>
  <c r="Q1027" i="1"/>
  <c r="S1027" i="1" s="1"/>
  <c r="Q980" i="1"/>
  <c r="S980" i="1" s="1"/>
  <c r="Q927" i="1"/>
  <c r="S927" i="1" s="1"/>
  <c r="Q876" i="1"/>
  <c r="S876" i="1" s="1"/>
  <c r="Q835" i="1"/>
  <c r="S835" i="1" s="1"/>
  <c r="Q773" i="1"/>
  <c r="S773" i="1" s="1"/>
  <c r="Q732" i="1"/>
  <c r="S732" i="1" s="1"/>
  <c r="Q689" i="1"/>
  <c r="S689" i="1" s="1"/>
  <c r="Q649" i="1"/>
  <c r="S649" i="1" s="1"/>
  <c r="Q606" i="1"/>
  <c r="S606" i="1" s="1"/>
  <c r="Q562" i="1"/>
  <c r="S562" i="1" s="1"/>
  <c r="Q515" i="1"/>
  <c r="S515" i="1" s="1"/>
  <c r="Q476" i="1"/>
  <c r="S476" i="1" s="1"/>
  <c r="Q418" i="1"/>
  <c r="S418" i="1" s="1"/>
  <c r="Q377" i="1"/>
  <c r="S377" i="1" s="1"/>
  <c r="Q326" i="1"/>
  <c r="S326" i="1" s="1"/>
  <c r="Q278" i="1"/>
  <c r="S278" i="1" s="1"/>
  <c r="Q237" i="1"/>
  <c r="S237" i="1" s="1"/>
  <c r="Q197" i="1"/>
  <c r="S197" i="1" s="1"/>
  <c r="Q158" i="1"/>
  <c r="S158" i="1" s="1"/>
  <c r="Q110" i="1"/>
  <c r="S110" i="1" s="1"/>
  <c r="Q62" i="1"/>
  <c r="S62" i="1" s="1"/>
  <c r="Q1292" i="1"/>
  <c r="T1292" i="1" s="1"/>
  <c r="Q1247" i="1"/>
  <c r="T1247" i="1" s="1"/>
  <c r="Q1192" i="1"/>
  <c r="T1192" i="1" s="1"/>
  <c r="Q1151" i="1"/>
  <c r="S1151" i="1" s="1"/>
  <c r="Q1115" i="1"/>
  <c r="S1115" i="1" s="1"/>
  <c r="Q1076" i="1"/>
  <c r="S1076" i="1" s="1"/>
  <c r="Q1024" i="1"/>
  <c r="T1024" i="1" s="1"/>
  <c r="Q975" i="1"/>
  <c r="S975" i="1" s="1"/>
  <c r="Q926" i="1"/>
  <c r="S926" i="1" s="1"/>
  <c r="Q873" i="1"/>
  <c r="S873" i="1" s="1"/>
  <c r="Q828" i="1"/>
  <c r="S828" i="1" s="1"/>
  <c r="Q768" i="1"/>
  <c r="S768" i="1" s="1"/>
  <c r="Q729" i="1"/>
  <c r="S729" i="1" s="1"/>
  <c r="Q686" i="1"/>
  <c r="S686" i="1" s="1"/>
  <c r="Q645" i="1"/>
  <c r="S645" i="1" s="1"/>
  <c r="Q605" i="1"/>
  <c r="S605" i="1" s="1"/>
  <c r="Q559" i="1"/>
  <c r="S559" i="1" s="1"/>
  <c r="Q510" i="1"/>
  <c r="S510" i="1" s="1"/>
  <c r="Q468" i="1"/>
  <c r="S468" i="1" s="1"/>
  <c r="Q417" i="1"/>
  <c r="S417" i="1" s="1"/>
  <c r="Q376" i="1"/>
  <c r="S376" i="1" s="1"/>
  <c r="Q325" i="1"/>
  <c r="S325" i="1" s="1"/>
  <c r="Q275" i="1"/>
  <c r="S275" i="1" s="1"/>
  <c r="Q232" i="1"/>
  <c r="S232" i="1" s="1"/>
  <c r="Q195" i="1"/>
  <c r="S195" i="1" s="1"/>
  <c r="Q151" i="1"/>
  <c r="S151" i="1" s="1"/>
  <c r="Q109" i="1"/>
  <c r="S109" i="1" s="1"/>
  <c r="Q56" i="1"/>
  <c r="S56" i="1" s="1"/>
  <c r="U41" i="1"/>
  <c r="U19" i="1"/>
  <c r="Q1288" i="1"/>
  <c r="T1288" i="1" s="1"/>
  <c r="Q1236" i="1"/>
  <c r="T1236" i="1" s="1"/>
  <c r="Q1191" i="1"/>
  <c r="S1191" i="1" s="1"/>
  <c r="Q1150" i="1"/>
  <c r="S1150" i="1" s="1"/>
  <c r="Q1114" i="1"/>
  <c r="S1114" i="1" s="1"/>
  <c r="Q1075" i="1"/>
  <c r="S1075" i="1" s="1"/>
  <c r="Q1020" i="1"/>
  <c r="S1020" i="1" s="1"/>
  <c r="Q965" i="1"/>
  <c r="S965" i="1" s="1"/>
  <c r="Q922" i="1"/>
  <c r="T922" i="1" s="1"/>
  <c r="Q870" i="1"/>
  <c r="S870" i="1" s="1"/>
  <c r="Q827" i="1"/>
  <c r="S827" i="1" s="1"/>
  <c r="Q767" i="1"/>
  <c r="S767" i="1" s="1"/>
  <c r="Q728" i="1"/>
  <c r="S728" i="1" s="1"/>
  <c r="Q683" i="1"/>
  <c r="S683" i="1" s="1"/>
  <c r="Q639" i="1"/>
  <c r="S639" i="1" s="1"/>
  <c r="Q599" i="1"/>
  <c r="T599" i="1" s="1"/>
  <c r="Q558" i="1"/>
  <c r="T558" i="1" s="1"/>
  <c r="Q509" i="1"/>
  <c r="S509" i="1" s="1"/>
  <c r="Q465" i="1"/>
  <c r="S465" i="1" s="1"/>
  <c r="Q416" i="1"/>
  <c r="S416" i="1" s="1"/>
  <c r="Q373" i="1"/>
  <c r="S373" i="1" s="1"/>
  <c r="Q316" i="1"/>
  <c r="S316" i="1" s="1"/>
  <c r="Q267" i="1"/>
  <c r="S267" i="1" s="1"/>
  <c r="Q231" i="1"/>
  <c r="S231" i="1" s="1"/>
  <c r="Q194" i="1"/>
  <c r="T194" i="1" s="1"/>
  <c r="Q150" i="1"/>
  <c r="S150" i="1" s="1"/>
  <c r="Q108" i="1"/>
  <c r="S108" i="1" s="1"/>
  <c r="Q50" i="1"/>
  <c r="S50" i="1" s="1"/>
  <c r="Q32" i="1"/>
  <c r="S32" i="1" s="1"/>
  <c r="Q28" i="1"/>
  <c r="S28" i="1" s="1"/>
  <c r="Q31" i="1"/>
  <c r="S31" i="1" s="1"/>
  <c r="Q9" i="1"/>
  <c r="S9" i="1" s="1"/>
  <c r="Q59" i="1"/>
  <c r="S59" i="1" s="1"/>
  <c r="Q29" i="1"/>
  <c r="S29" i="1" s="1"/>
  <c r="Q57" i="1"/>
  <c r="S57" i="1" s="1"/>
  <c r="X802" i="1"/>
  <c r="X790" i="1"/>
  <c r="X778" i="1"/>
  <c r="X766" i="1"/>
  <c r="X754" i="1"/>
  <c r="X742" i="1"/>
  <c r="X730" i="1"/>
  <c r="X718" i="1"/>
  <c r="X706" i="1"/>
  <c r="X694" i="1"/>
  <c r="X682" i="1"/>
  <c r="X670" i="1"/>
  <c r="X658" i="1"/>
  <c r="X646" i="1"/>
  <c r="X634" i="1"/>
  <c r="X622" i="1"/>
  <c r="X610" i="1"/>
  <c r="X598" i="1"/>
  <c r="X586" i="1"/>
  <c r="X574" i="1"/>
  <c r="X562" i="1"/>
  <c r="X550" i="1"/>
  <c r="X538" i="1"/>
  <c r="X526" i="1"/>
  <c r="X514" i="1"/>
  <c r="X502" i="1"/>
  <c r="X490" i="1"/>
  <c r="X478" i="1"/>
  <c r="X466" i="1"/>
  <c r="X454" i="1"/>
  <c r="X442" i="1"/>
  <c r="X430" i="1"/>
  <c r="X418" i="1"/>
  <c r="X406" i="1"/>
  <c r="X394" i="1"/>
  <c r="X382" i="1"/>
  <c r="X370" i="1"/>
  <c r="X358" i="1"/>
  <c r="X346" i="1"/>
  <c r="X334" i="1"/>
  <c r="X322" i="1"/>
  <c r="X310" i="1"/>
  <c r="X298" i="1"/>
  <c r="X286" i="1"/>
  <c r="X274" i="1"/>
  <c r="X262" i="1"/>
  <c r="X250" i="1"/>
  <c r="X238" i="1"/>
  <c r="X226" i="1"/>
  <c r="X214" i="1"/>
  <c r="X202" i="1"/>
  <c r="X190" i="1"/>
  <c r="X178" i="1"/>
  <c r="X166" i="1"/>
  <c r="X154" i="1"/>
  <c r="X142" i="1"/>
  <c r="X130" i="1"/>
  <c r="X118" i="1"/>
  <c r="X106" i="1"/>
  <c r="X94" i="1"/>
  <c r="X82" i="1"/>
  <c r="X70" i="1"/>
  <c r="X58" i="1"/>
  <c r="X46" i="1"/>
  <c r="X34" i="1"/>
  <c r="X22" i="1"/>
  <c r="X8" i="1"/>
  <c r="X799" i="1"/>
  <c r="X787" i="1"/>
  <c r="X775" i="1"/>
  <c r="X763" i="1"/>
  <c r="X751" i="1"/>
  <c r="X739" i="1"/>
  <c r="X727" i="1"/>
  <c r="X715" i="1"/>
  <c r="X703" i="1"/>
  <c r="X691" i="1"/>
  <c r="X679" i="1"/>
  <c r="X667" i="1"/>
  <c r="X655" i="1"/>
  <c r="X643" i="1"/>
  <c r="X631" i="1"/>
  <c r="X619" i="1"/>
  <c r="X607" i="1"/>
  <c r="X595" i="1"/>
  <c r="X583" i="1"/>
  <c r="X571" i="1"/>
  <c r="X559" i="1"/>
  <c r="X547" i="1"/>
  <c r="X535" i="1"/>
  <c r="X523" i="1"/>
  <c r="X511" i="1"/>
  <c r="X499" i="1"/>
  <c r="X487" i="1"/>
  <c r="X475" i="1"/>
  <c r="X463" i="1"/>
  <c r="X451" i="1"/>
  <c r="X439" i="1"/>
  <c r="X427" i="1"/>
  <c r="X415" i="1"/>
  <c r="X403" i="1"/>
  <c r="X391" i="1"/>
  <c r="X379" i="1"/>
  <c r="X367" i="1"/>
  <c r="X355" i="1"/>
  <c r="X343" i="1"/>
  <c r="X331" i="1"/>
  <c r="X319" i="1"/>
  <c r="X307" i="1"/>
  <c r="X295" i="1"/>
  <c r="X283" i="1"/>
  <c r="X271" i="1"/>
  <c r="X259" i="1"/>
  <c r="X247" i="1"/>
  <c r="X235" i="1"/>
  <c r="X223" i="1"/>
  <c r="X211" i="1"/>
  <c r="X199" i="1"/>
  <c r="X187" i="1"/>
  <c r="X175" i="1"/>
  <c r="X163" i="1"/>
  <c r="X151" i="1"/>
  <c r="X139" i="1"/>
  <c r="X127" i="1"/>
  <c r="X115" i="1"/>
  <c r="X103" i="1"/>
  <c r="X91" i="1"/>
  <c r="X79" i="1"/>
  <c r="X67" i="1"/>
  <c r="X55" i="1"/>
  <c r="X43" i="1"/>
  <c r="X31" i="1"/>
  <c r="X19" i="1"/>
  <c r="Q95" i="1"/>
  <c r="S95" i="1" s="1"/>
  <c r="Q75" i="1"/>
  <c r="T75" i="1" s="1"/>
  <c r="Q53" i="1"/>
  <c r="S53" i="1" s="1"/>
  <c r="Q30" i="1"/>
  <c r="S30" i="1" s="1"/>
  <c r="Q10" i="1"/>
  <c r="S10" i="1" s="1"/>
  <c r="Q89" i="1"/>
  <c r="S89" i="1" s="1"/>
  <c r="Q71" i="1"/>
  <c r="T71" i="1" s="1"/>
  <c r="Q46" i="1"/>
  <c r="S46" i="1" s="1"/>
  <c r="Q27" i="1"/>
  <c r="Q4" i="1"/>
  <c r="S4" i="1" s="1"/>
  <c r="Q88" i="1"/>
  <c r="S88" i="1" s="1"/>
  <c r="Q65" i="1"/>
  <c r="S65" i="1" s="1"/>
  <c r="Q45" i="1"/>
  <c r="S45" i="1" s="1"/>
  <c r="Q25" i="1"/>
  <c r="S25" i="1" s="1"/>
  <c r="Q3" i="1"/>
  <c r="T3" i="1" s="1"/>
  <c r="Q87" i="1"/>
  <c r="S87" i="1" s="1"/>
  <c r="Q64" i="1"/>
  <c r="S64" i="1" s="1"/>
  <c r="Q44" i="1"/>
  <c r="S44" i="1" s="1"/>
  <c r="V1160" i="1"/>
  <c r="V1016" i="1"/>
  <c r="V932" i="1"/>
  <c r="V1137" i="1"/>
  <c r="V1077" i="1"/>
  <c r="V1244" i="1"/>
  <c r="V1208" i="1"/>
  <c r="V1136" i="1"/>
  <c r="V1112" i="1"/>
  <c r="V1052" i="1"/>
  <c r="V1028" i="1"/>
  <c r="V992" i="1"/>
  <c r="V968" i="1"/>
  <c r="V920" i="1"/>
  <c r="V872" i="1"/>
  <c r="V1281" i="1"/>
  <c r="V1233" i="1"/>
  <c r="V1161" i="1"/>
  <c r="V993" i="1"/>
  <c r="V969" i="1"/>
  <c r="V909" i="1"/>
  <c r="V825" i="1"/>
  <c r="V777" i="1"/>
  <c r="V633" i="1"/>
  <c r="V621" i="1"/>
  <c r="V597" i="1"/>
  <c r="V585" i="1"/>
  <c r="V561" i="1"/>
  <c r="V549" i="1"/>
  <c r="V525" i="1"/>
  <c r="V477" i="1"/>
  <c r="V453" i="1"/>
  <c r="V429" i="1"/>
  <c r="V333" i="1"/>
  <c r="V309" i="1"/>
  <c r="V213" i="1"/>
  <c r="V177" i="1"/>
  <c r="V1220" i="1"/>
  <c r="V1268" i="1"/>
  <c r="V1100" i="1"/>
  <c r="V1064" i="1"/>
  <c r="V956" i="1"/>
  <c r="V908" i="1"/>
  <c r="V836" i="1"/>
  <c r="V788" i="1"/>
  <c r="V644" i="1"/>
  <c r="V500" i="1"/>
  <c r="V488" i="1"/>
  <c r="V344" i="1"/>
  <c r="V1293" i="1"/>
  <c r="V1245" i="1"/>
  <c r="V1221" i="1"/>
  <c r="V1185" i="1"/>
  <c r="V1029" i="1"/>
  <c r="V957" i="1"/>
  <c r="V945" i="1"/>
  <c r="V921" i="1"/>
  <c r="V897" i="1"/>
  <c r="V885" i="1"/>
  <c r="V813" i="1"/>
  <c r="V717" i="1"/>
  <c r="V705" i="1"/>
  <c r="V657" i="1"/>
  <c r="V513" i="1"/>
  <c r="V441" i="1"/>
  <c r="V405" i="1"/>
  <c r="V381" i="1"/>
  <c r="V369" i="1"/>
  <c r="V321" i="1"/>
  <c r="V249" i="1"/>
  <c r="V189" i="1"/>
  <c r="V165" i="1"/>
  <c r="V117" i="1"/>
  <c r="V81" i="1"/>
  <c r="V33" i="1"/>
  <c r="V776" i="1"/>
  <c r="V704" i="1"/>
  <c r="V680" i="1"/>
  <c r="V656" i="1"/>
  <c r="V632" i="1"/>
  <c r="V584" i="1"/>
  <c r="V572" i="1"/>
  <c r="V548" i="1"/>
  <c r="V536" i="1"/>
  <c r="V512" i="1"/>
  <c r="V440" i="1"/>
  <c r="V368" i="1"/>
  <c r="V356" i="1"/>
  <c r="V296" i="1"/>
  <c r="V284" i="1"/>
  <c r="V236" i="1"/>
  <c r="V212" i="1"/>
  <c r="V176" i="1"/>
  <c r="V152" i="1"/>
  <c r="V140" i="1"/>
  <c r="V128" i="1"/>
  <c r="V92" i="1"/>
  <c r="V68" i="1"/>
  <c r="V20" i="1"/>
  <c r="V1086" i="1"/>
  <c r="V1038" i="1"/>
  <c r="V702" i="1"/>
  <c r="V1258" i="1"/>
  <c r="V1201" i="1"/>
  <c r="V1131" i="1"/>
  <c r="V1035" i="1"/>
  <c r="V939" i="1"/>
  <c r="V891" i="1"/>
  <c r="V820" i="1"/>
  <c r="V772" i="1"/>
  <c r="V747" i="1"/>
  <c r="V699" i="1"/>
  <c r="V628" i="1"/>
  <c r="V555" i="1"/>
  <c r="V459" i="1"/>
  <c r="V58" i="1"/>
  <c r="V1219" i="1"/>
  <c r="V1207" i="1"/>
  <c r="V1183" i="1"/>
  <c r="V1159" i="1"/>
  <c r="V1147" i="1"/>
  <c r="V1099" i="1"/>
  <c r="V1063" i="1"/>
  <c r="V991" i="1"/>
  <c r="V967" i="1"/>
  <c r="V895" i="1"/>
  <c r="V859" i="1"/>
  <c r="V811" i="1"/>
  <c r="V787" i="1"/>
  <c r="V751" i="1"/>
  <c r="V667" i="1"/>
  <c r="V631" i="1"/>
  <c r="V535" i="1"/>
  <c r="V487" i="1"/>
  <c r="V475" i="1"/>
  <c r="V331" i="1"/>
  <c r="V319" i="1"/>
  <c r="V139" i="1"/>
  <c r="V55" i="1"/>
  <c r="V7" i="1"/>
  <c r="V1290" i="1"/>
  <c r="V1266" i="1"/>
  <c r="V1254" i="1"/>
  <c r="V942" i="1"/>
  <c r="V258" i="1"/>
  <c r="V114" i="1"/>
  <c r="V66" i="1"/>
  <c r="V67" i="1"/>
  <c r="V1157" i="1"/>
  <c r="V1037" i="1"/>
  <c r="V941" i="1"/>
  <c r="V701" i="1"/>
  <c r="V677" i="1"/>
  <c r="V629" i="1"/>
  <c r="V533" i="1"/>
  <c r="V485" i="1"/>
  <c r="V461" i="1"/>
  <c r="V437" i="1"/>
  <c r="V401" i="1"/>
  <c r="V365" i="1"/>
  <c r="V305" i="1"/>
  <c r="V281" i="1"/>
  <c r="V257" i="1"/>
  <c r="V173" i="1"/>
  <c r="V149" i="1"/>
  <c r="V137" i="1"/>
  <c r="V125" i="1"/>
  <c r="V113" i="1"/>
  <c r="V5" i="1"/>
  <c r="V627" i="1"/>
  <c r="V674" i="1"/>
  <c r="V1271" i="1"/>
  <c r="V862" i="1"/>
  <c r="V456" i="1"/>
  <c r="V178" i="1"/>
  <c r="V1171" i="1"/>
  <c r="V979" i="1"/>
  <c r="V931" i="1"/>
  <c r="V919" i="1"/>
  <c r="V871" i="1"/>
  <c r="V823" i="1"/>
  <c r="V799" i="1"/>
  <c r="V775" i="1"/>
  <c r="V727" i="1"/>
  <c r="V715" i="1"/>
  <c r="V619" i="1"/>
  <c r="V607" i="1"/>
  <c r="V583" i="1"/>
  <c r="V571" i="1"/>
  <c r="V523" i="1"/>
  <c r="V451" i="1"/>
  <c r="V427" i="1"/>
  <c r="V415" i="1"/>
  <c r="V271" i="1"/>
  <c r="V163" i="1"/>
  <c r="V846" i="1"/>
  <c r="V750" i="1"/>
  <c r="V462" i="1"/>
  <c r="V402" i="1"/>
  <c r="V354" i="1"/>
  <c r="V330" i="1"/>
  <c r="V246" i="1"/>
  <c r="V210" i="1"/>
  <c r="V162" i="1"/>
  <c r="V6" i="1"/>
  <c r="V1181" i="1"/>
  <c r="V1061" i="1"/>
  <c r="V1013" i="1"/>
  <c r="V917" i="1"/>
  <c r="V869" i="1"/>
  <c r="V845" i="1"/>
  <c r="V821" i="1"/>
  <c r="V389" i="1"/>
  <c r="V341" i="1"/>
  <c r="V317" i="1"/>
  <c r="V293" i="1"/>
  <c r="V269" i="1"/>
  <c r="V245" i="1"/>
  <c r="V233" i="1"/>
  <c r="V161" i="1"/>
  <c r="V1275" i="1"/>
  <c r="V1106" i="1"/>
  <c r="V962" i="1"/>
  <c r="V1215" i="1"/>
  <c r="V1146" i="1"/>
  <c r="V1098" i="1"/>
  <c r="V1050" i="1"/>
  <c r="V1002" i="1"/>
  <c r="V954" i="1"/>
  <c r="V906" i="1"/>
  <c r="V810" i="1"/>
  <c r="V762" i="1"/>
  <c r="V742" i="1"/>
  <c r="V618" i="1"/>
  <c r="V454" i="1"/>
  <c r="V403" i="1"/>
  <c r="V337" i="1"/>
  <c r="V863" i="1"/>
  <c r="V839" i="1"/>
  <c r="V815" i="1"/>
  <c r="V791" i="1"/>
  <c r="V719" i="1"/>
  <c r="V671" i="1"/>
  <c r="V647" i="1"/>
  <c r="V551" i="1"/>
  <c r="V503" i="1"/>
  <c r="V455" i="1"/>
  <c r="V431" i="1"/>
  <c r="V371" i="1"/>
  <c r="V359" i="1"/>
  <c r="V347" i="1"/>
  <c r="V335" i="1"/>
  <c r="V287" i="1"/>
  <c r="V251" i="1"/>
  <c r="V179" i="1"/>
  <c r="V167" i="1"/>
  <c r="V83" i="1"/>
  <c r="V47" i="1"/>
  <c r="V11" i="1"/>
  <c r="V1170" i="1"/>
  <c r="V1145" i="1"/>
  <c r="V1049" i="1"/>
  <c r="V1026" i="1"/>
  <c r="V1001" i="1"/>
  <c r="V978" i="1"/>
  <c r="V930" i="1"/>
  <c r="V905" i="1"/>
  <c r="V882" i="1"/>
  <c r="V834" i="1"/>
  <c r="V809" i="1"/>
  <c r="V786" i="1"/>
  <c r="V761" i="1"/>
  <c r="V738" i="1"/>
  <c r="V690" i="1"/>
  <c r="V665" i="1"/>
  <c r="V642" i="1"/>
  <c r="V594" i="1"/>
  <c r="V569" i="1"/>
  <c r="V546" i="1"/>
  <c r="V521" i="1"/>
  <c r="V498" i="1"/>
  <c r="V473" i="1"/>
  <c r="V450" i="1"/>
  <c r="V299" i="1"/>
  <c r="V107" i="1"/>
  <c r="V78" i="1"/>
  <c r="V483" i="1"/>
  <c r="V818" i="1"/>
  <c r="V1169" i="1"/>
  <c r="V1121" i="1"/>
  <c r="V1073" i="1"/>
  <c r="V1025" i="1"/>
  <c r="V977" i="1"/>
  <c r="V929" i="1"/>
  <c r="V881" i="1"/>
  <c r="V785" i="1"/>
  <c r="V641" i="1"/>
  <c r="V545" i="1"/>
  <c r="V449" i="1"/>
  <c r="V235" i="1"/>
  <c r="V203" i="1"/>
  <c r="V42" i="1"/>
  <c r="J3" i="1"/>
  <c r="K128" i="1" a="1"/>
  <c r="K128" i="1" s="1"/>
  <c r="K512" i="1" a="1"/>
  <c r="K512" i="1" s="1"/>
  <c r="K129" i="1" a="1"/>
  <c r="K129" i="1" s="1"/>
  <c r="K3" i="1" a="1"/>
  <c r="K3" i="1" s="1"/>
  <c r="K4" i="1" a="1"/>
  <c r="K4" i="1" s="1"/>
  <c r="L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445" i="1" a="1"/>
  <c r="K445" i="1" s="1"/>
  <c r="K446" i="1" a="1"/>
  <c r="K446" i="1" s="1"/>
  <c r="K447" i="1" a="1"/>
  <c r="K447" i="1" s="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479" i="1" a="1"/>
  <c r="K479" i="1" s="1"/>
  <c r="K480" i="1" a="1"/>
  <c r="K480" i="1" s="1"/>
  <c r="K481" i="1" a="1"/>
  <c r="K481" i="1" s="1"/>
  <c r="K482" i="1" a="1"/>
  <c r="K482" i="1" s="1"/>
  <c r="K483" i="1" a="1"/>
  <c r="K483" i="1" s="1"/>
  <c r="K484" i="1" a="1"/>
  <c r="K484" i="1" s="1"/>
  <c r="K485" i="1" a="1"/>
  <c r="K485" i="1" s="1"/>
  <c r="K486" i="1" a="1"/>
  <c r="K486" i="1" s="1"/>
  <c r="K487" i="1" a="1"/>
  <c r="K487" i="1" s="1"/>
  <c r="K488" i="1" a="1"/>
  <c r="K488" i="1" s="1"/>
  <c r="K489" i="1" a="1"/>
  <c r="K489" i="1" s="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s="1"/>
  <c r="K501" i="1" a="1"/>
  <c r="K501" i="1" s="1"/>
  <c r="K502" i="1" a="1"/>
  <c r="K502" i="1" s="1"/>
  <c r="K503" i="1" a="1"/>
  <c r="K503" i="1" s="1"/>
  <c r="K504" i="1" a="1"/>
  <c r="K504" i="1" s="1"/>
  <c r="K505" i="1" a="1"/>
  <c r="K505" i="1" s="1"/>
  <c r="K506" i="1" a="1"/>
  <c r="K506" i="1" s="1"/>
  <c r="K507" i="1" a="1"/>
  <c r="K507" i="1" s="1"/>
  <c r="K508" i="1" a="1"/>
  <c r="K508" i="1" s="1"/>
  <c r="K509" i="1" a="1"/>
  <c r="K509" i="1" s="1"/>
  <c r="K510" i="1" a="1"/>
  <c r="K510" i="1" s="1"/>
  <c r="K511" i="1" a="1"/>
  <c r="K511" i="1" s="1"/>
  <c r="K513" i="1" a="1"/>
  <c r="K513" i="1" s="1"/>
  <c r="K514" i="1" a="1"/>
  <c r="K514" i="1" s="1"/>
  <c r="K515" i="1" a="1"/>
  <c r="K515" i="1" s="1"/>
  <c r="K516" i="1" a="1"/>
  <c r="K516" i="1" s="1"/>
  <c r="K517" i="1" a="1"/>
  <c r="K517" i="1" s="1"/>
  <c r="K518" i="1" a="1"/>
  <c r="K518" i="1" s="1"/>
  <c r="K519" i="1" a="1"/>
  <c r="K519" i="1" s="1"/>
  <c r="K520" i="1" a="1"/>
  <c r="K520" i="1" s="1"/>
  <c r="K521" i="1" a="1"/>
  <c r="K521" i="1" s="1"/>
  <c r="K522" i="1" a="1"/>
  <c r="K522" i="1" s="1"/>
  <c r="K523" i="1" a="1"/>
  <c r="K523" i="1" s="1"/>
  <c r="K524" i="1" a="1"/>
  <c r="K524" i="1" s="1"/>
  <c r="K525" i="1" a="1"/>
  <c r="K525" i="1" s="1"/>
  <c r="K526" i="1" a="1"/>
  <c r="K526" i="1" s="1"/>
  <c r="K527" i="1" a="1"/>
  <c r="K527" i="1" s="1"/>
  <c r="K528" i="1" a="1"/>
  <c r="K528" i="1" s="1"/>
  <c r="K529" i="1" a="1"/>
  <c r="K529" i="1" s="1"/>
  <c r="K530" i="1" a="1"/>
  <c r="K530" i="1" s="1"/>
  <c r="K531" i="1" a="1"/>
  <c r="K531" i="1" s="1"/>
  <c r="K532" i="1" a="1"/>
  <c r="K532" i="1" s="1"/>
  <c r="K533" i="1" a="1"/>
  <c r="K533" i="1" s="1"/>
  <c r="K534" i="1" a="1"/>
  <c r="K534" i="1" s="1"/>
  <c r="K535" i="1" a="1"/>
  <c r="K535" i="1" s="1"/>
  <c r="K536" i="1" a="1"/>
  <c r="K536" i="1" s="1"/>
  <c r="K537" i="1" a="1"/>
  <c r="K537" i="1" s="1"/>
  <c r="K538" i="1" a="1"/>
  <c r="K538" i="1" s="1"/>
  <c r="K539" i="1" a="1"/>
  <c r="K539" i="1" s="1"/>
  <c r="K540" i="1" a="1"/>
  <c r="K540" i="1" s="1"/>
  <c r="K541" i="1" a="1"/>
  <c r="K541" i="1" s="1"/>
  <c r="K542" i="1" a="1"/>
  <c r="K542" i="1" s="1"/>
  <c r="K543" i="1" a="1"/>
  <c r="K543" i="1" s="1"/>
  <c r="K544" i="1" a="1"/>
  <c r="K544" i="1" s="1"/>
  <c r="K545" i="1" a="1"/>
  <c r="K545" i="1" s="1"/>
  <c r="K546" i="1" a="1"/>
  <c r="K546" i="1" s="1"/>
  <c r="K547" i="1" a="1"/>
  <c r="K547" i="1" s="1"/>
  <c r="K548" i="1" a="1"/>
  <c r="K548" i="1" s="1"/>
  <c r="K549" i="1" a="1"/>
  <c r="K549" i="1" s="1"/>
  <c r="K550" i="1" a="1"/>
  <c r="K550" i="1" s="1"/>
  <c r="K551" i="1" a="1"/>
  <c r="K551" i="1" s="1"/>
  <c r="K552" i="1" a="1"/>
  <c r="K552" i="1" s="1"/>
  <c r="K553" i="1" a="1"/>
  <c r="K553" i="1" s="1"/>
  <c r="K554" i="1" a="1"/>
  <c r="K554" i="1" s="1"/>
  <c r="K555" i="1" a="1"/>
  <c r="K555" i="1" s="1"/>
  <c r="K556" i="1" a="1"/>
  <c r="K556" i="1" s="1"/>
  <c r="K557" i="1" a="1"/>
  <c r="K557" i="1" s="1"/>
  <c r="K558" i="1" a="1"/>
  <c r="K558" i="1" s="1"/>
  <c r="K559" i="1" a="1"/>
  <c r="K559" i="1" s="1"/>
  <c r="K560" i="1" a="1"/>
  <c r="K560" i="1" s="1"/>
  <c r="K561" i="1" a="1"/>
  <c r="K561" i="1" s="1"/>
  <c r="K562" i="1" a="1"/>
  <c r="K562" i="1" s="1"/>
  <c r="K563" i="1" a="1"/>
  <c r="K563" i="1" s="1"/>
  <c r="K564" i="1" a="1"/>
  <c r="K564" i="1" s="1"/>
  <c r="K565" i="1" a="1"/>
  <c r="K565" i="1" s="1"/>
  <c r="K566" i="1" a="1"/>
  <c r="K566" i="1" s="1"/>
  <c r="K567" i="1" a="1"/>
  <c r="K567" i="1" s="1"/>
  <c r="K568" i="1" a="1"/>
  <c r="K568" i="1" s="1"/>
  <c r="K569" i="1" a="1"/>
  <c r="K569" i="1" s="1"/>
  <c r="K570" i="1" a="1"/>
  <c r="K570" i="1" s="1"/>
  <c r="K571" i="1" a="1"/>
  <c r="K571" i="1" s="1"/>
  <c r="K572" i="1" a="1"/>
  <c r="K572" i="1" s="1"/>
  <c r="K573" i="1" a="1"/>
  <c r="K573" i="1" s="1"/>
  <c r="K574" i="1" a="1"/>
  <c r="K574" i="1" s="1"/>
  <c r="K575" i="1" a="1"/>
  <c r="K575" i="1" s="1"/>
  <c r="K576" i="1" a="1"/>
  <c r="K576" i="1" s="1"/>
  <c r="K577" i="1" a="1"/>
  <c r="K577" i="1" s="1"/>
  <c r="K578" i="1" a="1"/>
  <c r="K578" i="1" s="1"/>
  <c r="K579" i="1" a="1"/>
  <c r="K579" i="1" s="1"/>
  <c r="K580" i="1" a="1"/>
  <c r="K580" i="1" s="1"/>
  <c r="K581" i="1" a="1"/>
  <c r="K581" i="1" s="1"/>
  <c r="K582" i="1" a="1"/>
  <c r="K582" i="1" s="1"/>
  <c r="K583" i="1" a="1"/>
  <c r="K583" i="1" s="1"/>
  <c r="K584" i="1" a="1"/>
  <c r="K584" i="1" s="1"/>
  <c r="K585" i="1" a="1"/>
  <c r="K585" i="1" s="1"/>
  <c r="K586" i="1" a="1"/>
  <c r="K586" i="1" s="1"/>
  <c r="K587" i="1" a="1"/>
  <c r="K587" i="1" s="1"/>
  <c r="K588" i="1" a="1"/>
  <c r="K588" i="1" s="1"/>
  <c r="K589" i="1" a="1"/>
  <c r="K589" i="1" s="1"/>
  <c r="K590" i="1" a="1"/>
  <c r="K590" i="1" s="1"/>
  <c r="K591" i="1" a="1"/>
  <c r="K591" i="1" s="1"/>
  <c r="K592" i="1" a="1"/>
  <c r="K592" i="1" s="1"/>
  <c r="K593" i="1" a="1"/>
  <c r="K593" i="1" s="1"/>
  <c r="K594" i="1" a="1"/>
  <c r="K594" i="1" s="1"/>
  <c r="K595" i="1" a="1"/>
  <c r="K595" i="1" s="1"/>
  <c r="K596" i="1" a="1"/>
  <c r="K596" i="1" s="1"/>
  <c r="K597" i="1" a="1"/>
  <c r="K597" i="1" s="1"/>
  <c r="K598" i="1" a="1"/>
  <c r="K598" i="1" s="1"/>
  <c r="K599" i="1" a="1"/>
  <c r="K599" i="1" s="1"/>
  <c r="K600" i="1" a="1"/>
  <c r="K600" i="1" s="1"/>
  <c r="K601" i="1" a="1"/>
  <c r="K601" i="1" s="1"/>
  <c r="K602" i="1" a="1"/>
  <c r="K602" i="1" s="1"/>
  <c r="K603" i="1" a="1"/>
  <c r="K603" i="1" s="1"/>
  <c r="K604" i="1" a="1"/>
  <c r="K604" i="1" s="1"/>
  <c r="K605" i="1" a="1"/>
  <c r="K605" i="1" s="1"/>
  <c r="K606" i="1" a="1"/>
  <c r="K606" i="1" s="1"/>
  <c r="K607" i="1" a="1"/>
  <c r="K607" i="1" s="1"/>
  <c r="K608" i="1" a="1"/>
  <c r="K608" i="1" s="1"/>
  <c r="K609" i="1" a="1"/>
  <c r="K609" i="1" s="1"/>
  <c r="K610" i="1" a="1"/>
  <c r="K610" i="1" s="1"/>
  <c r="K611" i="1" a="1"/>
  <c r="K611" i="1" s="1"/>
  <c r="K612" i="1" a="1"/>
  <c r="K612" i="1" s="1"/>
  <c r="K613" i="1" a="1"/>
  <c r="K613" i="1" s="1"/>
  <c r="K614" i="1" a="1"/>
  <c r="K614" i="1" s="1"/>
  <c r="K615" i="1" a="1"/>
  <c r="K615" i="1" s="1"/>
  <c r="K616" i="1" a="1"/>
  <c r="K616" i="1" s="1"/>
  <c r="K617" i="1" a="1"/>
  <c r="K617" i="1" s="1"/>
  <c r="K618" i="1" a="1"/>
  <c r="K618" i="1" s="1"/>
  <c r="K619" i="1" a="1"/>
  <c r="K619" i="1" s="1"/>
  <c r="K620" i="1" a="1"/>
  <c r="K620" i="1" s="1"/>
  <c r="K621" i="1" a="1"/>
  <c r="K621" i="1" s="1"/>
  <c r="K622" i="1" a="1"/>
  <c r="K622" i="1" s="1"/>
  <c r="K623" i="1" a="1"/>
  <c r="K623" i="1" s="1"/>
  <c r="K624" i="1" a="1"/>
  <c r="K624" i="1" s="1"/>
  <c r="K625" i="1" a="1"/>
  <c r="K625" i="1" s="1"/>
  <c r="K626" i="1" a="1"/>
  <c r="K626" i="1" s="1"/>
  <c r="K627" i="1" a="1"/>
  <c r="K627" i="1" s="1"/>
  <c r="K628" i="1" a="1"/>
  <c r="K628" i="1" s="1"/>
  <c r="K629" i="1" a="1"/>
  <c r="K629" i="1" s="1"/>
  <c r="K630" i="1" a="1"/>
  <c r="K630" i="1" s="1"/>
  <c r="K631" i="1" a="1"/>
  <c r="K631" i="1" s="1"/>
  <c r="K632" i="1" a="1"/>
  <c r="K632" i="1" s="1"/>
  <c r="K633" i="1" a="1"/>
  <c r="K633" i="1" s="1"/>
  <c r="K634" i="1" a="1"/>
  <c r="K634" i="1" s="1"/>
  <c r="K635" i="1" a="1"/>
  <c r="K635" i="1" s="1"/>
  <c r="K636" i="1" a="1"/>
  <c r="K636" i="1" s="1"/>
  <c r="K637" i="1" a="1"/>
  <c r="K637" i="1" s="1"/>
  <c r="K638" i="1" a="1"/>
  <c r="K638" i="1" s="1"/>
  <c r="K639" i="1" a="1"/>
  <c r="K639" i="1" s="1"/>
  <c r="K640" i="1" a="1"/>
  <c r="K640" i="1" s="1"/>
  <c r="K641" i="1" a="1"/>
  <c r="K641" i="1" s="1"/>
  <c r="K642" i="1" a="1"/>
  <c r="K642" i="1" s="1"/>
  <c r="K643" i="1" a="1"/>
  <c r="K643" i="1" s="1"/>
  <c r="K644" i="1" a="1"/>
  <c r="K644" i="1" s="1"/>
  <c r="K645" i="1" a="1"/>
  <c r="K645" i="1" s="1"/>
  <c r="K646" i="1" a="1"/>
  <c r="K646" i="1" s="1"/>
  <c r="K647" i="1" a="1"/>
  <c r="K647" i="1" s="1"/>
  <c r="K648" i="1" a="1"/>
  <c r="K648" i="1" s="1"/>
  <c r="K649" i="1" a="1"/>
  <c r="K649" i="1" s="1"/>
  <c r="K650" i="1" a="1"/>
  <c r="K650" i="1" s="1"/>
  <c r="K651" i="1" a="1"/>
  <c r="K651" i="1" s="1"/>
  <c r="K652" i="1" a="1"/>
  <c r="K652" i="1" s="1"/>
  <c r="K653" i="1" a="1"/>
  <c r="K653" i="1" s="1"/>
  <c r="K654" i="1" a="1"/>
  <c r="K654" i="1" s="1"/>
  <c r="K655" i="1" a="1"/>
  <c r="K655" i="1" s="1"/>
  <c r="K656" i="1" a="1"/>
  <c r="K656" i="1" s="1"/>
  <c r="K657" i="1" a="1"/>
  <c r="K657" i="1" s="1"/>
  <c r="K658" i="1" a="1"/>
  <c r="K658" i="1" s="1"/>
  <c r="K659" i="1" a="1"/>
  <c r="K659" i="1" s="1"/>
  <c r="K660" i="1" a="1"/>
  <c r="K660" i="1" s="1"/>
  <c r="K661" i="1" a="1"/>
  <c r="K661" i="1" s="1"/>
  <c r="K662" i="1" a="1"/>
  <c r="K662" i="1" s="1"/>
  <c r="K663" i="1" a="1"/>
  <c r="K663" i="1" s="1"/>
  <c r="K664" i="1" a="1"/>
  <c r="K664" i="1" s="1"/>
  <c r="K665" i="1" a="1"/>
  <c r="K665" i="1" s="1"/>
  <c r="K666" i="1" a="1"/>
  <c r="K666" i="1" s="1"/>
  <c r="K667" i="1" a="1"/>
  <c r="K667" i="1" s="1"/>
  <c r="K668" i="1" a="1"/>
  <c r="K668" i="1" s="1"/>
  <c r="K669" i="1" a="1"/>
  <c r="K669" i="1" s="1"/>
  <c r="K670" i="1" a="1"/>
  <c r="K670" i="1" s="1"/>
  <c r="K671" i="1" a="1"/>
  <c r="K671" i="1" s="1"/>
  <c r="K672" i="1" a="1"/>
  <c r="K672" i="1" s="1"/>
  <c r="K673" i="1" a="1"/>
  <c r="K673" i="1" s="1"/>
  <c r="K674" i="1" a="1"/>
  <c r="K674" i="1" s="1"/>
  <c r="K675" i="1" a="1"/>
  <c r="K675" i="1" s="1"/>
  <c r="K676" i="1" a="1"/>
  <c r="K676" i="1" s="1"/>
  <c r="K677" i="1" a="1"/>
  <c r="K677" i="1" s="1"/>
  <c r="K678" i="1" a="1"/>
  <c r="K678" i="1" s="1"/>
  <c r="K679" i="1" a="1"/>
  <c r="K679" i="1" s="1"/>
  <c r="K680" i="1" a="1"/>
  <c r="K680" i="1" s="1"/>
  <c r="K681" i="1" a="1"/>
  <c r="K681" i="1" s="1"/>
  <c r="K682" i="1" a="1"/>
  <c r="K682" i="1" s="1"/>
  <c r="K683" i="1" a="1"/>
  <c r="K683" i="1" s="1"/>
  <c r="K684" i="1" a="1"/>
  <c r="K684" i="1" s="1"/>
  <c r="K685" i="1" a="1"/>
  <c r="K685" i="1" s="1"/>
  <c r="K686" i="1" a="1"/>
  <c r="K686" i="1" s="1"/>
  <c r="K687" i="1" a="1"/>
  <c r="K687" i="1" s="1"/>
  <c r="K688" i="1" a="1"/>
  <c r="K688" i="1" s="1"/>
  <c r="K689" i="1" a="1"/>
  <c r="K689" i="1" s="1"/>
  <c r="K690" i="1" a="1"/>
  <c r="K690" i="1" s="1"/>
  <c r="K691" i="1" a="1"/>
  <c r="K691" i="1" s="1"/>
  <c r="K692" i="1" a="1"/>
  <c r="K692" i="1" s="1"/>
  <c r="K693" i="1" a="1"/>
  <c r="K693" i="1" s="1"/>
  <c r="K694" i="1" a="1"/>
  <c r="K694" i="1" s="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717" i="1" a="1"/>
  <c r="K717" i="1" s="1"/>
  <c r="K718" i="1" a="1"/>
  <c r="K718" i="1" s="1"/>
  <c r="K719" i="1" a="1"/>
  <c r="K719" i="1" s="1"/>
  <c r="K720" i="1" a="1"/>
  <c r="K720" i="1" s="1"/>
  <c r="K721" i="1" a="1"/>
  <c r="K721" i="1" s="1"/>
  <c r="K722" i="1" a="1"/>
  <c r="K722" i="1" s="1"/>
  <c r="K723" i="1" a="1"/>
  <c r="K723" i="1" s="1"/>
  <c r="K724" i="1" a="1"/>
  <c r="K724" i="1" s="1"/>
  <c r="K725" i="1" a="1"/>
  <c r="K725" i="1" s="1"/>
  <c r="K726" i="1" a="1"/>
  <c r="K726" i="1" s="1"/>
  <c r="K727" i="1" a="1"/>
  <c r="K727" i="1" s="1"/>
  <c r="K728" i="1" a="1"/>
  <c r="K728" i="1" s="1"/>
  <c r="K729" i="1" a="1"/>
  <c r="K729" i="1" s="1"/>
  <c r="K730" i="1" a="1"/>
  <c r="K730" i="1" s="1"/>
  <c r="K731" i="1" a="1"/>
  <c r="K731" i="1" s="1"/>
  <c r="K732" i="1" a="1"/>
  <c r="K732" i="1" s="1"/>
  <c r="K733" i="1" a="1"/>
  <c r="K733" i="1" s="1"/>
  <c r="K734" i="1" a="1"/>
  <c r="K734" i="1" s="1"/>
  <c r="K735" i="1" a="1"/>
  <c r="K735" i="1" s="1"/>
  <c r="K736" i="1" a="1"/>
  <c r="K736" i="1" s="1"/>
  <c r="K737" i="1" a="1"/>
  <c r="K737" i="1" s="1"/>
  <c r="K738" i="1" a="1"/>
  <c r="K738" i="1" s="1"/>
  <c r="K739" i="1" a="1"/>
  <c r="K739" i="1" s="1"/>
  <c r="K740" i="1" a="1"/>
  <c r="K740" i="1" s="1"/>
  <c r="K741" i="1" a="1"/>
  <c r="K741" i="1" s="1"/>
  <c r="K742" i="1" a="1"/>
  <c r="K742" i="1" s="1"/>
  <c r="K743" i="1" a="1"/>
  <c r="K743" i="1" s="1"/>
  <c r="K744" i="1" a="1"/>
  <c r="K744" i="1" s="1"/>
  <c r="K745" i="1" a="1"/>
  <c r="K745" i="1" s="1"/>
  <c r="K746" i="1" a="1"/>
  <c r="K746" i="1" s="1"/>
  <c r="K747" i="1" a="1"/>
  <c r="K747" i="1" s="1"/>
  <c r="K748" i="1" a="1"/>
  <c r="K748" i="1" s="1"/>
  <c r="K749" i="1" a="1"/>
  <c r="K749" i="1" s="1"/>
  <c r="K750" i="1" a="1"/>
  <c r="K750" i="1" s="1"/>
  <c r="K751" i="1" a="1"/>
  <c r="K751" i="1" s="1"/>
  <c r="K752" i="1" a="1"/>
  <c r="K752" i="1" s="1"/>
  <c r="K753" i="1" a="1"/>
  <c r="K753" i="1" s="1"/>
  <c r="K754" i="1" a="1"/>
  <c r="K754" i="1" s="1"/>
  <c r="K755" i="1" a="1"/>
  <c r="K755" i="1" s="1"/>
  <c r="K756" i="1" a="1"/>
  <c r="K756" i="1" s="1"/>
  <c r="K757" i="1" a="1"/>
  <c r="K757" i="1" s="1"/>
  <c r="K758" i="1" a="1"/>
  <c r="K758" i="1" s="1"/>
  <c r="K759" i="1" a="1"/>
  <c r="K759" i="1" s="1"/>
  <c r="K760" i="1" a="1"/>
  <c r="K760" i="1" s="1"/>
  <c r="K761" i="1" a="1"/>
  <c r="K761" i="1" s="1"/>
  <c r="K762" i="1" a="1"/>
  <c r="K762" i="1" s="1"/>
  <c r="K763" i="1" a="1"/>
  <c r="K763" i="1" s="1"/>
  <c r="K764" i="1" a="1"/>
  <c r="K764" i="1" s="1"/>
  <c r="K765" i="1" a="1"/>
  <c r="K765" i="1" s="1"/>
  <c r="K766" i="1" a="1"/>
  <c r="K766" i="1" s="1"/>
  <c r="K767" i="1" a="1"/>
  <c r="K767" i="1" s="1"/>
  <c r="K768" i="1" a="1"/>
  <c r="K768" i="1" s="1"/>
  <c r="K769" i="1" a="1"/>
  <c r="K769" i="1" s="1"/>
  <c r="K770" i="1" a="1"/>
  <c r="K770" i="1" s="1"/>
  <c r="K771" i="1" a="1"/>
  <c r="K771" i="1" s="1"/>
  <c r="K772" i="1" a="1"/>
  <c r="K772" i="1" s="1"/>
  <c r="K773" i="1" a="1"/>
  <c r="K773" i="1" s="1"/>
  <c r="K774" i="1" a="1"/>
  <c r="K774" i="1" s="1"/>
  <c r="K775" i="1" a="1"/>
  <c r="K775" i="1" s="1"/>
  <c r="K776" i="1" a="1"/>
  <c r="K776" i="1" s="1"/>
  <c r="K777" i="1" a="1"/>
  <c r="K777" i="1" s="1"/>
  <c r="K778" i="1" a="1"/>
  <c r="K778" i="1" s="1"/>
  <c r="K779" i="1" a="1"/>
  <c r="K779" i="1" s="1"/>
  <c r="K780" i="1" a="1"/>
  <c r="K780" i="1" s="1"/>
  <c r="K781" i="1" a="1"/>
  <c r="K781" i="1" s="1"/>
  <c r="K782" i="1" a="1"/>
  <c r="K782" i="1" s="1"/>
  <c r="K783" i="1" a="1"/>
  <c r="K783" i="1" s="1"/>
  <c r="K784" i="1" a="1"/>
  <c r="K784" i="1" s="1"/>
  <c r="K785" i="1" a="1"/>
  <c r="K785" i="1" s="1"/>
  <c r="K786" i="1" a="1"/>
  <c r="K786" i="1" s="1"/>
  <c r="K787" i="1" a="1"/>
  <c r="K787" i="1" s="1"/>
  <c r="K788" i="1" a="1"/>
  <c r="K788" i="1" s="1"/>
  <c r="K789" i="1" a="1"/>
  <c r="K789" i="1" s="1"/>
  <c r="K790" i="1" a="1"/>
  <c r="K790" i="1" s="1"/>
  <c r="K791" i="1" a="1"/>
  <c r="K791" i="1" s="1"/>
  <c r="K792" i="1" a="1"/>
  <c r="K792" i="1" s="1"/>
  <c r="K793" i="1" a="1"/>
  <c r="K793" i="1" s="1"/>
  <c r="K794" i="1" a="1"/>
  <c r="K794" i="1" s="1"/>
  <c r="K795" i="1" a="1"/>
  <c r="K795" i="1" s="1"/>
  <c r="K796" i="1" a="1"/>
  <c r="K796" i="1" s="1"/>
  <c r="K797" i="1" a="1"/>
  <c r="K797" i="1" s="1"/>
  <c r="K798" i="1" a="1"/>
  <c r="K798" i="1" s="1"/>
  <c r="K799" i="1" a="1"/>
  <c r="K799" i="1" s="1"/>
  <c r="K800" i="1" a="1"/>
  <c r="K800" i="1" s="1"/>
  <c r="K801" i="1" a="1"/>
  <c r="K801" i="1" s="1"/>
  <c r="K802" i="1" a="1"/>
  <c r="K802" i="1" s="1"/>
  <c r="K803" i="1" a="1"/>
  <c r="K803" i="1" s="1"/>
  <c r="K804" i="1" a="1"/>
  <c r="K804" i="1" s="1"/>
  <c r="K805" i="1" a="1"/>
  <c r="K805" i="1" s="1"/>
  <c r="K806" i="1" a="1"/>
  <c r="K806" i="1" s="1"/>
  <c r="K807" i="1" a="1"/>
  <c r="K807" i="1" s="1"/>
  <c r="K808" i="1" a="1"/>
  <c r="K808" i="1" s="1"/>
  <c r="K809" i="1" a="1"/>
  <c r="K809" i="1" s="1"/>
  <c r="K810" i="1" a="1"/>
  <c r="K810" i="1" s="1"/>
  <c r="K811" i="1" a="1"/>
  <c r="K811" i="1" s="1"/>
  <c r="K812" i="1" a="1"/>
  <c r="K812" i="1" s="1"/>
  <c r="K813" i="1" a="1"/>
  <c r="K813" i="1" s="1"/>
  <c r="K814" i="1" a="1"/>
  <c r="K814" i="1" s="1"/>
  <c r="K815" i="1" a="1"/>
  <c r="K815" i="1" s="1"/>
  <c r="K816" i="1" a="1"/>
  <c r="K816" i="1" s="1"/>
  <c r="K817" i="1" a="1"/>
  <c r="K817" i="1" s="1"/>
  <c r="K818" i="1" a="1"/>
  <c r="K818" i="1" s="1"/>
  <c r="K819" i="1" a="1"/>
  <c r="K819" i="1" s="1"/>
  <c r="K820" i="1" a="1"/>
  <c r="K820" i="1" s="1"/>
  <c r="K821" i="1" a="1"/>
  <c r="K821" i="1" s="1"/>
  <c r="K822" i="1" a="1"/>
  <c r="K822" i="1" s="1"/>
  <c r="K823" i="1" a="1"/>
  <c r="K823" i="1" s="1"/>
  <c r="K824" i="1" a="1"/>
  <c r="K824" i="1" s="1"/>
  <c r="K825" i="1" a="1"/>
  <c r="K825" i="1" s="1"/>
  <c r="K826" i="1" a="1"/>
  <c r="K826" i="1" s="1"/>
  <c r="K827" i="1" a="1"/>
  <c r="K827" i="1" s="1"/>
  <c r="K828" i="1" a="1"/>
  <c r="K828" i="1" s="1"/>
  <c r="K829" i="1" a="1"/>
  <c r="K829" i="1" s="1"/>
  <c r="K830" i="1" a="1"/>
  <c r="K830" i="1" s="1"/>
  <c r="K831" i="1" a="1"/>
  <c r="K831" i="1" s="1"/>
  <c r="K832" i="1" a="1"/>
  <c r="K832" i="1" s="1"/>
  <c r="K833" i="1" a="1"/>
  <c r="K833" i="1" s="1"/>
  <c r="K834" i="1" a="1"/>
  <c r="K834" i="1" s="1"/>
  <c r="K835" i="1" a="1"/>
  <c r="K835" i="1" s="1"/>
  <c r="K836" i="1" a="1"/>
  <c r="K836" i="1" s="1"/>
  <c r="K837" i="1" a="1"/>
  <c r="K837" i="1" s="1"/>
  <c r="K838" i="1" a="1"/>
  <c r="K838" i="1" s="1"/>
  <c r="K839" i="1" a="1"/>
  <c r="K839" i="1" s="1"/>
  <c r="K840" i="1" a="1"/>
  <c r="K840" i="1" s="1"/>
  <c r="K841" i="1" a="1"/>
  <c r="K841" i="1" s="1"/>
  <c r="K842" i="1" a="1"/>
  <c r="K842" i="1" s="1"/>
  <c r="K843" i="1" a="1"/>
  <c r="K843" i="1" s="1"/>
  <c r="K844" i="1" a="1"/>
  <c r="K844" i="1" s="1"/>
  <c r="K845" i="1" a="1"/>
  <c r="K845" i="1" s="1"/>
  <c r="K846" i="1" a="1"/>
  <c r="K846" i="1" s="1"/>
  <c r="K847" i="1" a="1"/>
  <c r="K847" i="1" s="1"/>
  <c r="K848" i="1" a="1"/>
  <c r="K848" i="1" s="1"/>
  <c r="K849" i="1" a="1"/>
  <c r="K849" i="1" s="1"/>
  <c r="K850" i="1" a="1"/>
  <c r="K850" i="1" s="1"/>
  <c r="K851" i="1" a="1"/>
  <c r="K851" i="1" s="1"/>
  <c r="K852" i="1" a="1"/>
  <c r="K852" i="1" s="1"/>
  <c r="K853" i="1" a="1"/>
  <c r="K853" i="1" s="1"/>
  <c r="K854" i="1" a="1"/>
  <c r="K854" i="1" s="1"/>
  <c r="K855" i="1" a="1"/>
  <c r="K855" i="1" s="1"/>
  <c r="K856" i="1" a="1"/>
  <c r="K856" i="1" s="1"/>
  <c r="K857" i="1" a="1"/>
  <c r="K857" i="1" s="1"/>
  <c r="K858" i="1" a="1"/>
  <c r="K858" i="1" s="1"/>
  <c r="K859" i="1" a="1"/>
  <c r="K859" i="1" s="1"/>
  <c r="K860" i="1" a="1"/>
  <c r="K860" i="1" s="1"/>
  <c r="K861" i="1" a="1"/>
  <c r="K861" i="1" s="1"/>
  <c r="K862" i="1" a="1"/>
  <c r="K862" i="1" s="1"/>
  <c r="K863" i="1" a="1"/>
  <c r="K863" i="1" s="1"/>
  <c r="K864" i="1" a="1"/>
  <c r="K864" i="1" s="1"/>
  <c r="K865" i="1" a="1"/>
  <c r="K865" i="1" s="1"/>
  <c r="K866" i="1" a="1"/>
  <c r="K866" i="1" s="1"/>
  <c r="K867" i="1" a="1"/>
  <c r="K867" i="1" s="1"/>
  <c r="K868" i="1" a="1"/>
  <c r="K868" i="1" s="1"/>
  <c r="K869" i="1" a="1"/>
  <c r="K869" i="1" s="1"/>
  <c r="K870" i="1" a="1"/>
  <c r="K870" i="1" s="1"/>
  <c r="K871" i="1" a="1"/>
  <c r="K871" i="1" s="1"/>
  <c r="K872" i="1" a="1"/>
  <c r="K872" i="1" s="1"/>
  <c r="K873" i="1" a="1"/>
  <c r="K873" i="1" s="1"/>
  <c r="K874" i="1" a="1"/>
  <c r="K874" i="1" s="1"/>
  <c r="K875" i="1" a="1"/>
  <c r="K875" i="1" s="1"/>
  <c r="K876" i="1" a="1"/>
  <c r="K876" i="1" s="1"/>
  <c r="K877" i="1" a="1"/>
  <c r="K877" i="1" s="1"/>
  <c r="K878" i="1" a="1"/>
  <c r="K878" i="1" s="1"/>
  <c r="K879" i="1" a="1"/>
  <c r="K879" i="1" s="1"/>
  <c r="K880" i="1" a="1"/>
  <c r="K880" i="1" s="1"/>
  <c r="K881" i="1" a="1"/>
  <c r="K881" i="1" s="1"/>
  <c r="K882" i="1" a="1"/>
  <c r="K882" i="1" s="1"/>
  <c r="K883" i="1" a="1"/>
  <c r="K883" i="1" s="1"/>
  <c r="K884" i="1" a="1"/>
  <c r="K884" i="1" s="1"/>
  <c r="K885" i="1" a="1"/>
  <c r="K885" i="1" s="1"/>
  <c r="K886" i="1" a="1"/>
  <c r="K886" i="1" s="1"/>
  <c r="K887" i="1" a="1"/>
  <c r="K887" i="1" s="1"/>
  <c r="K888" i="1" a="1"/>
  <c r="K888" i="1" s="1"/>
  <c r="K889" i="1" a="1"/>
  <c r="K889" i="1" s="1"/>
  <c r="K890" i="1" a="1"/>
  <c r="K890" i="1" s="1"/>
  <c r="K891" i="1" a="1"/>
  <c r="K891" i="1" s="1"/>
  <c r="K892" i="1" a="1"/>
  <c r="K892" i="1" s="1"/>
  <c r="K893" i="1" a="1"/>
  <c r="K893" i="1" s="1"/>
  <c r="K894" i="1" a="1"/>
  <c r="K894" i="1" s="1"/>
  <c r="K895" i="1" a="1"/>
  <c r="K895" i="1" s="1"/>
  <c r="K896" i="1" a="1"/>
  <c r="K896" i="1" s="1"/>
  <c r="K897" i="1" a="1"/>
  <c r="K897" i="1" s="1"/>
  <c r="K898" i="1" a="1"/>
  <c r="K898" i="1" s="1"/>
  <c r="K899" i="1" a="1"/>
  <c r="K899" i="1" s="1"/>
  <c r="K900" i="1" a="1"/>
  <c r="K900" i="1" s="1"/>
  <c r="K901" i="1" a="1"/>
  <c r="K901" i="1" s="1"/>
  <c r="K902" i="1" a="1"/>
  <c r="K902" i="1" s="1"/>
  <c r="K903" i="1" a="1"/>
  <c r="K903" i="1" s="1"/>
  <c r="K904" i="1" a="1"/>
  <c r="K904" i="1" s="1"/>
  <c r="K905" i="1" a="1"/>
  <c r="K905" i="1" s="1"/>
  <c r="K906" i="1" a="1"/>
  <c r="K906" i="1" s="1"/>
  <c r="K907" i="1" a="1"/>
  <c r="K907" i="1" s="1"/>
  <c r="K908" i="1" a="1"/>
  <c r="K908" i="1" s="1"/>
  <c r="K909" i="1" a="1"/>
  <c r="K909" i="1" s="1"/>
  <c r="K910" i="1" a="1"/>
  <c r="K910" i="1" s="1"/>
  <c r="K911" i="1" a="1"/>
  <c r="K911" i="1" s="1"/>
  <c r="K912" i="1" a="1"/>
  <c r="K912" i="1" s="1"/>
  <c r="K913" i="1" a="1"/>
  <c r="K913" i="1" s="1"/>
  <c r="K914" i="1" a="1"/>
  <c r="K914" i="1" s="1"/>
  <c r="K915" i="1" a="1"/>
  <c r="K915" i="1" s="1"/>
  <c r="K916" i="1" a="1"/>
  <c r="K916" i="1" s="1"/>
  <c r="K917" i="1" a="1"/>
  <c r="K917" i="1" s="1"/>
  <c r="K918" i="1" a="1"/>
  <c r="K918" i="1" s="1"/>
  <c r="K919" i="1" a="1"/>
  <c r="K919" i="1" s="1"/>
  <c r="K920" i="1" a="1"/>
  <c r="K920" i="1" s="1"/>
  <c r="K921" i="1" a="1"/>
  <c r="K921" i="1" s="1"/>
  <c r="K922" i="1" a="1"/>
  <c r="K922" i="1" s="1"/>
  <c r="K923" i="1" a="1"/>
  <c r="K923" i="1" s="1"/>
  <c r="K924" i="1" a="1"/>
  <c r="K924" i="1" s="1"/>
  <c r="K925" i="1" a="1"/>
  <c r="K925" i="1" s="1"/>
  <c r="K926" i="1" a="1"/>
  <c r="K926" i="1" s="1"/>
  <c r="K927" i="1" a="1"/>
  <c r="K927" i="1" s="1"/>
  <c r="K928" i="1" a="1"/>
  <c r="K928" i="1" s="1"/>
  <c r="K929" i="1" a="1"/>
  <c r="K929" i="1" s="1"/>
  <c r="K930" i="1" a="1"/>
  <c r="K930" i="1" s="1"/>
  <c r="K931" i="1" a="1"/>
  <c r="K931" i="1" s="1"/>
  <c r="K932" i="1" a="1"/>
  <c r="K932" i="1" s="1"/>
  <c r="K933" i="1" a="1"/>
  <c r="K933" i="1" s="1"/>
  <c r="K934" i="1" a="1"/>
  <c r="K934" i="1" s="1"/>
  <c r="K935" i="1" a="1"/>
  <c r="K935" i="1" s="1"/>
  <c r="K936" i="1" a="1"/>
  <c r="K936" i="1" s="1"/>
  <c r="K937" i="1" a="1"/>
  <c r="K937" i="1" s="1"/>
  <c r="K938" i="1" a="1"/>
  <c r="K938" i="1" s="1"/>
  <c r="K939" i="1" a="1"/>
  <c r="K939" i="1" s="1"/>
  <c r="K940" i="1" a="1"/>
  <c r="K940" i="1" s="1"/>
  <c r="K941" i="1" a="1"/>
  <c r="K941" i="1" s="1"/>
  <c r="K942" i="1" a="1"/>
  <c r="K942" i="1" s="1"/>
  <c r="K943" i="1" a="1"/>
  <c r="K943" i="1" s="1"/>
  <c r="K944" i="1" a="1"/>
  <c r="K944" i="1" s="1"/>
  <c r="K945" i="1" a="1"/>
  <c r="K945" i="1" s="1"/>
  <c r="K946" i="1" a="1"/>
  <c r="K946" i="1" s="1"/>
  <c r="K947" i="1" a="1"/>
  <c r="K947" i="1" s="1"/>
  <c r="K948" i="1" a="1"/>
  <c r="K948" i="1" s="1"/>
  <c r="K949" i="1" a="1"/>
  <c r="K949" i="1" s="1"/>
  <c r="K950" i="1" a="1"/>
  <c r="K950" i="1" s="1"/>
  <c r="K951" i="1" a="1"/>
  <c r="K951" i="1" s="1"/>
  <c r="K952" i="1" a="1"/>
  <c r="K952" i="1" s="1"/>
  <c r="K953" i="1" a="1"/>
  <c r="K953" i="1" s="1"/>
  <c r="K954" i="1" a="1"/>
  <c r="K954" i="1" s="1"/>
  <c r="K955" i="1" a="1"/>
  <c r="K955" i="1" s="1"/>
  <c r="K956" i="1" a="1"/>
  <c r="K956" i="1" s="1"/>
  <c r="K957" i="1" a="1"/>
  <c r="K957" i="1" s="1"/>
  <c r="K958" i="1" a="1"/>
  <c r="K958" i="1" s="1"/>
  <c r="K959" i="1" a="1"/>
  <c r="K959" i="1" s="1"/>
  <c r="K960" i="1" a="1"/>
  <c r="K960" i="1" s="1"/>
  <c r="K961" i="1" a="1"/>
  <c r="K961" i="1" s="1"/>
  <c r="K962" i="1" a="1"/>
  <c r="K962" i="1" s="1"/>
  <c r="K963" i="1" a="1"/>
  <c r="K963" i="1" s="1"/>
  <c r="K964" i="1" a="1"/>
  <c r="K964" i="1" s="1"/>
  <c r="K965" i="1" a="1"/>
  <c r="K965" i="1" s="1"/>
  <c r="K966" i="1" a="1"/>
  <c r="K966" i="1" s="1"/>
  <c r="K967" i="1" a="1"/>
  <c r="K967" i="1" s="1"/>
  <c r="K968" i="1" a="1"/>
  <c r="K968" i="1" s="1"/>
  <c r="K969" i="1" a="1"/>
  <c r="K96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981" i="1" a="1"/>
  <c r="K981" i="1" s="1"/>
  <c r="K982" i="1" a="1"/>
  <c r="K982" i="1" s="1"/>
  <c r="K983" i="1" a="1"/>
  <c r="K983" i="1" s="1"/>
  <c r="K984" i="1" a="1"/>
  <c r="K984" i="1" s="1"/>
  <c r="K985" i="1" a="1"/>
  <c r="K985" i="1" s="1"/>
  <c r="K986" i="1" a="1"/>
  <c r="K986" i="1" s="1"/>
  <c r="K987" i="1" a="1"/>
  <c r="K987" i="1" s="1"/>
  <c r="K988" i="1" a="1"/>
  <c r="K988" i="1" s="1"/>
  <c r="K989" i="1" a="1"/>
  <c r="K989" i="1" s="1"/>
  <c r="K990" i="1" a="1"/>
  <c r="K990" i="1" s="1"/>
  <c r="K991" i="1" a="1"/>
  <c r="K991" i="1" s="1"/>
  <c r="K992" i="1" a="1"/>
  <c r="K992" i="1" s="1"/>
  <c r="K993" i="1" a="1"/>
  <c r="K993" i="1" s="1"/>
  <c r="K994" i="1" a="1"/>
  <c r="K994" i="1" s="1"/>
  <c r="K995" i="1" a="1"/>
  <c r="K995" i="1" s="1"/>
  <c r="K996" i="1" a="1"/>
  <c r="K996" i="1" s="1"/>
  <c r="K997" i="1" a="1"/>
  <c r="K997" i="1" s="1"/>
  <c r="K998" i="1" a="1"/>
  <c r="K998" i="1" s="1"/>
  <c r="K999" i="1" a="1"/>
  <c r="K999" i="1" s="1"/>
  <c r="K1000" i="1" a="1"/>
  <c r="K1000" i="1" s="1"/>
  <c r="K1001" i="1" a="1"/>
  <c r="K1001" i="1" s="1"/>
  <c r="K1002" i="1" a="1"/>
  <c r="K1002" i="1" s="1"/>
  <c r="K1003" i="1" a="1"/>
  <c r="K1003" i="1" s="1"/>
  <c r="K1004" i="1" a="1"/>
  <c r="K1004" i="1" s="1"/>
  <c r="K1005" i="1" a="1"/>
  <c r="K1005" i="1" s="1"/>
  <c r="K1006" i="1" a="1"/>
  <c r="K1006" i="1" s="1"/>
  <c r="K1007" i="1" a="1"/>
  <c r="K1007" i="1" s="1"/>
  <c r="K1008" i="1" a="1"/>
  <c r="K1008" i="1" s="1"/>
  <c r="K1009" i="1" a="1"/>
  <c r="K1009" i="1" s="1"/>
  <c r="K1010" i="1" a="1"/>
  <c r="K1010" i="1" s="1"/>
  <c r="K1011" i="1" a="1"/>
  <c r="K1011" i="1" s="1"/>
  <c r="K1012" i="1" a="1"/>
  <c r="K1012" i="1" s="1"/>
  <c r="K1013" i="1" a="1"/>
  <c r="K1013" i="1" s="1"/>
  <c r="K1014" i="1" a="1"/>
  <c r="K1014" i="1" s="1"/>
  <c r="K1015" i="1" a="1"/>
  <c r="K1015" i="1" s="1"/>
  <c r="K1016" i="1" a="1"/>
  <c r="K1016" i="1" s="1"/>
  <c r="K1017" i="1" a="1"/>
  <c r="K1017" i="1" s="1"/>
  <c r="K1018" i="1" a="1"/>
  <c r="K1018" i="1" s="1"/>
  <c r="K1019" i="1" a="1"/>
  <c r="K1019" i="1" s="1"/>
  <c r="K1020" i="1" a="1"/>
  <c r="K1020" i="1" s="1"/>
  <c r="K1021" i="1" a="1"/>
  <c r="K1021" i="1" s="1"/>
  <c r="K1022" i="1" a="1"/>
  <c r="K1022" i="1" s="1"/>
  <c r="K1023" i="1" a="1"/>
  <c r="K1023" i="1" s="1"/>
  <c r="K1024" i="1" a="1"/>
  <c r="K1024" i="1" s="1"/>
  <c r="K1025" i="1" a="1"/>
  <c r="K1025" i="1" s="1"/>
  <c r="K1026" i="1" a="1"/>
  <c r="K1026" i="1" s="1"/>
  <c r="K1027" i="1" a="1"/>
  <c r="K1027" i="1" s="1"/>
  <c r="K1028" i="1" a="1"/>
  <c r="K1028" i="1" s="1"/>
  <c r="K1029" i="1" a="1"/>
  <c r="K1029" i="1" s="1"/>
  <c r="K1030" i="1" a="1"/>
  <c r="K1030" i="1" s="1"/>
  <c r="K1031" i="1" a="1"/>
  <c r="K1031" i="1" s="1"/>
  <c r="K1032" i="1" a="1"/>
  <c r="K1032" i="1" s="1"/>
  <c r="K1033" i="1" a="1"/>
  <c r="K1033" i="1" s="1"/>
  <c r="K1034" i="1" a="1"/>
  <c r="K1034" i="1" s="1"/>
  <c r="K1035" i="1" a="1"/>
  <c r="K1035" i="1" s="1"/>
  <c r="K1036" i="1" a="1"/>
  <c r="K1036" i="1" s="1"/>
  <c r="K1037" i="1" a="1"/>
  <c r="K1037" i="1" s="1"/>
  <c r="K1038" i="1" a="1"/>
  <c r="K1038" i="1" s="1"/>
  <c r="K1039" i="1" a="1"/>
  <c r="K1039" i="1" s="1"/>
  <c r="K1040" i="1" a="1"/>
  <c r="K1040" i="1" s="1"/>
  <c r="K1041" i="1" a="1"/>
  <c r="K1041" i="1" s="1"/>
  <c r="K1042" i="1" a="1"/>
  <c r="K1042" i="1" s="1"/>
  <c r="K1043" i="1" a="1"/>
  <c r="K1043" i="1" s="1"/>
  <c r="K1044" i="1" a="1"/>
  <c r="K1044" i="1" s="1"/>
  <c r="K1045" i="1" a="1"/>
  <c r="K1045" i="1" s="1"/>
  <c r="K1046" i="1" a="1"/>
  <c r="K1046" i="1" s="1"/>
  <c r="K1047" i="1" a="1"/>
  <c r="K1047" i="1" s="1"/>
  <c r="K1048" i="1" a="1"/>
  <c r="K1048" i="1" s="1"/>
  <c r="K1049" i="1" a="1"/>
  <c r="K1049" i="1" s="1"/>
  <c r="K1050" i="1" a="1"/>
  <c r="K1050" i="1" s="1"/>
  <c r="K1051" i="1" a="1"/>
  <c r="K1051" i="1" s="1"/>
  <c r="K1052" i="1" a="1"/>
  <c r="K1052" i="1" s="1"/>
  <c r="K1053" i="1" a="1"/>
  <c r="K1053" i="1" s="1"/>
  <c r="K1054" i="1" a="1"/>
  <c r="K1054" i="1" s="1"/>
  <c r="K1055" i="1" a="1"/>
  <c r="K1055" i="1" s="1"/>
  <c r="K1056" i="1" a="1"/>
  <c r="K1056" i="1" s="1"/>
  <c r="K1057" i="1" a="1"/>
  <c r="K1057" i="1" s="1"/>
  <c r="K1058" i="1" a="1"/>
  <c r="K1058" i="1" s="1"/>
  <c r="K1059" i="1" a="1"/>
  <c r="K1059" i="1" s="1"/>
  <c r="K1060" i="1" a="1"/>
  <c r="K1060" i="1" s="1"/>
  <c r="K1061" i="1" a="1"/>
  <c r="K1061" i="1" s="1"/>
  <c r="K1062" i="1" a="1"/>
  <c r="K1062" i="1" s="1"/>
  <c r="K1063" i="1" a="1"/>
  <c r="K1063" i="1" s="1"/>
  <c r="K1064" i="1" a="1"/>
  <c r="K1064" i="1" s="1"/>
  <c r="K1065" i="1" a="1"/>
  <c r="K1065" i="1" s="1"/>
  <c r="K1066" i="1" a="1"/>
  <c r="K1066" i="1" s="1"/>
  <c r="K1067" i="1" a="1"/>
  <c r="K1067" i="1" s="1"/>
  <c r="K1068" i="1" a="1"/>
  <c r="K1068" i="1" s="1"/>
  <c r="K1069" i="1" a="1"/>
  <c r="K1069" i="1" s="1"/>
  <c r="K1070" i="1" a="1"/>
  <c r="K1070" i="1" s="1"/>
  <c r="K1071" i="1" a="1"/>
  <c r="K1071" i="1" s="1"/>
  <c r="K1072" i="1" a="1"/>
  <c r="K1072" i="1" s="1"/>
  <c r="K1073" i="1" a="1"/>
  <c r="K1073" i="1" s="1"/>
  <c r="K1074" i="1" a="1"/>
  <c r="K1074" i="1" s="1"/>
  <c r="K1075" i="1" a="1"/>
  <c r="K1075" i="1" s="1"/>
  <c r="K1076" i="1" a="1"/>
  <c r="K1076" i="1" s="1"/>
  <c r="K1077" i="1" a="1"/>
  <c r="K1077" i="1" s="1"/>
  <c r="K1078" i="1" a="1"/>
  <c r="K1078" i="1" s="1"/>
  <c r="K1079" i="1" a="1"/>
  <c r="K1079" i="1" s="1"/>
  <c r="K1080" i="1" a="1"/>
  <c r="K1080" i="1" s="1"/>
  <c r="K1081" i="1" a="1"/>
  <c r="K1081" i="1" s="1"/>
  <c r="K1082" i="1" a="1"/>
  <c r="K1082" i="1" s="1"/>
  <c r="K1083" i="1" a="1"/>
  <c r="K1083" i="1" s="1"/>
  <c r="K1084" i="1" a="1"/>
  <c r="K1084" i="1" s="1"/>
  <c r="K1085" i="1" a="1"/>
  <c r="K1085" i="1" s="1"/>
  <c r="K1086" i="1" a="1"/>
  <c r="K1086" i="1" s="1"/>
  <c r="K1087" i="1" a="1"/>
  <c r="K1087" i="1" s="1"/>
  <c r="K1088" i="1" a="1"/>
  <c r="K1088" i="1" s="1"/>
  <c r="K1089" i="1" a="1"/>
  <c r="K1089" i="1" s="1"/>
  <c r="K1090" i="1" a="1"/>
  <c r="K1090" i="1" s="1"/>
  <c r="K1091" i="1" a="1"/>
  <c r="K1091" i="1" s="1"/>
  <c r="K1092" i="1" a="1"/>
  <c r="K1092" i="1" s="1"/>
  <c r="K1093" i="1" a="1"/>
  <c r="K1093" i="1" s="1"/>
  <c r="K1094" i="1" a="1"/>
  <c r="K1094" i="1" s="1"/>
  <c r="K1095" i="1" a="1"/>
  <c r="K1095" i="1" s="1"/>
  <c r="K1096" i="1" a="1"/>
  <c r="K1096" i="1" s="1"/>
  <c r="K1097" i="1" a="1"/>
  <c r="K1097" i="1" s="1"/>
  <c r="K1098" i="1" a="1"/>
  <c r="K1098" i="1" s="1"/>
  <c r="K1099" i="1" a="1"/>
  <c r="K1099" i="1" s="1"/>
  <c r="K1100" i="1" a="1"/>
  <c r="K1100" i="1" s="1"/>
  <c r="K1101" i="1" a="1"/>
  <c r="K1101" i="1" s="1"/>
  <c r="K1102" i="1" a="1"/>
  <c r="K1102" i="1" s="1"/>
  <c r="K1103" i="1" a="1"/>
  <c r="K1103" i="1" s="1"/>
  <c r="K1104" i="1" a="1"/>
  <c r="K1104" i="1" s="1"/>
  <c r="K1105" i="1" a="1"/>
  <c r="K1105" i="1" s="1"/>
  <c r="K1106" i="1" a="1"/>
  <c r="K1106" i="1" s="1"/>
  <c r="K1107" i="1" a="1"/>
  <c r="K1107" i="1" s="1"/>
  <c r="K1108" i="1" a="1"/>
  <c r="K1108" i="1" s="1"/>
  <c r="K1109" i="1" a="1"/>
  <c r="K1109" i="1" s="1"/>
  <c r="K1110" i="1" a="1"/>
  <c r="K1110" i="1" s="1"/>
  <c r="K1111" i="1" a="1"/>
  <c r="K1111" i="1" s="1"/>
  <c r="K1112" i="1" a="1"/>
  <c r="K1112" i="1" s="1"/>
  <c r="K1113" i="1" a="1"/>
  <c r="K1113" i="1" s="1"/>
  <c r="K1114" i="1" a="1"/>
  <c r="K1114" i="1" s="1"/>
  <c r="K1115" i="1" a="1"/>
  <c r="K1115" i="1" s="1"/>
  <c r="K1116" i="1" a="1"/>
  <c r="K1116" i="1" s="1"/>
  <c r="K1117" i="1" a="1"/>
  <c r="K1117" i="1" s="1"/>
  <c r="K1118" i="1" a="1"/>
  <c r="K1118" i="1" s="1"/>
  <c r="K1119" i="1" a="1"/>
  <c r="K1119" i="1" s="1"/>
  <c r="K1120" i="1" a="1"/>
  <c r="K1120" i="1" s="1"/>
  <c r="K1121" i="1" a="1"/>
  <c r="K1121" i="1" s="1"/>
  <c r="K1122" i="1" a="1"/>
  <c r="K1122" i="1" s="1"/>
  <c r="K1123" i="1" a="1"/>
  <c r="K1123" i="1" s="1"/>
  <c r="K1124" i="1" a="1"/>
  <c r="K1124" i="1" s="1"/>
  <c r="K1125" i="1" a="1"/>
  <c r="K1125" i="1" s="1"/>
  <c r="K1126" i="1" a="1"/>
  <c r="K1126" i="1" s="1"/>
  <c r="K1127" i="1" a="1"/>
  <c r="K1127" i="1" s="1"/>
  <c r="K1128" i="1" a="1"/>
  <c r="K1128" i="1" s="1"/>
  <c r="K1129" i="1" a="1"/>
  <c r="K1129" i="1" s="1"/>
  <c r="K1130" i="1" a="1"/>
  <c r="K1130" i="1" s="1"/>
  <c r="K1131" i="1" a="1"/>
  <c r="K1131" i="1" s="1"/>
  <c r="K1132" i="1" a="1"/>
  <c r="K1132" i="1" s="1"/>
  <c r="K1133" i="1" a="1"/>
  <c r="K1133" i="1" s="1"/>
  <c r="K1134" i="1" a="1"/>
  <c r="K1134" i="1" s="1"/>
  <c r="K1135" i="1" a="1"/>
  <c r="K1135" i="1" s="1"/>
  <c r="K1136" i="1" a="1"/>
  <c r="K1136" i="1" s="1"/>
  <c r="K1137" i="1" a="1"/>
  <c r="K1137" i="1" s="1"/>
  <c r="K1138" i="1" a="1"/>
  <c r="K1138" i="1" s="1"/>
  <c r="K1139" i="1" a="1"/>
  <c r="K1139" i="1" s="1"/>
  <c r="K1140" i="1" a="1"/>
  <c r="K1140" i="1" s="1"/>
  <c r="K1141" i="1" a="1"/>
  <c r="K1141" i="1" s="1"/>
  <c r="K1142" i="1" a="1"/>
  <c r="K1142" i="1" s="1"/>
  <c r="K1143" i="1" a="1"/>
  <c r="K1143" i="1" s="1"/>
  <c r="K1144" i="1" a="1"/>
  <c r="K1144" i="1" s="1"/>
  <c r="K1145" i="1" a="1"/>
  <c r="K1145" i="1" s="1"/>
  <c r="K1146" i="1" a="1"/>
  <c r="K1146" i="1" s="1"/>
  <c r="K1147" i="1" a="1"/>
  <c r="K1147" i="1" s="1"/>
  <c r="K1148" i="1" a="1"/>
  <c r="K1148" i="1" s="1"/>
  <c r="K1149" i="1" a="1"/>
  <c r="K1149" i="1" s="1"/>
  <c r="K1150" i="1" a="1"/>
  <c r="K1150" i="1" s="1"/>
  <c r="K1151" i="1" a="1"/>
  <c r="K1151" i="1" s="1"/>
  <c r="K1152" i="1" a="1"/>
  <c r="K1152" i="1" s="1"/>
  <c r="K1153" i="1" a="1"/>
  <c r="K1153" i="1" s="1"/>
  <c r="K1154" i="1" a="1"/>
  <c r="K1154" i="1" s="1"/>
  <c r="K1155" i="1" a="1"/>
  <c r="K1155" i="1" s="1"/>
  <c r="K1156" i="1" a="1"/>
  <c r="K1156" i="1" s="1"/>
  <c r="K1157" i="1" a="1"/>
  <c r="K1157" i="1" s="1"/>
  <c r="K1158" i="1" a="1"/>
  <c r="K1158" i="1" s="1"/>
  <c r="K1159" i="1" a="1"/>
  <c r="K1159" i="1" s="1"/>
  <c r="K1160" i="1" a="1"/>
  <c r="K1160" i="1" s="1"/>
  <c r="K1161" i="1" a="1"/>
  <c r="K1161" i="1" s="1"/>
  <c r="K1162" i="1" a="1"/>
  <c r="K1162" i="1" s="1"/>
  <c r="K1163" i="1" a="1"/>
  <c r="K1163" i="1" s="1"/>
  <c r="K1164" i="1" a="1"/>
  <c r="K1164" i="1" s="1"/>
  <c r="K1165" i="1" a="1"/>
  <c r="K1165" i="1" s="1"/>
  <c r="K1166" i="1" a="1"/>
  <c r="K1166" i="1" s="1"/>
  <c r="K1167" i="1" a="1"/>
  <c r="K1167" i="1" s="1"/>
  <c r="K1168" i="1" a="1"/>
  <c r="K1168" i="1" s="1"/>
  <c r="K1169" i="1" a="1"/>
  <c r="K1169" i="1" s="1"/>
  <c r="K1170" i="1" a="1"/>
  <c r="K1170" i="1" s="1"/>
  <c r="K1171" i="1" a="1"/>
  <c r="K1171" i="1" s="1"/>
  <c r="K1172" i="1" a="1"/>
  <c r="K1172" i="1" s="1"/>
  <c r="K1173" i="1" a="1"/>
  <c r="K1173" i="1" s="1"/>
  <c r="K1174" i="1" a="1"/>
  <c r="K1174" i="1" s="1"/>
  <c r="K1175" i="1" a="1"/>
  <c r="K1175" i="1" s="1"/>
  <c r="K1176" i="1" a="1"/>
  <c r="K1176" i="1" s="1"/>
  <c r="K1177" i="1" a="1"/>
  <c r="K1177" i="1" s="1"/>
  <c r="K1178" i="1" a="1"/>
  <c r="K1178" i="1" s="1"/>
  <c r="K1179" i="1" a="1"/>
  <c r="K1179" i="1" s="1"/>
  <c r="K1180" i="1" a="1"/>
  <c r="K1180" i="1" s="1"/>
  <c r="K1181" i="1" a="1"/>
  <c r="K1181" i="1" s="1"/>
  <c r="K1182" i="1" a="1"/>
  <c r="K1182" i="1" s="1"/>
  <c r="K1183" i="1" a="1"/>
  <c r="K1183" i="1" s="1"/>
  <c r="K1184" i="1" a="1"/>
  <c r="K1184" i="1" s="1"/>
  <c r="K1185" i="1" a="1"/>
  <c r="K1185" i="1" s="1"/>
  <c r="K1186" i="1" a="1"/>
  <c r="K1186" i="1" s="1"/>
  <c r="K1187" i="1" a="1"/>
  <c r="K1187" i="1" s="1"/>
  <c r="K1188" i="1" a="1"/>
  <c r="K1188" i="1" s="1"/>
  <c r="K1189" i="1" a="1"/>
  <c r="K1189" i="1" s="1"/>
  <c r="K1190" i="1" a="1"/>
  <c r="K1190" i="1" s="1"/>
  <c r="K1191" i="1" a="1"/>
  <c r="K1191" i="1" s="1"/>
  <c r="K1192" i="1" a="1"/>
  <c r="K1192" i="1" s="1"/>
  <c r="K1193" i="1" a="1"/>
  <c r="K1193" i="1" s="1"/>
  <c r="K1194" i="1" a="1"/>
  <c r="K1194" i="1" s="1"/>
  <c r="K1195" i="1" a="1"/>
  <c r="K1195" i="1" s="1"/>
  <c r="K1196" i="1" a="1"/>
  <c r="K1196" i="1" s="1"/>
  <c r="K1197" i="1" a="1"/>
  <c r="K1197" i="1" s="1"/>
  <c r="K1198" i="1" a="1"/>
  <c r="K1198" i="1" s="1"/>
  <c r="K1199" i="1" a="1"/>
  <c r="K1199" i="1" s="1"/>
  <c r="K1200" i="1" a="1"/>
  <c r="K1200" i="1" s="1"/>
  <c r="K1201" i="1" a="1"/>
  <c r="K1201" i="1" s="1"/>
  <c r="K1202" i="1" a="1"/>
  <c r="K1202" i="1" s="1"/>
  <c r="K1203" i="1" a="1"/>
  <c r="K1203" i="1" s="1"/>
  <c r="K1204" i="1" a="1"/>
  <c r="K1204" i="1" s="1"/>
  <c r="K1205" i="1" a="1"/>
  <c r="K1205" i="1" s="1"/>
  <c r="K1206" i="1" a="1"/>
  <c r="K1206" i="1" s="1"/>
  <c r="K1207" i="1" a="1"/>
  <c r="K1207" i="1" s="1"/>
  <c r="K1208" i="1" a="1"/>
  <c r="K1208" i="1" s="1"/>
  <c r="K1209" i="1" a="1"/>
  <c r="K1209" i="1" s="1"/>
  <c r="K1210" i="1" a="1"/>
  <c r="K1210" i="1" s="1"/>
  <c r="K1211" i="1" a="1"/>
  <c r="K1211" i="1" s="1"/>
  <c r="K1212" i="1" a="1"/>
  <c r="K1212" i="1" s="1"/>
  <c r="K1213" i="1" a="1"/>
  <c r="K1213" i="1" s="1"/>
  <c r="K1214" i="1" a="1"/>
  <c r="K1214" i="1" s="1"/>
  <c r="K1215" i="1" a="1"/>
  <c r="K1215" i="1" s="1"/>
  <c r="K1216" i="1" a="1"/>
  <c r="K1216" i="1" s="1"/>
  <c r="K1217" i="1" a="1"/>
  <c r="K1217" i="1" s="1"/>
  <c r="K1218" i="1" a="1"/>
  <c r="K1218" i="1" s="1"/>
  <c r="K1219" i="1" a="1"/>
  <c r="K1219" i="1" s="1"/>
  <c r="K1220" i="1" a="1"/>
  <c r="K1220" i="1" s="1"/>
  <c r="K1221" i="1" a="1"/>
  <c r="K1221" i="1" s="1"/>
  <c r="K1222" i="1" a="1"/>
  <c r="K1222" i="1" s="1"/>
  <c r="K1223" i="1" a="1"/>
  <c r="K1223" i="1" s="1"/>
  <c r="K1224" i="1" a="1"/>
  <c r="K1224" i="1" s="1"/>
  <c r="K1225" i="1" a="1"/>
  <c r="K1225" i="1" s="1"/>
  <c r="K1226" i="1" a="1"/>
  <c r="K1226" i="1" s="1"/>
  <c r="K1227" i="1" a="1"/>
  <c r="K1227" i="1" s="1"/>
  <c r="K1228" i="1" a="1"/>
  <c r="K1228" i="1" s="1"/>
  <c r="K1229" i="1" a="1"/>
  <c r="K1229" i="1" s="1"/>
  <c r="K1230" i="1" a="1"/>
  <c r="K1230" i="1" s="1"/>
  <c r="K1231" i="1" a="1"/>
  <c r="K1231" i="1" s="1"/>
  <c r="K1232" i="1" a="1"/>
  <c r="K1232" i="1" s="1"/>
  <c r="K1233" i="1" a="1"/>
  <c r="K1233" i="1" s="1"/>
  <c r="K1234" i="1" a="1"/>
  <c r="K1234" i="1" s="1"/>
  <c r="K1235" i="1" a="1"/>
  <c r="K1235" i="1" s="1"/>
  <c r="K1236" i="1" a="1"/>
  <c r="K1236" i="1" s="1"/>
  <c r="K1237" i="1" a="1"/>
  <c r="K1237" i="1" s="1"/>
  <c r="K1238" i="1" a="1"/>
  <c r="K1238" i="1" s="1"/>
  <c r="K1239" i="1" a="1"/>
  <c r="K1239" i="1" s="1"/>
  <c r="K1240" i="1" a="1"/>
  <c r="K1240" i="1" s="1"/>
  <c r="K1241" i="1" a="1"/>
  <c r="K1241" i="1" s="1"/>
  <c r="K1242" i="1" a="1"/>
  <c r="K1242" i="1" s="1"/>
  <c r="K1243" i="1" a="1"/>
  <c r="K1243" i="1" s="1"/>
  <c r="K1244" i="1" a="1"/>
  <c r="K1244" i="1" s="1"/>
  <c r="K1245" i="1" a="1"/>
  <c r="K1245" i="1" s="1"/>
  <c r="K1246" i="1" a="1"/>
  <c r="K1246" i="1" s="1"/>
  <c r="K1247" i="1" a="1"/>
  <c r="K1247" i="1" s="1"/>
  <c r="K1248" i="1" a="1"/>
  <c r="K1248" i="1" s="1"/>
  <c r="K1249" i="1" a="1"/>
  <c r="K1249" i="1" s="1"/>
  <c r="K1250" i="1" a="1"/>
  <c r="K1250" i="1" s="1"/>
  <c r="K1251" i="1" a="1"/>
  <c r="K1251" i="1" s="1"/>
  <c r="K1252" i="1" a="1"/>
  <c r="K1252" i="1" s="1"/>
  <c r="K1253" i="1" a="1"/>
  <c r="K1253" i="1" s="1"/>
  <c r="K1254" i="1" a="1"/>
  <c r="K1254" i="1" s="1"/>
  <c r="K1255" i="1" a="1"/>
  <c r="K1255" i="1" s="1"/>
  <c r="K1256" i="1" a="1"/>
  <c r="K1256" i="1" s="1"/>
  <c r="K1257" i="1" a="1"/>
  <c r="K1257" i="1" s="1"/>
  <c r="K1258" i="1" a="1"/>
  <c r="K1258" i="1" s="1"/>
  <c r="K1259" i="1" a="1"/>
  <c r="K1259" i="1" s="1"/>
  <c r="K1260" i="1" a="1"/>
  <c r="K1260" i="1" s="1"/>
  <c r="K1261" i="1" a="1"/>
  <c r="K1261" i="1" s="1"/>
  <c r="K1262" i="1" a="1"/>
  <c r="K1262" i="1" s="1"/>
  <c r="K1263" i="1" a="1"/>
  <c r="K1263" i="1" s="1"/>
  <c r="K1264" i="1" a="1"/>
  <c r="K1264" i="1" s="1"/>
  <c r="K1265" i="1" a="1"/>
  <c r="K1265" i="1" s="1"/>
  <c r="K1266" i="1" a="1"/>
  <c r="K1266" i="1" s="1"/>
  <c r="K1267" i="1" a="1"/>
  <c r="K1267" i="1" s="1"/>
  <c r="K1268" i="1" a="1"/>
  <c r="K1268" i="1" s="1"/>
  <c r="K1269" i="1" a="1"/>
  <c r="K1269" i="1" s="1"/>
  <c r="K1270" i="1" a="1"/>
  <c r="K1270" i="1" s="1"/>
  <c r="K1271" i="1" a="1"/>
  <c r="K1271" i="1" s="1"/>
  <c r="K1272" i="1" a="1"/>
  <c r="K1272" i="1" s="1"/>
  <c r="K1273" i="1" a="1"/>
  <c r="K1273" i="1" s="1"/>
  <c r="K1274" i="1" a="1"/>
  <c r="K1274" i="1" s="1"/>
  <c r="K1275" i="1" a="1"/>
  <c r="K1275" i="1" s="1"/>
  <c r="K1276" i="1" a="1"/>
  <c r="K1276" i="1" s="1"/>
  <c r="K1277" i="1" a="1"/>
  <c r="K1277" i="1" s="1"/>
  <c r="K1278" i="1" a="1"/>
  <c r="K1278" i="1" s="1"/>
  <c r="K1279" i="1" a="1"/>
  <c r="K1279" i="1" s="1"/>
  <c r="K1280" i="1" a="1"/>
  <c r="K1280" i="1" s="1"/>
  <c r="K1281" i="1" a="1"/>
  <c r="K1281" i="1" s="1"/>
  <c r="K1282" i="1" a="1"/>
  <c r="K1282" i="1" s="1"/>
  <c r="K1283" i="1" a="1"/>
  <c r="K1283" i="1" s="1"/>
  <c r="K1284" i="1" a="1"/>
  <c r="K1284" i="1" s="1"/>
  <c r="K1285" i="1" a="1"/>
  <c r="K1285" i="1" s="1"/>
  <c r="K1286" i="1" a="1"/>
  <c r="K1286" i="1" s="1"/>
  <c r="K1287" i="1" a="1"/>
  <c r="K1287" i="1" s="1"/>
  <c r="K1288" i="1" a="1"/>
  <c r="K1288" i="1" s="1"/>
  <c r="K1289" i="1" a="1"/>
  <c r="K1289" i="1" s="1"/>
  <c r="K1290" i="1" a="1"/>
  <c r="K1290" i="1" s="1"/>
  <c r="K1291" i="1" a="1"/>
  <c r="K1291" i="1" s="1"/>
  <c r="K1292" i="1" a="1"/>
  <c r="K1292" i="1" s="1"/>
  <c r="K1293" i="1" a="1"/>
  <c r="K1293" i="1" s="1"/>
  <c r="K1294" i="1" a="1"/>
  <c r="K1294" i="1" s="1"/>
  <c r="K1295" i="1" a="1"/>
  <c r="K1295" i="1" s="1"/>
  <c r="K1296" i="1" a="1"/>
  <c r="K1296" i="1" s="1"/>
  <c r="J5" i="1"/>
  <c r="L5" i="1" s="1"/>
  <c r="J6" i="1"/>
  <c r="L6" i="1" s="1"/>
  <c r="Q6" i="1" s="1"/>
  <c r="S6" i="1" s="1"/>
  <c r="J7" i="1"/>
  <c r="L7" i="1" s="1"/>
  <c r="Q7" i="1" s="1"/>
  <c r="S7" i="1" s="1"/>
  <c r="J8" i="1"/>
  <c r="L8" i="1" s="1"/>
  <c r="J9" i="1"/>
  <c r="L9" i="1" s="1"/>
  <c r="J10" i="1"/>
  <c r="L10" i="1" s="1"/>
  <c r="J11" i="1"/>
  <c r="L11" i="1" s="1"/>
  <c r="Q11" i="1" s="1"/>
  <c r="S11" i="1" s="1"/>
  <c r="J12" i="1"/>
  <c r="L12" i="1" s="1"/>
  <c r="J13" i="1"/>
  <c r="L13" i="1" s="1"/>
  <c r="Q13" i="1" s="1"/>
  <c r="S13" i="1" s="1"/>
  <c r="J14" i="1"/>
  <c r="L14" i="1" s="1"/>
  <c r="J15" i="1"/>
  <c r="L15" i="1" s="1"/>
  <c r="Q15" i="1" s="1"/>
  <c r="S15" i="1" s="1"/>
  <c r="J16" i="1"/>
  <c r="L16" i="1" s="1"/>
  <c r="J17" i="1"/>
  <c r="L17" i="1" s="1"/>
  <c r="J18" i="1"/>
  <c r="L18" i="1" s="1"/>
  <c r="J19" i="1"/>
  <c r="L19" i="1" s="1"/>
  <c r="J20" i="1"/>
  <c r="L20" i="1" s="1"/>
  <c r="Q20" i="1" s="1"/>
  <c r="S20" i="1" s="1"/>
  <c r="J21" i="1"/>
  <c r="L21" i="1" s="1"/>
  <c r="J22" i="1"/>
  <c r="L22" i="1" s="1"/>
  <c r="Q22" i="1" s="1"/>
  <c r="S22" i="1" s="1"/>
  <c r="J23" i="1"/>
  <c r="L23" i="1" s="1"/>
  <c r="Q23" i="1" s="1"/>
  <c r="S23" i="1" s="1"/>
  <c r="J24" i="1"/>
  <c r="L24" i="1" s="1"/>
  <c r="Q24" i="1" s="1"/>
  <c r="S24" i="1" s="1"/>
  <c r="J25" i="1"/>
  <c r="L25" i="1" s="1"/>
  <c r="J26" i="1"/>
  <c r="L26" i="1" s="1"/>
  <c r="Q26" i="1" s="1"/>
  <c r="S26" i="1" s="1"/>
  <c r="J27" i="1"/>
  <c r="L27" i="1" s="1"/>
  <c r="J28" i="1"/>
  <c r="J29" i="1"/>
  <c r="L29" i="1" s="1"/>
  <c r="J30" i="1"/>
  <c r="L30" i="1" s="1"/>
  <c r="J31" i="1"/>
  <c r="L31" i="1" s="1"/>
  <c r="J32" i="1"/>
  <c r="L32" i="1" s="1"/>
  <c r="J33" i="1"/>
  <c r="L33" i="1" s="1"/>
  <c r="Q33" i="1" s="1"/>
  <c r="S33" i="1" s="1"/>
  <c r="J34" i="1"/>
  <c r="L34" i="1" s="1"/>
  <c r="Q34" i="1" s="1"/>
  <c r="S34" i="1" s="1"/>
  <c r="J35" i="1"/>
  <c r="L35" i="1" s="1"/>
  <c r="Q35" i="1" s="1"/>
  <c r="S35" i="1" s="1"/>
  <c r="J36" i="1"/>
  <c r="L36" i="1" s="1"/>
  <c r="J37" i="1"/>
  <c r="L37" i="1" s="1"/>
  <c r="J38" i="1"/>
  <c r="L38" i="1" s="1"/>
  <c r="Q38" i="1" s="1"/>
  <c r="S38" i="1" s="1"/>
  <c r="J39" i="1"/>
  <c r="L39" i="1" s="1"/>
  <c r="Q39" i="1" s="1"/>
  <c r="S39" i="1" s="1"/>
  <c r="J40" i="1"/>
  <c r="L40" i="1" s="1"/>
  <c r="Q40" i="1" s="1"/>
  <c r="S40" i="1" s="1"/>
  <c r="J41" i="1"/>
  <c r="L41" i="1" s="1"/>
  <c r="J42" i="1"/>
  <c r="L42" i="1" s="1"/>
  <c r="Q42" i="1" s="1"/>
  <c r="S42" i="1" s="1"/>
  <c r="J43" i="1"/>
  <c r="L43" i="1" s="1"/>
  <c r="J44" i="1"/>
  <c r="L44" i="1" s="1"/>
  <c r="J45" i="1"/>
  <c r="L45" i="1" s="1"/>
  <c r="J46" i="1"/>
  <c r="L46" i="1" s="1"/>
  <c r="J47" i="1"/>
  <c r="L47" i="1" s="1"/>
  <c r="Q47" i="1" s="1"/>
  <c r="S47" i="1" s="1"/>
  <c r="J48" i="1"/>
  <c r="L48" i="1" s="1"/>
  <c r="J49" i="1"/>
  <c r="L49" i="1" s="1"/>
  <c r="Q49" i="1" s="1"/>
  <c r="S49" i="1" s="1"/>
  <c r="J50" i="1"/>
  <c r="L50" i="1" s="1"/>
  <c r="J51" i="1"/>
  <c r="L51" i="1" s="1"/>
  <c r="Q51" i="1" s="1"/>
  <c r="S51" i="1" s="1"/>
  <c r="J52" i="1"/>
  <c r="L52" i="1" s="1"/>
  <c r="Q52" i="1" s="1"/>
  <c r="S52" i="1" s="1"/>
  <c r="J53" i="1"/>
  <c r="L53" i="1" s="1"/>
  <c r="J54" i="1"/>
  <c r="L54" i="1" s="1"/>
  <c r="J55" i="1"/>
  <c r="L55" i="1" s="1"/>
  <c r="Q55" i="1" s="1"/>
  <c r="S55" i="1" s="1"/>
  <c r="J56" i="1"/>
  <c r="L56" i="1" s="1"/>
  <c r="J57" i="1"/>
  <c r="L57" i="1" s="1"/>
  <c r="J58" i="1"/>
  <c r="L58" i="1" s="1"/>
  <c r="Q58" i="1" s="1"/>
  <c r="S58" i="1" s="1"/>
  <c r="J59" i="1"/>
  <c r="L59" i="1" s="1"/>
  <c r="J60" i="1"/>
  <c r="L60" i="1" s="1"/>
  <c r="Q60" i="1" s="1"/>
  <c r="S60" i="1" s="1"/>
  <c r="J61" i="1"/>
  <c r="L61" i="1" s="1"/>
  <c r="Q61" i="1" s="1"/>
  <c r="S61" i="1" s="1"/>
  <c r="J62" i="1"/>
  <c r="L62" i="1" s="1"/>
  <c r="J63" i="1"/>
  <c r="L63" i="1" s="1"/>
  <c r="J64" i="1"/>
  <c r="L64" i="1" s="1"/>
  <c r="J65" i="1"/>
  <c r="L65" i="1" s="1"/>
  <c r="J66" i="1"/>
  <c r="L66" i="1" s="1"/>
  <c r="Q66" i="1" s="1"/>
  <c r="S66" i="1" s="1"/>
  <c r="J67" i="1"/>
  <c r="L67" i="1" s="1"/>
  <c r="Q67" i="1" s="1"/>
  <c r="S67" i="1" s="1"/>
  <c r="J68" i="1"/>
  <c r="L68" i="1" s="1"/>
  <c r="Q68" i="1" s="1"/>
  <c r="S68" i="1" s="1"/>
  <c r="J69" i="1"/>
  <c r="L69" i="1" s="1"/>
  <c r="Q69" i="1" s="1"/>
  <c r="S69" i="1" s="1"/>
  <c r="J70" i="1"/>
  <c r="L70" i="1" s="1"/>
  <c r="Q70" i="1" s="1"/>
  <c r="S70" i="1" s="1"/>
  <c r="J71" i="1"/>
  <c r="L71" i="1" s="1"/>
  <c r="J72" i="1"/>
  <c r="L72" i="1" s="1"/>
  <c r="Q72" i="1" s="1"/>
  <c r="S72" i="1" s="1"/>
  <c r="J73" i="1"/>
  <c r="L73" i="1" s="1"/>
  <c r="J74" i="1"/>
  <c r="L74" i="1" s="1"/>
  <c r="J75" i="1"/>
  <c r="L75" i="1" s="1"/>
  <c r="J76" i="1"/>
  <c r="L76" i="1" s="1"/>
  <c r="Q76" i="1" s="1"/>
  <c r="S76" i="1" s="1"/>
  <c r="J77" i="1"/>
  <c r="L77" i="1" s="1"/>
  <c r="J78" i="1"/>
  <c r="L78" i="1" s="1"/>
  <c r="Q78" i="1" s="1"/>
  <c r="S78" i="1" s="1"/>
  <c r="J79" i="1"/>
  <c r="L79" i="1" s="1"/>
  <c r="J80" i="1"/>
  <c r="L80" i="1" s="1"/>
  <c r="J81" i="1"/>
  <c r="L81" i="1" s="1"/>
  <c r="Q81" i="1" s="1"/>
  <c r="S81" i="1" s="1"/>
  <c r="J82" i="1"/>
  <c r="L82" i="1" s="1"/>
  <c r="J83" i="1"/>
  <c r="L83" i="1" s="1"/>
  <c r="Q83" i="1" s="1"/>
  <c r="S83" i="1" s="1"/>
  <c r="J84" i="1"/>
  <c r="L84" i="1" s="1"/>
  <c r="Q84" i="1" s="1"/>
  <c r="S84" i="1" s="1"/>
  <c r="J85" i="1"/>
  <c r="L85" i="1" s="1"/>
  <c r="J86" i="1"/>
  <c r="L86" i="1" s="1"/>
  <c r="J87" i="1"/>
  <c r="L87" i="1" s="1"/>
  <c r="J88" i="1"/>
  <c r="J89" i="1"/>
  <c r="L89" i="1" s="1"/>
  <c r="J90" i="1"/>
  <c r="L90" i="1" s="1"/>
  <c r="Q90" i="1" s="1"/>
  <c r="S90" i="1" s="1"/>
  <c r="J91" i="1"/>
  <c r="L91" i="1" s="1"/>
  <c r="J92" i="1"/>
  <c r="L92" i="1" s="1"/>
  <c r="Q92" i="1" s="1"/>
  <c r="S92" i="1" s="1"/>
  <c r="J93" i="1"/>
  <c r="L93" i="1" s="1"/>
  <c r="J94" i="1"/>
  <c r="L94" i="1" s="1"/>
  <c r="Q94" i="1" s="1"/>
  <c r="S94" i="1" s="1"/>
  <c r="J95" i="1"/>
  <c r="L95" i="1" s="1"/>
  <c r="J96" i="1"/>
  <c r="L96" i="1" s="1"/>
  <c r="J97" i="1"/>
  <c r="L97" i="1" s="1"/>
  <c r="J98" i="1"/>
  <c r="L98" i="1" s="1"/>
  <c r="J99" i="1"/>
  <c r="L99" i="1" s="1"/>
  <c r="Q99" i="1" s="1"/>
  <c r="S99" i="1" s="1"/>
  <c r="J100" i="1"/>
  <c r="L100" i="1" s="1"/>
  <c r="Q100" i="1" s="1"/>
  <c r="S100" i="1" s="1"/>
  <c r="J101" i="1"/>
  <c r="L101" i="1" s="1"/>
  <c r="J102" i="1"/>
  <c r="L102" i="1" s="1"/>
  <c r="J103" i="1"/>
  <c r="L103" i="1" s="1"/>
  <c r="Q103" i="1" s="1"/>
  <c r="S103" i="1" s="1"/>
  <c r="J104" i="1"/>
  <c r="L104" i="1" s="1"/>
  <c r="J105" i="1"/>
  <c r="L105" i="1" s="1"/>
  <c r="J106" i="1"/>
  <c r="L106" i="1" s="1"/>
  <c r="Q106" i="1" s="1"/>
  <c r="S106" i="1" s="1"/>
  <c r="J107" i="1"/>
  <c r="L107" i="1" s="1"/>
  <c r="Q107" i="1" s="1"/>
  <c r="S107" i="1" s="1"/>
  <c r="J108" i="1"/>
  <c r="L108" i="1" s="1"/>
  <c r="J109" i="1"/>
  <c r="L109" i="1" s="1"/>
  <c r="J110" i="1"/>
  <c r="L110" i="1" s="1"/>
  <c r="J111" i="1"/>
  <c r="L111" i="1" s="1"/>
  <c r="Q111" i="1" s="1"/>
  <c r="S111" i="1" s="1"/>
  <c r="J112" i="1"/>
  <c r="J113" i="1"/>
  <c r="L113" i="1" s="1"/>
  <c r="Q113" i="1" s="1"/>
  <c r="S113" i="1" s="1"/>
  <c r="J114" i="1"/>
  <c r="L114" i="1" s="1"/>
  <c r="Q114" i="1" s="1"/>
  <c r="S114" i="1" s="1"/>
  <c r="J115" i="1"/>
  <c r="L115" i="1" s="1"/>
  <c r="Q115" i="1" s="1"/>
  <c r="S115" i="1" s="1"/>
  <c r="J116" i="1"/>
  <c r="L116" i="1" s="1"/>
  <c r="J117" i="1"/>
  <c r="L117" i="1" s="1"/>
  <c r="Q117" i="1" s="1"/>
  <c r="S117" i="1" s="1"/>
  <c r="J118" i="1"/>
  <c r="L118" i="1" s="1"/>
  <c r="J119" i="1"/>
  <c r="L119" i="1" s="1"/>
  <c r="Q119" i="1" s="1"/>
  <c r="S119" i="1" s="1"/>
  <c r="J120" i="1"/>
  <c r="L120" i="1" s="1"/>
  <c r="J121" i="1"/>
  <c r="L121" i="1" s="1"/>
  <c r="Q121" i="1" s="1"/>
  <c r="S121" i="1" s="1"/>
  <c r="J122" i="1"/>
  <c r="L122" i="1" s="1"/>
  <c r="J123" i="1"/>
  <c r="L123" i="1" s="1"/>
  <c r="Q123" i="1" s="1"/>
  <c r="S123" i="1" s="1"/>
  <c r="J124" i="1"/>
  <c r="J125" i="1"/>
  <c r="L125" i="1" s="1"/>
  <c r="Q125" i="1" s="1"/>
  <c r="S125" i="1" s="1"/>
  <c r="J126" i="1"/>
  <c r="L126" i="1" s="1"/>
  <c r="Q126" i="1" s="1"/>
  <c r="S126" i="1" s="1"/>
  <c r="J127" i="1"/>
  <c r="L127" i="1" s="1"/>
  <c r="J128" i="1"/>
  <c r="L128" i="1" s="1"/>
  <c r="Q128" i="1" s="1"/>
  <c r="S128" i="1" s="1"/>
  <c r="J129" i="1"/>
  <c r="L129" i="1" s="1"/>
  <c r="J130" i="1"/>
  <c r="L130" i="1" s="1"/>
  <c r="J131" i="1"/>
  <c r="L131" i="1" s="1"/>
  <c r="Q131" i="1" s="1"/>
  <c r="S131" i="1" s="1"/>
  <c r="J132" i="1"/>
  <c r="L132" i="1" s="1"/>
  <c r="Q132" i="1" s="1"/>
  <c r="S132" i="1" s="1"/>
  <c r="J133" i="1"/>
  <c r="L133" i="1" s="1"/>
  <c r="J134" i="1"/>
  <c r="L134" i="1" s="1"/>
  <c r="J135" i="1"/>
  <c r="L135" i="1" s="1"/>
  <c r="Q135" i="1" s="1"/>
  <c r="S135" i="1" s="1"/>
  <c r="J136" i="1"/>
  <c r="L136" i="1" s="1"/>
  <c r="Q136" i="1" s="1"/>
  <c r="S136" i="1" s="1"/>
  <c r="J137" i="1"/>
  <c r="L137" i="1" s="1"/>
  <c r="Q137" i="1" s="1"/>
  <c r="S137" i="1" s="1"/>
  <c r="J138" i="1"/>
  <c r="L138" i="1" s="1"/>
  <c r="J139" i="1"/>
  <c r="L139" i="1" s="1"/>
  <c r="Q139" i="1" s="1"/>
  <c r="S139" i="1" s="1"/>
  <c r="J140" i="1"/>
  <c r="L140" i="1" s="1"/>
  <c r="Q140" i="1" s="1"/>
  <c r="S140" i="1" s="1"/>
  <c r="J141" i="1"/>
  <c r="L141" i="1" s="1"/>
  <c r="J142" i="1"/>
  <c r="L142" i="1" s="1"/>
  <c r="Q142" i="1" s="1"/>
  <c r="S142" i="1" s="1"/>
  <c r="J143" i="1"/>
  <c r="L143" i="1" s="1"/>
  <c r="J144" i="1"/>
  <c r="L144" i="1" s="1"/>
  <c r="Q144" i="1" s="1"/>
  <c r="S144" i="1" s="1"/>
  <c r="J145" i="1"/>
  <c r="L145" i="1" s="1"/>
  <c r="J146" i="1"/>
  <c r="L146" i="1" s="1"/>
  <c r="Q146" i="1" s="1"/>
  <c r="S146" i="1" s="1"/>
  <c r="J147" i="1"/>
  <c r="L147" i="1" s="1"/>
  <c r="Q147" i="1" s="1"/>
  <c r="S147" i="1" s="1"/>
  <c r="J148" i="1"/>
  <c r="L148" i="1" s="1"/>
  <c r="J149" i="1"/>
  <c r="L149" i="1" s="1"/>
  <c r="Q149" i="1" s="1"/>
  <c r="S149" i="1" s="1"/>
  <c r="J150" i="1"/>
  <c r="L150" i="1" s="1"/>
  <c r="J151" i="1"/>
  <c r="L151" i="1" s="1"/>
  <c r="J152" i="1"/>
  <c r="L152" i="1" s="1"/>
  <c r="Q152" i="1" s="1"/>
  <c r="S152" i="1" s="1"/>
  <c r="J153" i="1"/>
  <c r="L153" i="1" s="1"/>
  <c r="J154" i="1"/>
  <c r="L154" i="1" s="1"/>
  <c r="Q154" i="1" s="1"/>
  <c r="S154" i="1" s="1"/>
  <c r="J155" i="1"/>
  <c r="L155" i="1" s="1"/>
  <c r="J156" i="1"/>
  <c r="L156" i="1" s="1"/>
  <c r="Q156" i="1" s="1"/>
  <c r="S156" i="1" s="1"/>
  <c r="J157" i="1"/>
  <c r="L157" i="1" s="1"/>
  <c r="J158" i="1"/>
  <c r="L158" i="1" s="1"/>
  <c r="J159" i="1"/>
  <c r="L159" i="1" s="1"/>
  <c r="Q159" i="1" s="1"/>
  <c r="S159" i="1" s="1"/>
  <c r="J160" i="1"/>
  <c r="L160" i="1" s="1"/>
  <c r="Q160" i="1" s="1"/>
  <c r="S160" i="1" s="1"/>
  <c r="J161" i="1"/>
  <c r="L161" i="1" s="1"/>
  <c r="Q161" i="1" s="1"/>
  <c r="S161" i="1" s="1"/>
  <c r="J162" i="1"/>
  <c r="L162" i="1" s="1"/>
  <c r="Q162" i="1" s="1"/>
  <c r="S162" i="1" s="1"/>
  <c r="J163" i="1"/>
  <c r="L163" i="1" s="1"/>
  <c r="Q163" i="1" s="1"/>
  <c r="S163" i="1" s="1"/>
  <c r="J164" i="1"/>
  <c r="L164" i="1" s="1"/>
  <c r="J165" i="1"/>
  <c r="L165" i="1" s="1"/>
  <c r="Q165" i="1" s="1"/>
  <c r="S165" i="1" s="1"/>
  <c r="J166" i="1"/>
  <c r="L166" i="1" s="1"/>
  <c r="J167" i="1"/>
  <c r="L167" i="1" s="1"/>
  <c r="Q167" i="1" s="1"/>
  <c r="S167" i="1" s="1"/>
  <c r="J168" i="1"/>
  <c r="L168" i="1" s="1"/>
  <c r="J169" i="1"/>
  <c r="L169" i="1" s="1"/>
  <c r="Q169" i="1" s="1"/>
  <c r="S169" i="1" s="1"/>
  <c r="J170" i="1"/>
  <c r="L170" i="1" s="1"/>
  <c r="J171" i="1"/>
  <c r="L171" i="1" s="1"/>
  <c r="Q171" i="1" s="1"/>
  <c r="S171" i="1" s="1"/>
  <c r="J172" i="1"/>
  <c r="J173" i="1"/>
  <c r="L173" i="1" s="1"/>
  <c r="Q173" i="1" s="1"/>
  <c r="S173" i="1" s="1"/>
  <c r="J174" i="1"/>
  <c r="L174" i="1" s="1"/>
  <c r="J175" i="1"/>
  <c r="L175" i="1" s="1"/>
  <c r="J176" i="1"/>
  <c r="L176" i="1" s="1"/>
  <c r="Q176" i="1" s="1"/>
  <c r="S176" i="1" s="1"/>
  <c r="J177" i="1"/>
  <c r="L177" i="1" s="1"/>
  <c r="Q177" i="1" s="1"/>
  <c r="S177" i="1" s="1"/>
  <c r="J178" i="1"/>
  <c r="L178" i="1" s="1"/>
  <c r="Q178" i="1" s="1"/>
  <c r="S178" i="1" s="1"/>
  <c r="J179" i="1"/>
  <c r="L179" i="1" s="1"/>
  <c r="Q179" i="1" s="1"/>
  <c r="S179" i="1" s="1"/>
  <c r="J180" i="1"/>
  <c r="L180" i="1" s="1"/>
  <c r="J181" i="1"/>
  <c r="L181" i="1" s="1"/>
  <c r="J182" i="1"/>
  <c r="L182" i="1" s="1"/>
  <c r="J183" i="1"/>
  <c r="L183" i="1" s="1"/>
  <c r="Q183" i="1" s="1"/>
  <c r="S183" i="1" s="1"/>
  <c r="J184" i="1"/>
  <c r="L184" i="1" s="1"/>
  <c r="Q184" i="1" s="1"/>
  <c r="S184" i="1" s="1"/>
  <c r="J185" i="1"/>
  <c r="L185" i="1" s="1"/>
  <c r="J186" i="1"/>
  <c r="L186" i="1" s="1"/>
  <c r="J187" i="1"/>
  <c r="L187" i="1" s="1"/>
  <c r="J188" i="1"/>
  <c r="L188" i="1" s="1"/>
  <c r="Q188" i="1" s="1"/>
  <c r="S188" i="1" s="1"/>
  <c r="J189" i="1"/>
  <c r="L189" i="1" s="1"/>
  <c r="Q189" i="1" s="1"/>
  <c r="S189" i="1" s="1"/>
  <c r="J190" i="1"/>
  <c r="L190" i="1" s="1"/>
  <c r="Q190" i="1" s="1"/>
  <c r="S190" i="1" s="1"/>
  <c r="J191" i="1"/>
  <c r="L191" i="1" s="1"/>
  <c r="J192" i="1"/>
  <c r="L192" i="1" s="1"/>
  <c r="J193" i="1"/>
  <c r="L193" i="1" s="1"/>
  <c r="Q193" i="1" s="1"/>
  <c r="S193" i="1" s="1"/>
  <c r="J194" i="1"/>
  <c r="L194" i="1" s="1"/>
  <c r="J195" i="1"/>
  <c r="L195" i="1" s="1"/>
  <c r="J196" i="1"/>
  <c r="J197" i="1"/>
  <c r="L197" i="1" s="1"/>
  <c r="J198" i="1"/>
  <c r="L198" i="1" s="1"/>
  <c r="Q198" i="1" s="1"/>
  <c r="S198" i="1" s="1"/>
  <c r="J199" i="1"/>
  <c r="L199" i="1" s="1"/>
  <c r="J200" i="1"/>
  <c r="L200" i="1" s="1"/>
  <c r="Q200" i="1" s="1"/>
  <c r="S200" i="1" s="1"/>
  <c r="J201" i="1"/>
  <c r="L201" i="1" s="1"/>
  <c r="J202" i="1"/>
  <c r="L202" i="1" s="1"/>
  <c r="J203" i="1"/>
  <c r="L203" i="1" s="1"/>
  <c r="Q203" i="1" s="1"/>
  <c r="S203" i="1" s="1"/>
  <c r="J204" i="1"/>
  <c r="L204" i="1" s="1"/>
  <c r="J205" i="1"/>
  <c r="L205" i="1" s="1"/>
  <c r="Q205" i="1" s="1"/>
  <c r="S205" i="1" s="1"/>
  <c r="J206" i="1"/>
  <c r="L206" i="1" s="1"/>
  <c r="J207" i="1"/>
  <c r="L207" i="1" s="1"/>
  <c r="Q207" i="1" s="1"/>
  <c r="S207" i="1" s="1"/>
  <c r="J208" i="1"/>
  <c r="L208" i="1" s="1"/>
  <c r="Q208" i="1" s="1"/>
  <c r="S208" i="1" s="1"/>
  <c r="J209" i="1"/>
  <c r="L209" i="1" s="1"/>
  <c r="J210" i="1"/>
  <c r="L210" i="1" s="1"/>
  <c r="Q210" i="1" s="1"/>
  <c r="S210" i="1" s="1"/>
  <c r="J211" i="1"/>
  <c r="L211" i="1" s="1"/>
  <c r="J212" i="1"/>
  <c r="L212" i="1" s="1"/>
  <c r="Q212" i="1" s="1"/>
  <c r="S212" i="1" s="1"/>
  <c r="J213" i="1"/>
  <c r="L213" i="1" s="1"/>
  <c r="Q213" i="1" s="1"/>
  <c r="S213" i="1" s="1"/>
  <c r="J214" i="1"/>
  <c r="L214" i="1" s="1"/>
  <c r="Q214" i="1" s="1"/>
  <c r="S214" i="1" s="1"/>
  <c r="J215" i="1"/>
  <c r="L215" i="1" s="1"/>
  <c r="J216" i="1"/>
  <c r="L216" i="1" s="1"/>
  <c r="J217" i="1"/>
  <c r="L217" i="1" s="1"/>
  <c r="Q217" i="1" s="1"/>
  <c r="S217" i="1" s="1"/>
  <c r="J218" i="1"/>
  <c r="L218" i="1" s="1"/>
  <c r="J219" i="1"/>
  <c r="L219" i="1" s="1"/>
  <c r="Q219" i="1" s="1"/>
  <c r="S219" i="1" s="1"/>
  <c r="J220" i="1"/>
  <c r="L220" i="1" s="1"/>
  <c r="J221" i="1"/>
  <c r="L221" i="1" s="1"/>
  <c r="J222" i="1"/>
  <c r="L222" i="1" s="1"/>
  <c r="J223" i="1"/>
  <c r="L223" i="1" s="1"/>
  <c r="J224" i="1"/>
  <c r="L224" i="1" s="1"/>
  <c r="J225" i="1"/>
  <c r="L225" i="1" s="1"/>
  <c r="J226" i="1"/>
  <c r="L226" i="1" s="1"/>
  <c r="Q226" i="1" s="1"/>
  <c r="S226" i="1" s="1"/>
  <c r="J227" i="1"/>
  <c r="L227" i="1" s="1"/>
  <c r="J228" i="1"/>
  <c r="L228" i="1" s="1"/>
  <c r="Q228" i="1" s="1"/>
  <c r="S228" i="1" s="1"/>
  <c r="J229" i="1"/>
  <c r="L229" i="1" s="1"/>
  <c r="Q229" i="1" s="1"/>
  <c r="S229" i="1" s="1"/>
  <c r="J230" i="1"/>
  <c r="L230" i="1" s="1"/>
  <c r="Q230" i="1" s="1"/>
  <c r="S230" i="1" s="1"/>
  <c r="J231" i="1"/>
  <c r="L231" i="1" s="1"/>
  <c r="J232" i="1"/>
  <c r="L232" i="1" s="1"/>
  <c r="J233" i="1"/>
  <c r="L233" i="1" s="1"/>
  <c r="Q233" i="1" s="1"/>
  <c r="S233" i="1" s="1"/>
  <c r="J234" i="1"/>
  <c r="L234" i="1" s="1"/>
  <c r="J235" i="1"/>
  <c r="L235" i="1" s="1"/>
  <c r="Q235" i="1" s="1"/>
  <c r="S235" i="1" s="1"/>
  <c r="J236" i="1"/>
  <c r="L236" i="1" s="1"/>
  <c r="Q236" i="1" s="1"/>
  <c r="S236" i="1" s="1"/>
  <c r="J237" i="1"/>
  <c r="L237" i="1" s="1"/>
  <c r="J238" i="1"/>
  <c r="L238" i="1" s="1"/>
  <c r="J239" i="1"/>
  <c r="L239" i="1" s="1"/>
  <c r="J240" i="1"/>
  <c r="L240" i="1" s="1"/>
  <c r="J241" i="1"/>
  <c r="L241" i="1" s="1"/>
  <c r="Q241" i="1" s="1"/>
  <c r="S241" i="1" s="1"/>
  <c r="J242" i="1"/>
  <c r="L242" i="1" s="1"/>
  <c r="Q242" i="1" s="1"/>
  <c r="S242" i="1" s="1"/>
  <c r="J243" i="1"/>
  <c r="L243" i="1" s="1"/>
  <c r="Q243" i="1" s="1"/>
  <c r="S243" i="1" s="1"/>
  <c r="J244" i="1"/>
  <c r="L244" i="1" s="1"/>
  <c r="Q244" i="1" s="1"/>
  <c r="S244" i="1" s="1"/>
  <c r="J245" i="1"/>
  <c r="L245" i="1" s="1"/>
  <c r="Q245" i="1" s="1"/>
  <c r="S245" i="1" s="1"/>
  <c r="J246" i="1"/>
  <c r="L246" i="1" s="1"/>
  <c r="Q246" i="1" s="1"/>
  <c r="S246" i="1" s="1"/>
  <c r="J247" i="1"/>
  <c r="L247" i="1" s="1"/>
  <c r="J248" i="1"/>
  <c r="L248" i="1" s="1"/>
  <c r="J249" i="1"/>
  <c r="L249" i="1" s="1"/>
  <c r="Q249" i="1" s="1"/>
  <c r="S249" i="1" s="1"/>
  <c r="J250" i="1"/>
  <c r="L250" i="1" s="1"/>
  <c r="Q250" i="1" s="1"/>
  <c r="S250" i="1" s="1"/>
  <c r="J251" i="1"/>
  <c r="L251" i="1" s="1"/>
  <c r="Q251" i="1" s="1"/>
  <c r="S251" i="1" s="1"/>
  <c r="J252" i="1"/>
  <c r="L252" i="1" s="1"/>
  <c r="J253" i="1"/>
  <c r="L253" i="1" s="1"/>
  <c r="J254" i="1"/>
  <c r="L254" i="1" s="1"/>
  <c r="J255" i="1"/>
  <c r="L255" i="1" s="1"/>
  <c r="J256" i="1"/>
  <c r="L256" i="1" s="1"/>
  <c r="J257" i="1"/>
  <c r="L257" i="1" s="1"/>
  <c r="Q257" i="1" s="1"/>
  <c r="S257" i="1" s="1"/>
  <c r="J258" i="1"/>
  <c r="L258" i="1" s="1"/>
  <c r="Q258" i="1" s="1"/>
  <c r="S258" i="1" s="1"/>
  <c r="J259" i="1"/>
  <c r="L259" i="1" s="1"/>
  <c r="J260" i="1"/>
  <c r="L260" i="1" s="1"/>
  <c r="J261" i="1"/>
  <c r="L261" i="1" s="1"/>
  <c r="Q261" i="1" s="1"/>
  <c r="S261" i="1" s="1"/>
  <c r="J262" i="1"/>
  <c r="L262" i="1" s="1"/>
  <c r="J263" i="1"/>
  <c r="L263" i="1" s="1"/>
  <c r="J264" i="1"/>
  <c r="L264" i="1" s="1"/>
  <c r="Q264" i="1" s="1"/>
  <c r="S264" i="1" s="1"/>
  <c r="J265" i="1"/>
  <c r="L265" i="1" s="1"/>
  <c r="Q265" i="1" s="1"/>
  <c r="S265" i="1" s="1"/>
  <c r="J266" i="1"/>
  <c r="L266" i="1" s="1"/>
  <c r="J267" i="1"/>
  <c r="L267" i="1" s="1"/>
  <c r="J268" i="1"/>
  <c r="L268" i="1" s="1"/>
  <c r="Q268" i="1" s="1"/>
  <c r="S268" i="1" s="1"/>
  <c r="J269" i="1"/>
  <c r="L269" i="1" s="1"/>
  <c r="Q269" i="1" s="1"/>
  <c r="S269" i="1" s="1"/>
  <c r="J270" i="1"/>
  <c r="L270" i="1" s="1"/>
  <c r="J271" i="1"/>
  <c r="L271" i="1" s="1"/>
  <c r="Q271" i="1" s="1"/>
  <c r="S271" i="1" s="1"/>
  <c r="J272" i="1"/>
  <c r="L272" i="1" s="1"/>
  <c r="Q272" i="1" s="1"/>
  <c r="S272" i="1" s="1"/>
  <c r="J273" i="1"/>
  <c r="L273" i="1" s="1"/>
  <c r="J274" i="1"/>
  <c r="L274" i="1" s="1"/>
  <c r="J275" i="1"/>
  <c r="L275" i="1" s="1"/>
  <c r="J276" i="1"/>
  <c r="L276" i="1" s="1"/>
  <c r="Q276" i="1" s="1"/>
  <c r="S276" i="1" s="1"/>
  <c r="J277" i="1"/>
  <c r="L277" i="1" s="1"/>
  <c r="Q277" i="1" s="1"/>
  <c r="S277" i="1" s="1"/>
  <c r="J278" i="1"/>
  <c r="L278" i="1" s="1"/>
  <c r="J279" i="1"/>
  <c r="L279" i="1" s="1"/>
  <c r="J280" i="1"/>
  <c r="J281" i="1"/>
  <c r="L281" i="1" s="1"/>
  <c r="Q281" i="1" s="1"/>
  <c r="S281" i="1" s="1"/>
  <c r="J282" i="1"/>
  <c r="L282" i="1" s="1"/>
  <c r="J283" i="1"/>
  <c r="L283" i="1" s="1"/>
  <c r="Q283" i="1" s="1"/>
  <c r="S283" i="1" s="1"/>
  <c r="J284" i="1"/>
  <c r="L284" i="1" s="1"/>
  <c r="Q284" i="1" s="1"/>
  <c r="S284" i="1" s="1"/>
  <c r="J285" i="1"/>
  <c r="L285" i="1" s="1"/>
  <c r="J286" i="1"/>
  <c r="L286" i="1" s="1"/>
  <c r="J287" i="1"/>
  <c r="L287" i="1" s="1"/>
  <c r="Q287" i="1" s="1"/>
  <c r="S287" i="1" s="1"/>
  <c r="J288" i="1"/>
  <c r="L288" i="1" s="1"/>
  <c r="Q288" i="1" s="1"/>
  <c r="S288" i="1" s="1"/>
  <c r="J289" i="1"/>
  <c r="L289" i="1" s="1"/>
  <c r="Q289" i="1" s="1"/>
  <c r="S289" i="1" s="1"/>
  <c r="J290" i="1"/>
  <c r="L290" i="1" s="1"/>
  <c r="J291" i="1"/>
  <c r="L291" i="1" s="1"/>
  <c r="Q291" i="1" s="1"/>
  <c r="S291" i="1" s="1"/>
  <c r="J292" i="1"/>
  <c r="L292" i="1" s="1"/>
  <c r="Q292" i="1" s="1"/>
  <c r="S292" i="1" s="1"/>
  <c r="J293" i="1"/>
  <c r="L293" i="1" s="1"/>
  <c r="Q293" i="1" s="1"/>
  <c r="S293" i="1" s="1"/>
  <c r="J294" i="1"/>
  <c r="L294" i="1" s="1"/>
  <c r="Q294" i="1" s="1"/>
  <c r="S294" i="1" s="1"/>
  <c r="J295" i="1"/>
  <c r="L295" i="1" s="1"/>
  <c r="J296" i="1"/>
  <c r="L296" i="1" s="1"/>
  <c r="Q296" i="1" s="1"/>
  <c r="S296" i="1" s="1"/>
  <c r="J297" i="1"/>
  <c r="L297" i="1" s="1"/>
  <c r="J298" i="1"/>
  <c r="L298" i="1" s="1"/>
  <c r="Q298" i="1" s="1"/>
  <c r="S298" i="1" s="1"/>
  <c r="J299" i="1"/>
  <c r="L299" i="1" s="1"/>
  <c r="Q299" i="1" s="1"/>
  <c r="S299" i="1" s="1"/>
  <c r="J300" i="1"/>
  <c r="L300" i="1" s="1"/>
  <c r="J301" i="1"/>
  <c r="L301" i="1" s="1"/>
  <c r="Q301" i="1" s="1"/>
  <c r="S301" i="1" s="1"/>
  <c r="J302" i="1"/>
  <c r="L302" i="1" s="1"/>
  <c r="J303" i="1"/>
  <c r="L303" i="1" s="1"/>
  <c r="Q303" i="1" s="1"/>
  <c r="S303" i="1" s="1"/>
  <c r="J304" i="1"/>
  <c r="L304" i="1" s="1"/>
  <c r="Q304" i="1" s="1"/>
  <c r="S304" i="1" s="1"/>
  <c r="J305" i="1"/>
  <c r="L305" i="1" s="1"/>
  <c r="Q305" i="1" s="1"/>
  <c r="S305" i="1" s="1"/>
  <c r="J306" i="1"/>
  <c r="L306" i="1" s="1"/>
  <c r="J307" i="1"/>
  <c r="L307" i="1" s="1"/>
  <c r="Q307" i="1" s="1"/>
  <c r="S307" i="1" s="1"/>
  <c r="J308" i="1"/>
  <c r="L308" i="1" s="1"/>
  <c r="J309" i="1"/>
  <c r="L309" i="1" s="1"/>
  <c r="Q309" i="1" s="1"/>
  <c r="S309" i="1" s="1"/>
  <c r="J310" i="1"/>
  <c r="L310" i="1" s="1"/>
  <c r="J311" i="1"/>
  <c r="L311" i="1" s="1"/>
  <c r="Q311" i="1" s="1"/>
  <c r="S311" i="1" s="1"/>
  <c r="J312" i="1"/>
  <c r="L312" i="1" s="1"/>
  <c r="Q312" i="1" s="1"/>
  <c r="S312" i="1" s="1"/>
  <c r="J313" i="1"/>
  <c r="L313" i="1" s="1"/>
  <c r="J314" i="1"/>
  <c r="L314" i="1" s="1"/>
  <c r="J315" i="1"/>
  <c r="L315" i="1" s="1"/>
  <c r="Q315" i="1" s="1"/>
  <c r="S315" i="1" s="1"/>
  <c r="J316" i="1"/>
  <c r="J317" i="1"/>
  <c r="L317" i="1" s="1"/>
  <c r="Q317" i="1" s="1"/>
  <c r="S317" i="1" s="1"/>
  <c r="J318" i="1"/>
  <c r="L318" i="1" s="1"/>
  <c r="Q318" i="1" s="1"/>
  <c r="S318" i="1" s="1"/>
  <c r="J319" i="1"/>
  <c r="L319" i="1" s="1"/>
  <c r="Q319" i="1" s="1"/>
  <c r="S319" i="1" s="1"/>
  <c r="J320" i="1"/>
  <c r="L320" i="1" s="1"/>
  <c r="J321" i="1"/>
  <c r="L321" i="1" s="1"/>
  <c r="Q321" i="1" s="1"/>
  <c r="S321" i="1" s="1"/>
  <c r="J322" i="1"/>
  <c r="L322" i="1" s="1"/>
  <c r="Q322" i="1" s="1"/>
  <c r="S322" i="1" s="1"/>
  <c r="J323" i="1"/>
  <c r="L323" i="1" s="1"/>
  <c r="Q323" i="1" s="1"/>
  <c r="S323" i="1" s="1"/>
  <c r="J324" i="1"/>
  <c r="L324" i="1" s="1"/>
  <c r="Q324" i="1" s="1"/>
  <c r="S324" i="1" s="1"/>
  <c r="J325" i="1"/>
  <c r="L325" i="1" s="1"/>
  <c r="J326" i="1"/>
  <c r="L326" i="1" s="1"/>
  <c r="J327" i="1"/>
  <c r="L327" i="1" s="1"/>
  <c r="J328" i="1"/>
  <c r="L328" i="1" s="1"/>
  <c r="Q328" i="1" s="1"/>
  <c r="S328" i="1" s="1"/>
  <c r="J329" i="1"/>
  <c r="L329" i="1" s="1"/>
  <c r="J330" i="1"/>
  <c r="L330" i="1" s="1"/>
  <c r="Q330" i="1" s="1"/>
  <c r="S330" i="1" s="1"/>
  <c r="J331" i="1"/>
  <c r="L331" i="1" s="1"/>
  <c r="Q331" i="1" s="1"/>
  <c r="S331" i="1" s="1"/>
  <c r="J332" i="1"/>
  <c r="L332" i="1" s="1"/>
  <c r="J333" i="1"/>
  <c r="L333" i="1" s="1"/>
  <c r="Q333" i="1" s="1"/>
  <c r="S333" i="1" s="1"/>
  <c r="J334" i="1"/>
  <c r="L334" i="1" s="1"/>
  <c r="Q334" i="1" s="1"/>
  <c r="S334" i="1" s="1"/>
  <c r="J335" i="1"/>
  <c r="L335" i="1" s="1"/>
  <c r="Q335" i="1" s="1"/>
  <c r="S335" i="1" s="1"/>
  <c r="J336" i="1"/>
  <c r="L336" i="1" s="1"/>
  <c r="Q336" i="1" s="1"/>
  <c r="S336" i="1" s="1"/>
  <c r="J337" i="1"/>
  <c r="L337" i="1" s="1"/>
  <c r="Q337" i="1" s="1"/>
  <c r="S337" i="1" s="1"/>
  <c r="J338" i="1"/>
  <c r="L338" i="1" s="1"/>
  <c r="J339" i="1"/>
  <c r="L339" i="1" s="1"/>
  <c r="Q339" i="1" s="1"/>
  <c r="S339" i="1" s="1"/>
  <c r="J340" i="1"/>
  <c r="L340" i="1" s="1"/>
  <c r="Q340" i="1" s="1"/>
  <c r="S340" i="1" s="1"/>
  <c r="J341" i="1"/>
  <c r="L341" i="1" s="1"/>
  <c r="Q341" i="1" s="1"/>
  <c r="S341" i="1" s="1"/>
  <c r="J342" i="1"/>
  <c r="L342" i="1" s="1"/>
  <c r="J343" i="1"/>
  <c r="L343" i="1" s="1"/>
  <c r="J344" i="1"/>
  <c r="L344" i="1" s="1"/>
  <c r="Q344" i="1" s="1"/>
  <c r="S344" i="1" s="1"/>
  <c r="J345" i="1"/>
  <c r="L345" i="1" s="1"/>
  <c r="J346" i="1"/>
  <c r="L346" i="1" s="1"/>
  <c r="J347" i="1"/>
  <c r="L347" i="1" s="1"/>
  <c r="Q347" i="1" s="1"/>
  <c r="S347" i="1" s="1"/>
  <c r="J348" i="1"/>
  <c r="L348" i="1" s="1"/>
  <c r="J349" i="1"/>
  <c r="L349" i="1" s="1"/>
  <c r="Q349" i="1" s="1"/>
  <c r="S349" i="1" s="1"/>
  <c r="J350" i="1"/>
  <c r="L350" i="1" s="1"/>
  <c r="J351" i="1"/>
  <c r="L351" i="1" s="1"/>
  <c r="Q351" i="1" s="1"/>
  <c r="S351" i="1" s="1"/>
  <c r="J352" i="1"/>
  <c r="L352" i="1" s="1"/>
  <c r="Q352" i="1" s="1"/>
  <c r="S352" i="1" s="1"/>
  <c r="J353" i="1"/>
  <c r="L353" i="1" s="1"/>
  <c r="J354" i="1"/>
  <c r="L354" i="1" s="1"/>
  <c r="Q354" i="1" s="1"/>
  <c r="S354" i="1" s="1"/>
  <c r="J355" i="1"/>
  <c r="L355" i="1" s="1"/>
  <c r="J356" i="1"/>
  <c r="L356" i="1" s="1"/>
  <c r="Q356" i="1" s="1"/>
  <c r="S356" i="1" s="1"/>
  <c r="J357" i="1"/>
  <c r="L357" i="1" s="1"/>
  <c r="J358" i="1"/>
  <c r="L358" i="1" s="1"/>
  <c r="Q358" i="1" s="1"/>
  <c r="S358" i="1" s="1"/>
  <c r="J359" i="1"/>
  <c r="L359" i="1" s="1"/>
  <c r="Q359" i="1" s="1"/>
  <c r="S359" i="1" s="1"/>
  <c r="J360" i="1"/>
  <c r="L360" i="1" s="1"/>
  <c r="Q360" i="1" s="1"/>
  <c r="S360" i="1" s="1"/>
  <c r="J361" i="1"/>
  <c r="L361" i="1" s="1"/>
  <c r="Q361" i="1" s="1"/>
  <c r="S361" i="1" s="1"/>
  <c r="J362" i="1"/>
  <c r="L362" i="1" s="1"/>
  <c r="Q362" i="1" s="1"/>
  <c r="S362" i="1" s="1"/>
  <c r="J363" i="1"/>
  <c r="L363" i="1" s="1"/>
  <c r="Q363" i="1" s="1"/>
  <c r="S363" i="1" s="1"/>
  <c r="J364" i="1"/>
  <c r="L364" i="1" s="1"/>
  <c r="J365" i="1"/>
  <c r="L365" i="1" s="1"/>
  <c r="Q365" i="1" s="1"/>
  <c r="S365" i="1" s="1"/>
  <c r="J366" i="1"/>
  <c r="L366" i="1" s="1"/>
  <c r="J367" i="1"/>
  <c r="L367" i="1" s="1"/>
  <c r="J368" i="1"/>
  <c r="L368" i="1" s="1"/>
  <c r="Q368" i="1" s="1"/>
  <c r="S368" i="1" s="1"/>
  <c r="J369" i="1"/>
  <c r="L369" i="1" s="1"/>
  <c r="Q369" i="1" s="1"/>
  <c r="S369" i="1" s="1"/>
  <c r="J370" i="1"/>
  <c r="L370" i="1" s="1"/>
  <c r="J371" i="1"/>
  <c r="L371" i="1" s="1"/>
  <c r="Q371" i="1" s="1"/>
  <c r="S371" i="1" s="1"/>
  <c r="J372" i="1"/>
  <c r="L372" i="1" s="1"/>
  <c r="Q372" i="1" s="1"/>
  <c r="S372" i="1" s="1"/>
  <c r="J373" i="1"/>
  <c r="L373" i="1" s="1"/>
  <c r="J374" i="1"/>
  <c r="L374" i="1" s="1"/>
  <c r="Q374" i="1" s="1"/>
  <c r="S374" i="1" s="1"/>
  <c r="J375" i="1"/>
  <c r="L375" i="1" s="1"/>
  <c r="J376" i="1"/>
  <c r="L376" i="1" s="1"/>
  <c r="J377" i="1"/>
  <c r="L377" i="1" s="1"/>
  <c r="J378" i="1"/>
  <c r="L378" i="1" s="1"/>
  <c r="Q378" i="1" s="1"/>
  <c r="S378" i="1" s="1"/>
  <c r="J379" i="1"/>
  <c r="L379" i="1" s="1"/>
  <c r="J380" i="1"/>
  <c r="L380" i="1" s="1"/>
  <c r="J381" i="1"/>
  <c r="L381" i="1" s="1"/>
  <c r="Q381" i="1" s="1"/>
  <c r="S381" i="1" s="1"/>
  <c r="J382" i="1"/>
  <c r="L382" i="1" s="1"/>
  <c r="Q382" i="1" s="1"/>
  <c r="S382" i="1" s="1"/>
  <c r="J383" i="1"/>
  <c r="L383" i="1" s="1"/>
  <c r="J384" i="1"/>
  <c r="L384" i="1" s="1"/>
  <c r="Q384" i="1" s="1"/>
  <c r="S384" i="1" s="1"/>
  <c r="J385" i="1"/>
  <c r="L385" i="1" s="1"/>
  <c r="J386" i="1"/>
  <c r="L386" i="1" s="1"/>
  <c r="Q386" i="1" s="1"/>
  <c r="S386" i="1" s="1"/>
  <c r="J387" i="1"/>
  <c r="L387" i="1" s="1"/>
  <c r="Q387" i="1" s="1"/>
  <c r="S387" i="1" s="1"/>
  <c r="J388" i="1"/>
  <c r="L388" i="1" s="1"/>
  <c r="J389" i="1"/>
  <c r="L389" i="1" s="1"/>
  <c r="Q389" i="1" s="1"/>
  <c r="S389" i="1" s="1"/>
  <c r="J390" i="1"/>
  <c r="L390" i="1" s="1"/>
  <c r="Q390" i="1" s="1"/>
  <c r="S390" i="1" s="1"/>
  <c r="J391" i="1"/>
  <c r="L391" i="1" s="1"/>
  <c r="J392" i="1"/>
  <c r="L392" i="1" s="1"/>
  <c r="Q392" i="1" s="1"/>
  <c r="S392" i="1" s="1"/>
  <c r="J393" i="1"/>
  <c r="L393" i="1" s="1"/>
  <c r="J394" i="1"/>
  <c r="L394" i="1" s="1"/>
  <c r="J395" i="1"/>
  <c r="L395" i="1" s="1"/>
  <c r="J396" i="1"/>
  <c r="L396" i="1" s="1"/>
  <c r="Q396" i="1" s="1"/>
  <c r="S396" i="1" s="1"/>
  <c r="J397" i="1"/>
  <c r="L397" i="1" s="1"/>
  <c r="Q397" i="1" s="1"/>
  <c r="S397" i="1" s="1"/>
  <c r="J398" i="1"/>
  <c r="L398" i="1" s="1"/>
  <c r="Q398" i="1" s="1"/>
  <c r="S398" i="1" s="1"/>
  <c r="J399" i="1"/>
  <c r="L399" i="1" s="1"/>
  <c r="Q399" i="1" s="1"/>
  <c r="S399" i="1" s="1"/>
  <c r="J400" i="1"/>
  <c r="J401" i="1"/>
  <c r="L401" i="1" s="1"/>
  <c r="Q401" i="1" s="1"/>
  <c r="S401" i="1" s="1"/>
  <c r="J402" i="1"/>
  <c r="L402" i="1" s="1"/>
  <c r="Q402" i="1" s="1"/>
  <c r="S402" i="1" s="1"/>
  <c r="J403" i="1"/>
  <c r="L403" i="1" s="1"/>
  <c r="Q403" i="1" s="1"/>
  <c r="S403" i="1" s="1"/>
  <c r="J404" i="1"/>
  <c r="L404" i="1" s="1"/>
  <c r="J405" i="1"/>
  <c r="L405" i="1" s="1"/>
  <c r="Q405" i="1" s="1"/>
  <c r="S405" i="1" s="1"/>
  <c r="J406" i="1"/>
  <c r="L406" i="1" s="1"/>
  <c r="J407" i="1"/>
  <c r="L407" i="1" s="1"/>
  <c r="J408" i="1"/>
  <c r="L408" i="1" s="1"/>
  <c r="J409" i="1"/>
  <c r="L409" i="1" s="1"/>
  <c r="J410" i="1"/>
  <c r="L410" i="1" s="1"/>
  <c r="J411" i="1"/>
  <c r="L411" i="1" s="1"/>
  <c r="Q411" i="1" s="1"/>
  <c r="S411" i="1" s="1"/>
  <c r="J412" i="1"/>
  <c r="L412" i="1" s="1"/>
  <c r="Q412" i="1" s="1"/>
  <c r="S412" i="1" s="1"/>
  <c r="J413" i="1"/>
  <c r="L413" i="1" s="1"/>
  <c r="J414" i="1"/>
  <c r="L414" i="1" s="1"/>
  <c r="J415" i="1"/>
  <c r="L415" i="1" s="1"/>
  <c r="Q415" i="1" s="1"/>
  <c r="S415" i="1" s="1"/>
  <c r="J416" i="1"/>
  <c r="L416" i="1" s="1"/>
  <c r="J417" i="1"/>
  <c r="L417" i="1" s="1"/>
  <c r="J418" i="1"/>
  <c r="L418" i="1" s="1"/>
  <c r="J419" i="1"/>
  <c r="L419" i="1" s="1"/>
  <c r="J420" i="1"/>
  <c r="L420" i="1" s="1"/>
  <c r="Q420" i="1" s="1"/>
  <c r="S420" i="1" s="1"/>
  <c r="J421" i="1"/>
  <c r="L421" i="1" s="1"/>
  <c r="J422" i="1"/>
  <c r="L422" i="1" s="1"/>
  <c r="Q422" i="1" s="1"/>
  <c r="S422" i="1" s="1"/>
  <c r="J423" i="1"/>
  <c r="L423" i="1" s="1"/>
  <c r="Q423" i="1" s="1"/>
  <c r="S423" i="1" s="1"/>
  <c r="J424" i="1"/>
  <c r="L424" i="1" s="1"/>
  <c r="J425" i="1"/>
  <c r="L425" i="1" s="1"/>
  <c r="J426" i="1"/>
  <c r="L426" i="1" s="1"/>
  <c r="J427" i="1"/>
  <c r="L427" i="1" s="1"/>
  <c r="Q427" i="1" s="1"/>
  <c r="S427" i="1" s="1"/>
  <c r="J428" i="1"/>
  <c r="L428" i="1" s="1"/>
  <c r="J429" i="1"/>
  <c r="L429" i="1" s="1"/>
  <c r="Q429" i="1" s="1"/>
  <c r="S429" i="1" s="1"/>
  <c r="J430" i="1"/>
  <c r="L430" i="1" s="1"/>
  <c r="J431" i="1"/>
  <c r="L431" i="1" s="1"/>
  <c r="Q431" i="1" s="1"/>
  <c r="S431" i="1" s="1"/>
  <c r="J432" i="1"/>
  <c r="L432" i="1" s="1"/>
  <c r="J433" i="1"/>
  <c r="L433" i="1" s="1"/>
  <c r="J434" i="1"/>
  <c r="L434" i="1" s="1"/>
  <c r="Q434" i="1" s="1"/>
  <c r="S434" i="1" s="1"/>
  <c r="J435" i="1"/>
  <c r="L435" i="1" s="1"/>
  <c r="Q435" i="1" s="1"/>
  <c r="S435" i="1" s="1"/>
  <c r="J436" i="1"/>
  <c r="L436" i="1" s="1"/>
  <c r="J437" i="1"/>
  <c r="L437" i="1" s="1"/>
  <c r="Q437" i="1" s="1"/>
  <c r="S437" i="1" s="1"/>
  <c r="J438" i="1"/>
  <c r="L438" i="1" s="1"/>
  <c r="J439" i="1"/>
  <c r="L439" i="1" s="1"/>
  <c r="J440" i="1"/>
  <c r="L440" i="1" s="1"/>
  <c r="Q440" i="1" s="1"/>
  <c r="S440" i="1" s="1"/>
  <c r="J441" i="1"/>
  <c r="L441" i="1" s="1"/>
  <c r="Q441" i="1" s="1"/>
  <c r="S441" i="1" s="1"/>
  <c r="J442" i="1"/>
  <c r="L442" i="1" s="1"/>
  <c r="Q442" i="1" s="1"/>
  <c r="S442" i="1" s="1"/>
  <c r="J443" i="1"/>
  <c r="L443" i="1" s="1"/>
  <c r="Q443" i="1" s="1"/>
  <c r="S443" i="1" s="1"/>
  <c r="J444" i="1"/>
  <c r="L444" i="1" s="1"/>
  <c r="Q444" i="1" s="1"/>
  <c r="S444" i="1" s="1"/>
  <c r="J445" i="1"/>
  <c r="L445" i="1" s="1"/>
  <c r="Q445" i="1" s="1"/>
  <c r="S445" i="1" s="1"/>
  <c r="J446" i="1"/>
  <c r="L446" i="1" s="1"/>
  <c r="Q446" i="1" s="1"/>
  <c r="S446" i="1" s="1"/>
  <c r="J447" i="1"/>
  <c r="L447" i="1" s="1"/>
  <c r="Q447" i="1" s="1"/>
  <c r="S447" i="1" s="1"/>
  <c r="J448" i="1"/>
  <c r="L448" i="1" s="1"/>
  <c r="Q448" i="1" s="1"/>
  <c r="S448" i="1" s="1"/>
  <c r="J449" i="1"/>
  <c r="L449" i="1" s="1"/>
  <c r="Q449" i="1" s="1"/>
  <c r="S449" i="1" s="1"/>
  <c r="J450" i="1"/>
  <c r="L450" i="1" s="1"/>
  <c r="Q450" i="1" s="1"/>
  <c r="S450" i="1" s="1"/>
  <c r="J451" i="1"/>
  <c r="L451" i="1" s="1"/>
  <c r="Q451" i="1" s="1"/>
  <c r="S451" i="1" s="1"/>
  <c r="J452" i="1"/>
  <c r="L452" i="1" s="1"/>
  <c r="J453" i="1"/>
  <c r="L453" i="1" s="1"/>
  <c r="Q453" i="1" s="1"/>
  <c r="S453" i="1" s="1"/>
  <c r="J454" i="1"/>
  <c r="L454" i="1" s="1"/>
  <c r="Q454" i="1" s="1"/>
  <c r="S454" i="1" s="1"/>
  <c r="J455" i="1"/>
  <c r="L455" i="1" s="1"/>
  <c r="Q455" i="1" s="1"/>
  <c r="S455" i="1" s="1"/>
  <c r="J456" i="1"/>
  <c r="L456" i="1" s="1"/>
  <c r="Q456" i="1" s="1"/>
  <c r="S456" i="1" s="1"/>
  <c r="J457" i="1"/>
  <c r="L457" i="1" s="1"/>
  <c r="Q457" i="1" s="1"/>
  <c r="S457" i="1" s="1"/>
  <c r="J458" i="1"/>
  <c r="L458" i="1" s="1"/>
  <c r="J459" i="1"/>
  <c r="L459" i="1" s="1"/>
  <c r="Q459" i="1" s="1"/>
  <c r="S459" i="1" s="1"/>
  <c r="J460" i="1"/>
  <c r="L460" i="1" s="1"/>
  <c r="Q460" i="1" s="1"/>
  <c r="S460" i="1" s="1"/>
  <c r="J461" i="1"/>
  <c r="L461" i="1" s="1"/>
  <c r="Q461" i="1" s="1"/>
  <c r="S461" i="1" s="1"/>
  <c r="J462" i="1"/>
  <c r="L462" i="1" s="1"/>
  <c r="Q462" i="1" s="1"/>
  <c r="S462" i="1" s="1"/>
  <c r="J463" i="1"/>
  <c r="L463" i="1" s="1"/>
  <c r="J464" i="1"/>
  <c r="L464" i="1" s="1"/>
  <c r="J465" i="1"/>
  <c r="L465" i="1" s="1"/>
  <c r="J466" i="1"/>
  <c r="L466" i="1" s="1"/>
  <c r="Q466" i="1" s="1"/>
  <c r="S466" i="1" s="1"/>
  <c r="J467" i="1"/>
  <c r="L467" i="1" s="1"/>
  <c r="Q467" i="1" s="1"/>
  <c r="S467" i="1" s="1"/>
  <c r="J468" i="1"/>
  <c r="L468" i="1" s="1"/>
  <c r="J469" i="1"/>
  <c r="L469" i="1" s="1"/>
  <c r="J470" i="1"/>
  <c r="L470" i="1" s="1"/>
  <c r="Q470" i="1" s="1"/>
  <c r="S470" i="1" s="1"/>
  <c r="J471" i="1"/>
  <c r="L471" i="1" s="1"/>
  <c r="Q471" i="1" s="1"/>
  <c r="S471" i="1" s="1"/>
  <c r="J472" i="1"/>
  <c r="L472" i="1" s="1"/>
  <c r="J473" i="1"/>
  <c r="L473" i="1" s="1"/>
  <c r="Q473" i="1" s="1"/>
  <c r="S473" i="1" s="1"/>
  <c r="J474" i="1"/>
  <c r="L474" i="1" s="1"/>
  <c r="J475" i="1"/>
  <c r="L475" i="1" s="1"/>
  <c r="Q475" i="1" s="1"/>
  <c r="S475" i="1" s="1"/>
  <c r="J476" i="1"/>
  <c r="L476" i="1" s="1"/>
  <c r="J477" i="1"/>
  <c r="L477" i="1" s="1"/>
  <c r="Q477" i="1" s="1"/>
  <c r="S477" i="1" s="1"/>
  <c r="J478" i="1"/>
  <c r="L478" i="1" s="1"/>
  <c r="Q478" i="1" s="1"/>
  <c r="S478" i="1" s="1"/>
  <c r="J479" i="1"/>
  <c r="L479" i="1" s="1"/>
  <c r="J480" i="1"/>
  <c r="L480" i="1" s="1"/>
  <c r="J481" i="1"/>
  <c r="L481" i="1" s="1"/>
  <c r="J482" i="1"/>
  <c r="L482" i="1" s="1"/>
  <c r="Q482" i="1" s="1"/>
  <c r="S482" i="1" s="1"/>
  <c r="J483" i="1"/>
  <c r="L483" i="1" s="1"/>
  <c r="Q483" i="1" s="1"/>
  <c r="S483" i="1" s="1"/>
  <c r="J484" i="1"/>
  <c r="L484" i="1" s="1"/>
  <c r="J485" i="1"/>
  <c r="L485" i="1" s="1"/>
  <c r="Q485" i="1" s="1"/>
  <c r="S485" i="1" s="1"/>
  <c r="J486" i="1"/>
  <c r="L486" i="1" s="1"/>
  <c r="J487" i="1"/>
  <c r="L487" i="1" s="1"/>
  <c r="Q487" i="1" s="1"/>
  <c r="S487" i="1" s="1"/>
  <c r="J488" i="1"/>
  <c r="L488" i="1" s="1"/>
  <c r="Q488" i="1" s="1"/>
  <c r="S488" i="1" s="1"/>
  <c r="J489" i="1"/>
  <c r="L489" i="1" s="1"/>
  <c r="J490" i="1"/>
  <c r="L490" i="1" s="1"/>
  <c r="J491" i="1"/>
  <c r="L491" i="1" s="1"/>
  <c r="J492" i="1"/>
  <c r="L492" i="1" s="1"/>
  <c r="Q492" i="1" s="1"/>
  <c r="S492" i="1" s="1"/>
  <c r="J493" i="1"/>
  <c r="L493" i="1" s="1"/>
  <c r="J494" i="1"/>
  <c r="L494" i="1" s="1"/>
  <c r="J495" i="1"/>
  <c r="L495" i="1" s="1"/>
  <c r="Q495" i="1" s="1"/>
  <c r="S495" i="1" s="1"/>
  <c r="J496" i="1"/>
  <c r="L496" i="1" s="1"/>
  <c r="Q496" i="1" s="1"/>
  <c r="S496" i="1" s="1"/>
  <c r="J497" i="1"/>
  <c r="L497" i="1" s="1"/>
  <c r="J498" i="1"/>
  <c r="L498" i="1" s="1"/>
  <c r="Q498" i="1" s="1"/>
  <c r="S498" i="1" s="1"/>
  <c r="J499" i="1"/>
  <c r="L499" i="1" s="1"/>
  <c r="J500" i="1"/>
  <c r="L500" i="1" s="1"/>
  <c r="Q500" i="1" s="1"/>
  <c r="S500" i="1" s="1"/>
  <c r="J501" i="1"/>
  <c r="L501" i="1" s="1"/>
  <c r="J502" i="1"/>
  <c r="L502" i="1" s="1"/>
  <c r="J503" i="1"/>
  <c r="L503" i="1" s="1"/>
  <c r="Q503" i="1" s="1"/>
  <c r="S503" i="1" s="1"/>
  <c r="J504" i="1"/>
  <c r="L504" i="1" s="1"/>
  <c r="Q504" i="1" s="1"/>
  <c r="S504" i="1" s="1"/>
  <c r="J505" i="1"/>
  <c r="L505" i="1" s="1"/>
  <c r="Q505" i="1" s="1"/>
  <c r="S505" i="1" s="1"/>
  <c r="J506" i="1"/>
  <c r="L506" i="1" s="1"/>
  <c r="J507" i="1"/>
  <c r="L507" i="1" s="1"/>
  <c r="Q507" i="1" s="1"/>
  <c r="S507" i="1" s="1"/>
  <c r="J508" i="1"/>
  <c r="L508" i="1" s="1"/>
  <c r="Q508" i="1" s="1"/>
  <c r="S508" i="1" s="1"/>
  <c r="J509" i="1"/>
  <c r="L509" i="1" s="1"/>
  <c r="J510" i="1"/>
  <c r="L510" i="1" s="1"/>
  <c r="J511" i="1"/>
  <c r="L511" i="1" s="1"/>
  <c r="J512" i="1"/>
  <c r="L512" i="1" s="1"/>
  <c r="Q512" i="1" s="1"/>
  <c r="S512" i="1" s="1"/>
  <c r="J513" i="1"/>
  <c r="L513" i="1" s="1"/>
  <c r="Q513" i="1" s="1"/>
  <c r="S513" i="1" s="1"/>
  <c r="J514" i="1"/>
  <c r="L514" i="1" s="1"/>
  <c r="Q514" i="1" s="1"/>
  <c r="S514" i="1" s="1"/>
  <c r="J515" i="1"/>
  <c r="L515" i="1" s="1"/>
  <c r="J516" i="1"/>
  <c r="L516" i="1" s="1"/>
  <c r="Q516" i="1" s="1"/>
  <c r="S516" i="1" s="1"/>
  <c r="J517" i="1"/>
  <c r="L517" i="1" s="1"/>
  <c r="J518" i="1"/>
  <c r="L518" i="1" s="1"/>
  <c r="Q518" i="1" s="1"/>
  <c r="S518" i="1" s="1"/>
  <c r="J519" i="1"/>
  <c r="L519" i="1" s="1"/>
  <c r="J520" i="1"/>
  <c r="L520" i="1" s="1"/>
  <c r="Q520" i="1" s="1"/>
  <c r="S520" i="1" s="1"/>
  <c r="J521" i="1"/>
  <c r="L521" i="1" s="1"/>
  <c r="Q521" i="1" s="1"/>
  <c r="S521" i="1" s="1"/>
  <c r="J522" i="1"/>
  <c r="L522" i="1" s="1"/>
  <c r="J523" i="1"/>
  <c r="L523" i="1" s="1"/>
  <c r="Q523" i="1" s="1"/>
  <c r="S523" i="1" s="1"/>
  <c r="J524" i="1"/>
  <c r="L524" i="1" s="1"/>
  <c r="Q524" i="1" s="1"/>
  <c r="S524" i="1" s="1"/>
  <c r="J525" i="1"/>
  <c r="L525" i="1" s="1"/>
  <c r="Q525" i="1" s="1"/>
  <c r="S525" i="1" s="1"/>
  <c r="J526" i="1"/>
  <c r="L526" i="1" s="1"/>
  <c r="J527" i="1"/>
  <c r="L527" i="1" s="1"/>
  <c r="J528" i="1"/>
  <c r="L528" i="1" s="1"/>
  <c r="Q528" i="1" s="1"/>
  <c r="S528" i="1" s="1"/>
  <c r="J529" i="1"/>
  <c r="L529" i="1" s="1"/>
  <c r="J530" i="1"/>
  <c r="L530" i="1" s="1"/>
  <c r="Q530" i="1" s="1"/>
  <c r="S530" i="1" s="1"/>
  <c r="J531" i="1"/>
  <c r="L531" i="1" s="1"/>
  <c r="Q531" i="1" s="1"/>
  <c r="S531" i="1" s="1"/>
  <c r="J532" i="1"/>
  <c r="J533" i="1"/>
  <c r="L533" i="1" s="1"/>
  <c r="Q533" i="1" s="1"/>
  <c r="S533" i="1" s="1"/>
  <c r="J534" i="1"/>
  <c r="L534" i="1" s="1"/>
  <c r="J535" i="1"/>
  <c r="L535" i="1" s="1"/>
  <c r="Q535" i="1" s="1"/>
  <c r="S535" i="1" s="1"/>
  <c r="J536" i="1"/>
  <c r="L536" i="1" s="1"/>
  <c r="Q536" i="1" s="1"/>
  <c r="S536" i="1" s="1"/>
  <c r="J537" i="1"/>
  <c r="L537" i="1" s="1"/>
  <c r="Q537" i="1" s="1"/>
  <c r="S537" i="1" s="1"/>
  <c r="J538" i="1"/>
  <c r="L538" i="1" s="1"/>
  <c r="J539" i="1"/>
  <c r="L539" i="1" s="1"/>
  <c r="Q539" i="1" s="1"/>
  <c r="S539" i="1" s="1"/>
  <c r="J540" i="1"/>
  <c r="L540" i="1" s="1"/>
  <c r="J541" i="1"/>
  <c r="L541" i="1" s="1"/>
  <c r="Q541" i="1" s="1"/>
  <c r="S541" i="1" s="1"/>
  <c r="J542" i="1"/>
  <c r="L542" i="1" s="1"/>
  <c r="J543" i="1"/>
  <c r="L543" i="1" s="1"/>
  <c r="J544" i="1"/>
  <c r="L544" i="1" s="1"/>
  <c r="Q544" i="1" s="1"/>
  <c r="S544" i="1" s="1"/>
  <c r="J545" i="1"/>
  <c r="L545" i="1" s="1"/>
  <c r="Q545" i="1" s="1"/>
  <c r="S545" i="1" s="1"/>
  <c r="J546" i="1"/>
  <c r="L546" i="1" s="1"/>
  <c r="Q546" i="1" s="1"/>
  <c r="S546" i="1" s="1"/>
  <c r="J547" i="1"/>
  <c r="L547" i="1" s="1"/>
  <c r="J548" i="1"/>
  <c r="L548" i="1" s="1"/>
  <c r="Q548" i="1" s="1"/>
  <c r="S548" i="1" s="1"/>
  <c r="J549" i="1"/>
  <c r="L549" i="1" s="1"/>
  <c r="Q549" i="1" s="1"/>
  <c r="S549" i="1" s="1"/>
  <c r="J550" i="1"/>
  <c r="L550" i="1" s="1"/>
  <c r="J551" i="1"/>
  <c r="L551" i="1" s="1"/>
  <c r="Q551" i="1" s="1"/>
  <c r="S551" i="1" s="1"/>
  <c r="J552" i="1"/>
  <c r="L552" i="1" s="1"/>
  <c r="J553" i="1"/>
  <c r="L553" i="1" s="1"/>
  <c r="Q553" i="1" s="1"/>
  <c r="S553" i="1" s="1"/>
  <c r="J554" i="1"/>
  <c r="L554" i="1" s="1"/>
  <c r="J555" i="1"/>
  <c r="L555" i="1" s="1"/>
  <c r="Q555" i="1" s="1"/>
  <c r="S555" i="1" s="1"/>
  <c r="J556" i="1"/>
  <c r="L556" i="1" s="1"/>
  <c r="Q556" i="1" s="1"/>
  <c r="S556" i="1" s="1"/>
  <c r="J557" i="1"/>
  <c r="L557" i="1" s="1"/>
  <c r="J558" i="1"/>
  <c r="L558" i="1" s="1"/>
  <c r="J559" i="1"/>
  <c r="L559" i="1" s="1"/>
  <c r="J560" i="1"/>
  <c r="L560" i="1" s="1"/>
  <c r="J561" i="1"/>
  <c r="L561" i="1" s="1"/>
  <c r="Q561" i="1" s="1"/>
  <c r="S561" i="1" s="1"/>
  <c r="J562" i="1"/>
  <c r="L562" i="1" s="1"/>
  <c r="J563" i="1"/>
  <c r="L563" i="1" s="1"/>
  <c r="J564" i="1"/>
  <c r="L564" i="1" s="1"/>
  <c r="Q564" i="1" s="1"/>
  <c r="S564" i="1" s="1"/>
  <c r="J565" i="1"/>
  <c r="L565" i="1" s="1"/>
  <c r="J566" i="1"/>
  <c r="L566" i="1" s="1"/>
  <c r="Q566" i="1" s="1"/>
  <c r="S566" i="1" s="1"/>
  <c r="J567" i="1"/>
  <c r="L567" i="1" s="1"/>
  <c r="J568" i="1"/>
  <c r="L568" i="1" s="1"/>
  <c r="Q568" i="1" s="1"/>
  <c r="S568" i="1" s="1"/>
  <c r="J569" i="1"/>
  <c r="L569" i="1" s="1"/>
  <c r="Q569" i="1" s="1"/>
  <c r="S569" i="1" s="1"/>
  <c r="J570" i="1"/>
  <c r="L570" i="1" s="1"/>
  <c r="J571" i="1"/>
  <c r="L571" i="1" s="1"/>
  <c r="Q571" i="1" s="1"/>
  <c r="S571" i="1" s="1"/>
  <c r="J572" i="1"/>
  <c r="L572" i="1" s="1"/>
  <c r="Q572" i="1" s="1"/>
  <c r="S572" i="1" s="1"/>
  <c r="J573" i="1"/>
  <c r="L573" i="1" s="1"/>
  <c r="J574" i="1"/>
  <c r="L574" i="1" s="1"/>
  <c r="J575" i="1"/>
  <c r="L575" i="1" s="1"/>
  <c r="J576" i="1"/>
  <c r="L576" i="1" s="1"/>
  <c r="Q576" i="1" s="1"/>
  <c r="S576" i="1" s="1"/>
  <c r="J577" i="1"/>
  <c r="L577" i="1" s="1"/>
  <c r="Q577" i="1" s="1"/>
  <c r="S577" i="1" s="1"/>
  <c r="J578" i="1"/>
  <c r="L578" i="1" s="1"/>
  <c r="Q578" i="1" s="1"/>
  <c r="S578" i="1" s="1"/>
  <c r="J579" i="1"/>
  <c r="L579" i="1" s="1"/>
  <c r="J580" i="1"/>
  <c r="L580" i="1" s="1"/>
  <c r="Q580" i="1" s="1"/>
  <c r="S580" i="1" s="1"/>
  <c r="J581" i="1"/>
  <c r="L581" i="1" s="1"/>
  <c r="J582" i="1"/>
  <c r="L582" i="1" s="1"/>
  <c r="Q582" i="1" s="1"/>
  <c r="S582" i="1" s="1"/>
  <c r="J583" i="1"/>
  <c r="L583" i="1" s="1"/>
  <c r="Q583" i="1" s="1"/>
  <c r="S583" i="1" s="1"/>
  <c r="J584" i="1"/>
  <c r="L584" i="1" s="1"/>
  <c r="Q584" i="1" s="1"/>
  <c r="S584" i="1" s="1"/>
  <c r="J585" i="1"/>
  <c r="L585" i="1" s="1"/>
  <c r="Q585" i="1" s="1"/>
  <c r="S585" i="1" s="1"/>
  <c r="J586" i="1"/>
  <c r="L586" i="1" s="1"/>
  <c r="Q586" i="1" s="1"/>
  <c r="S586" i="1" s="1"/>
  <c r="J587" i="1"/>
  <c r="L587" i="1" s="1"/>
  <c r="Q587" i="1" s="1"/>
  <c r="S587" i="1" s="1"/>
  <c r="J588" i="1"/>
  <c r="L588" i="1" s="1"/>
  <c r="J589" i="1"/>
  <c r="L589" i="1" s="1"/>
  <c r="Q589" i="1" s="1"/>
  <c r="S589" i="1" s="1"/>
  <c r="J590" i="1"/>
  <c r="L590" i="1" s="1"/>
  <c r="J591" i="1"/>
  <c r="L591" i="1" s="1"/>
  <c r="Q591" i="1" s="1"/>
  <c r="S591" i="1" s="1"/>
  <c r="J592" i="1"/>
  <c r="L592" i="1" s="1"/>
  <c r="Q592" i="1" s="1"/>
  <c r="S592" i="1" s="1"/>
  <c r="J593" i="1"/>
  <c r="L593" i="1" s="1"/>
  <c r="J594" i="1"/>
  <c r="L594" i="1" s="1"/>
  <c r="Q594" i="1" s="1"/>
  <c r="S594" i="1" s="1"/>
  <c r="J595" i="1"/>
  <c r="L595" i="1" s="1"/>
  <c r="J596" i="1"/>
  <c r="L596" i="1" s="1"/>
  <c r="J597" i="1"/>
  <c r="L597" i="1" s="1"/>
  <c r="Q597" i="1" s="1"/>
  <c r="S597" i="1" s="1"/>
  <c r="J598" i="1"/>
  <c r="L598" i="1" s="1"/>
  <c r="J599" i="1"/>
  <c r="L599" i="1" s="1"/>
  <c r="J600" i="1"/>
  <c r="L600" i="1" s="1"/>
  <c r="J601" i="1"/>
  <c r="L601" i="1" s="1"/>
  <c r="J602" i="1"/>
  <c r="L602" i="1" s="1"/>
  <c r="J603" i="1"/>
  <c r="L603" i="1" s="1"/>
  <c r="Q603" i="1" s="1"/>
  <c r="S603" i="1" s="1"/>
  <c r="J604" i="1"/>
  <c r="L604" i="1" s="1"/>
  <c r="Q604" i="1" s="1"/>
  <c r="S604" i="1" s="1"/>
  <c r="J605" i="1"/>
  <c r="L605" i="1" s="1"/>
  <c r="J606" i="1"/>
  <c r="L606" i="1" s="1"/>
  <c r="J607" i="1"/>
  <c r="L607" i="1" s="1"/>
  <c r="Q607" i="1" s="1"/>
  <c r="S607" i="1" s="1"/>
  <c r="J608" i="1"/>
  <c r="L608" i="1" s="1"/>
  <c r="Q608" i="1" s="1"/>
  <c r="S608" i="1" s="1"/>
  <c r="J609" i="1"/>
  <c r="L609" i="1" s="1"/>
  <c r="Q609" i="1" s="1"/>
  <c r="S609" i="1" s="1"/>
  <c r="J610" i="1"/>
  <c r="L610" i="1" s="1"/>
  <c r="J611" i="1"/>
  <c r="L611" i="1" s="1"/>
  <c r="J612" i="1"/>
  <c r="L612" i="1" s="1"/>
  <c r="J613" i="1"/>
  <c r="L613" i="1" s="1"/>
  <c r="Q613" i="1" s="1"/>
  <c r="S613" i="1" s="1"/>
  <c r="J614" i="1"/>
  <c r="L614" i="1" s="1"/>
  <c r="J615" i="1"/>
  <c r="L615" i="1" s="1"/>
  <c r="J616" i="1"/>
  <c r="L616" i="1" s="1"/>
  <c r="J617" i="1"/>
  <c r="L617" i="1" s="1"/>
  <c r="J618" i="1"/>
  <c r="L618" i="1" s="1"/>
  <c r="Q618" i="1" s="1"/>
  <c r="S618" i="1" s="1"/>
  <c r="J619" i="1"/>
  <c r="L619" i="1" s="1"/>
  <c r="Q619" i="1" s="1"/>
  <c r="S619" i="1" s="1"/>
  <c r="J620" i="1"/>
  <c r="L620" i="1" s="1"/>
  <c r="J621" i="1"/>
  <c r="L621" i="1" s="1"/>
  <c r="Q621" i="1" s="1"/>
  <c r="S621" i="1" s="1"/>
  <c r="J622" i="1"/>
  <c r="L622" i="1" s="1"/>
  <c r="J623" i="1"/>
  <c r="L623" i="1" s="1"/>
  <c r="J624" i="1"/>
  <c r="L624" i="1" s="1"/>
  <c r="J625" i="1"/>
  <c r="L625" i="1" s="1"/>
  <c r="Q625" i="1" s="1"/>
  <c r="S625" i="1" s="1"/>
  <c r="J626" i="1"/>
  <c r="L626" i="1" s="1"/>
  <c r="J627" i="1"/>
  <c r="L627" i="1" s="1"/>
  <c r="Q627" i="1" s="1"/>
  <c r="S627" i="1" s="1"/>
  <c r="J628" i="1"/>
  <c r="L628" i="1" s="1"/>
  <c r="Q628" i="1" s="1"/>
  <c r="S628" i="1" s="1"/>
  <c r="J629" i="1"/>
  <c r="L629" i="1" s="1"/>
  <c r="Q629" i="1" s="1"/>
  <c r="S629" i="1" s="1"/>
  <c r="J630" i="1"/>
  <c r="L630" i="1" s="1"/>
  <c r="Q630" i="1" s="1"/>
  <c r="S630" i="1" s="1"/>
  <c r="J631" i="1"/>
  <c r="L631" i="1" s="1"/>
  <c r="Q631" i="1" s="1"/>
  <c r="S631" i="1" s="1"/>
  <c r="J632" i="1"/>
  <c r="L632" i="1" s="1"/>
  <c r="Q632" i="1" s="1"/>
  <c r="S632" i="1" s="1"/>
  <c r="J633" i="1"/>
  <c r="L633" i="1" s="1"/>
  <c r="Q633" i="1" s="1"/>
  <c r="S633" i="1" s="1"/>
  <c r="J634" i="1"/>
  <c r="L634" i="1" s="1"/>
  <c r="J635" i="1"/>
  <c r="L635" i="1" s="1"/>
  <c r="Q635" i="1" s="1"/>
  <c r="S635" i="1" s="1"/>
  <c r="J636" i="1"/>
  <c r="L636" i="1" s="1"/>
  <c r="J637" i="1"/>
  <c r="L637" i="1" s="1"/>
  <c r="J638" i="1"/>
  <c r="L638" i="1" s="1"/>
  <c r="Q638" i="1" s="1"/>
  <c r="S638" i="1" s="1"/>
  <c r="J639" i="1"/>
  <c r="L639" i="1" s="1"/>
  <c r="J640" i="1"/>
  <c r="L640" i="1" s="1"/>
  <c r="Q640" i="1" s="1"/>
  <c r="S640" i="1" s="1"/>
  <c r="J641" i="1"/>
  <c r="L641" i="1" s="1"/>
  <c r="Q641" i="1" s="1"/>
  <c r="S641" i="1" s="1"/>
  <c r="J642" i="1"/>
  <c r="L642" i="1" s="1"/>
  <c r="Q642" i="1" s="1"/>
  <c r="S642" i="1" s="1"/>
  <c r="J643" i="1"/>
  <c r="L643" i="1" s="1"/>
  <c r="J644" i="1"/>
  <c r="L644" i="1" s="1"/>
  <c r="Q644" i="1" s="1"/>
  <c r="S644" i="1" s="1"/>
  <c r="J645" i="1"/>
  <c r="L645" i="1" s="1"/>
  <c r="J646" i="1"/>
  <c r="L646" i="1" s="1"/>
  <c r="Q646" i="1" s="1"/>
  <c r="S646" i="1" s="1"/>
  <c r="J647" i="1"/>
  <c r="L647" i="1" s="1"/>
  <c r="Q647" i="1" s="1"/>
  <c r="S647" i="1" s="1"/>
  <c r="J648" i="1"/>
  <c r="L648" i="1" s="1"/>
  <c r="Q648" i="1" s="1"/>
  <c r="S648" i="1" s="1"/>
  <c r="J649" i="1"/>
  <c r="L649" i="1" s="1"/>
  <c r="J650" i="1"/>
  <c r="L650" i="1" s="1"/>
  <c r="Q650" i="1" s="1"/>
  <c r="S650" i="1" s="1"/>
  <c r="J651" i="1"/>
  <c r="L651" i="1" s="1"/>
  <c r="Q651" i="1" s="1"/>
  <c r="S651" i="1" s="1"/>
  <c r="J652" i="1"/>
  <c r="L652" i="1" s="1"/>
  <c r="J653" i="1"/>
  <c r="L653" i="1" s="1"/>
  <c r="J654" i="1"/>
  <c r="L654" i="1" s="1"/>
  <c r="J655" i="1"/>
  <c r="L655" i="1" s="1"/>
  <c r="J656" i="1"/>
  <c r="L656" i="1" s="1"/>
  <c r="Q656" i="1" s="1"/>
  <c r="S656" i="1" s="1"/>
  <c r="J657" i="1"/>
  <c r="L657" i="1" s="1"/>
  <c r="Q657" i="1" s="1"/>
  <c r="S657" i="1" s="1"/>
  <c r="J658" i="1"/>
  <c r="L658" i="1" s="1"/>
  <c r="Q658" i="1" s="1"/>
  <c r="S658" i="1" s="1"/>
  <c r="J659" i="1"/>
  <c r="L659" i="1" s="1"/>
  <c r="Q659" i="1" s="1"/>
  <c r="S659" i="1" s="1"/>
  <c r="J660" i="1"/>
  <c r="L660" i="1" s="1"/>
  <c r="Q660" i="1" s="1"/>
  <c r="S660" i="1" s="1"/>
  <c r="J661" i="1"/>
  <c r="L661" i="1" s="1"/>
  <c r="J662" i="1"/>
  <c r="L662" i="1" s="1"/>
  <c r="J663" i="1"/>
  <c r="L663" i="1" s="1"/>
  <c r="J664" i="1"/>
  <c r="L664" i="1" s="1"/>
  <c r="J665" i="1"/>
  <c r="L665" i="1" s="1"/>
  <c r="Q665" i="1" s="1"/>
  <c r="S665" i="1" s="1"/>
  <c r="J666" i="1"/>
  <c r="L666" i="1" s="1"/>
  <c r="J667" i="1"/>
  <c r="L667" i="1" s="1"/>
  <c r="Q667" i="1" s="1"/>
  <c r="S667" i="1" s="1"/>
  <c r="J668" i="1"/>
  <c r="L668" i="1" s="1"/>
  <c r="Q668" i="1" s="1"/>
  <c r="S668" i="1" s="1"/>
  <c r="J669" i="1"/>
  <c r="L669" i="1" s="1"/>
  <c r="J670" i="1"/>
  <c r="L670" i="1" s="1"/>
  <c r="J671" i="1"/>
  <c r="L671" i="1" s="1"/>
  <c r="Q671" i="1" s="1"/>
  <c r="S671" i="1" s="1"/>
  <c r="J672" i="1"/>
  <c r="L672" i="1" s="1"/>
  <c r="J673" i="1"/>
  <c r="L673" i="1" s="1"/>
  <c r="J674" i="1"/>
  <c r="L674" i="1" s="1"/>
  <c r="Q674" i="1" s="1"/>
  <c r="S674" i="1" s="1"/>
  <c r="J675" i="1"/>
  <c r="L675" i="1" s="1"/>
  <c r="J676" i="1"/>
  <c r="J677" i="1"/>
  <c r="L677" i="1" s="1"/>
  <c r="Q677" i="1" s="1"/>
  <c r="S677" i="1" s="1"/>
  <c r="J678" i="1"/>
  <c r="L678" i="1" s="1"/>
  <c r="Q678" i="1" s="1"/>
  <c r="S678" i="1" s="1"/>
  <c r="J679" i="1"/>
  <c r="L679" i="1" s="1"/>
  <c r="J680" i="1"/>
  <c r="L680" i="1" s="1"/>
  <c r="Q680" i="1" s="1"/>
  <c r="S680" i="1" s="1"/>
  <c r="J681" i="1"/>
  <c r="L681" i="1" s="1"/>
  <c r="J682" i="1"/>
  <c r="L682" i="1" s="1"/>
  <c r="Q682" i="1" s="1"/>
  <c r="S682" i="1" s="1"/>
  <c r="J683" i="1"/>
  <c r="L683" i="1" s="1"/>
  <c r="J684" i="1"/>
  <c r="L684" i="1" s="1"/>
  <c r="J685" i="1"/>
  <c r="L685" i="1" s="1"/>
  <c r="Q685" i="1" s="1"/>
  <c r="S685" i="1" s="1"/>
  <c r="J686" i="1"/>
  <c r="L686" i="1" s="1"/>
  <c r="J687" i="1"/>
  <c r="L687" i="1" s="1"/>
  <c r="Q687" i="1" s="1"/>
  <c r="S687" i="1" s="1"/>
  <c r="J688" i="1"/>
  <c r="L688" i="1" s="1"/>
  <c r="Q688" i="1" s="1"/>
  <c r="S688" i="1" s="1"/>
  <c r="J689" i="1"/>
  <c r="L689" i="1" s="1"/>
  <c r="J690" i="1"/>
  <c r="L690" i="1" s="1"/>
  <c r="Q690" i="1" s="1"/>
  <c r="S690" i="1" s="1"/>
  <c r="J691" i="1"/>
  <c r="L691" i="1" s="1"/>
  <c r="J692" i="1"/>
  <c r="L692" i="1" s="1"/>
  <c r="J693" i="1"/>
  <c r="L693" i="1" s="1"/>
  <c r="J694" i="1"/>
  <c r="L694" i="1" s="1"/>
  <c r="Q694" i="1" s="1"/>
  <c r="S694" i="1" s="1"/>
  <c r="J695" i="1"/>
  <c r="L695" i="1" s="1"/>
  <c r="J696" i="1"/>
  <c r="L696" i="1" s="1"/>
  <c r="Q696" i="1" s="1"/>
  <c r="S696" i="1" s="1"/>
  <c r="J697" i="1"/>
  <c r="L697" i="1" s="1"/>
  <c r="J698" i="1"/>
  <c r="L698" i="1" s="1"/>
  <c r="J699" i="1"/>
  <c r="L699" i="1" s="1"/>
  <c r="Q699" i="1" s="1"/>
  <c r="S699" i="1" s="1"/>
  <c r="J700" i="1"/>
  <c r="L700" i="1" s="1"/>
  <c r="Q700" i="1" s="1"/>
  <c r="S700" i="1" s="1"/>
  <c r="J701" i="1"/>
  <c r="L701" i="1" s="1"/>
  <c r="Q701" i="1" s="1"/>
  <c r="S701" i="1" s="1"/>
  <c r="J702" i="1"/>
  <c r="L702" i="1" s="1"/>
  <c r="Q702" i="1" s="1"/>
  <c r="S702" i="1" s="1"/>
  <c r="J703" i="1"/>
  <c r="L703" i="1" s="1"/>
  <c r="J704" i="1"/>
  <c r="L704" i="1" s="1"/>
  <c r="Q704" i="1" s="1"/>
  <c r="S704" i="1" s="1"/>
  <c r="J705" i="1"/>
  <c r="L705" i="1" s="1"/>
  <c r="Q705" i="1" s="1"/>
  <c r="S705" i="1" s="1"/>
  <c r="J706" i="1"/>
  <c r="L706" i="1" s="1"/>
  <c r="J707" i="1"/>
  <c r="L707" i="1" s="1"/>
  <c r="J708" i="1"/>
  <c r="L708" i="1" s="1"/>
  <c r="Q708" i="1" s="1"/>
  <c r="S708" i="1" s="1"/>
  <c r="J709" i="1"/>
  <c r="L709" i="1" s="1"/>
  <c r="J710" i="1"/>
  <c r="L710" i="1" s="1"/>
  <c r="Q710" i="1" s="1"/>
  <c r="S710" i="1" s="1"/>
  <c r="J711" i="1"/>
  <c r="L711" i="1" s="1"/>
  <c r="J712" i="1"/>
  <c r="L712" i="1" s="1"/>
  <c r="Q712" i="1" s="1"/>
  <c r="S712" i="1" s="1"/>
  <c r="J713" i="1"/>
  <c r="L713" i="1" s="1"/>
  <c r="J714" i="1"/>
  <c r="L714" i="1" s="1"/>
  <c r="J715" i="1"/>
  <c r="L715" i="1" s="1"/>
  <c r="Q715" i="1" s="1"/>
  <c r="S715" i="1" s="1"/>
  <c r="J716" i="1"/>
  <c r="L716" i="1" s="1"/>
  <c r="J717" i="1"/>
  <c r="L717" i="1" s="1"/>
  <c r="Q717" i="1" s="1"/>
  <c r="S717" i="1" s="1"/>
  <c r="J718" i="1"/>
  <c r="L718" i="1" s="1"/>
  <c r="Q718" i="1" s="1"/>
  <c r="S718" i="1" s="1"/>
  <c r="J719" i="1"/>
  <c r="L719" i="1" s="1"/>
  <c r="Q719" i="1" s="1"/>
  <c r="S719" i="1" s="1"/>
  <c r="J720" i="1"/>
  <c r="L720" i="1" s="1"/>
  <c r="J721" i="1"/>
  <c r="L721" i="1" s="1"/>
  <c r="J722" i="1"/>
  <c r="L722" i="1" s="1"/>
  <c r="Q722" i="1" s="1"/>
  <c r="S722" i="1" s="1"/>
  <c r="J723" i="1"/>
  <c r="L723" i="1" s="1"/>
  <c r="Q723" i="1" s="1"/>
  <c r="S723" i="1" s="1"/>
  <c r="J724" i="1"/>
  <c r="L724" i="1" s="1"/>
  <c r="J725" i="1"/>
  <c r="L725" i="1" s="1"/>
  <c r="J726" i="1"/>
  <c r="L726" i="1" s="1"/>
  <c r="Q726" i="1" s="1"/>
  <c r="S726" i="1" s="1"/>
  <c r="J727" i="1"/>
  <c r="L727" i="1" s="1"/>
  <c r="Q727" i="1" s="1"/>
  <c r="S727" i="1" s="1"/>
  <c r="J728" i="1"/>
  <c r="L728" i="1" s="1"/>
  <c r="J729" i="1"/>
  <c r="L729" i="1" s="1"/>
  <c r="J730" i="1"/>
  <c r="L730" i="1" s="1"/>
  <c r="Q730" i="1" s="1"/>
  <c r="S730" i="1" s="1"/>
  <c r="J731" i="1"/>
  <c r="L731" i="1" s="1"/>
  <c r="Q731" i="1" s="1"/>
  <c r="S731" i="1" s="1"/>
  <c r="J732" i="1"/>
  <c r="L732" i="1" s="1"/>
  <c r="J733" i="1"/>
  <c r="L733" i="1" s="1"/>
  <c r="Q733" i="1" s="1"/>
  <c r="S733" i="1" s="1"/>
  <c r="J734" i="1"/>
  <c r="L734" i="1" s="1"/>
  <c r="J735" i="1"/>
  <c r="L735" i="1" s="1"/>
  <c r="Q735" i="1" s="1"/>
  <c r="S735" i="1" s="1"/>
  <c r="J736" i="1"/>
  <c r="L736" i="1" s="1"/>
  <c r="Q736" i="1" s="1"/>
  <c r="S736" i="1" s="1"/>
  <c r="J737" i="1"/>
  <c r="L737" i="1" s="1"/>
  <c r="J738" i="1"/>
  <c r="L738" i="1" s="1"/>
  <c r="Q738" i="1" s="1"/>
  <c r="S738" i="1" s="1"/>
  <c r="J739" i="1"/>
  <c r="L739" i="1" s="1"/>
  <c r="J740" i="1"/>
  <c r="L740" i="1" s="1"/>
  <c r="Q740" i="1" s="1"/>
  <c r="S740" i="1" s="1"/>
  <c r="J741" i="1"/>
  <c r="L741" i="1" s="1"/>
  <c r="Q741" i="1" s="1"/>
  <c r="S741" i="1" s="1"/>
  <c r="J742" i="1"/>
  <c r="L742" i="1" s="1"/>
  <c r="Q742" i="1" s="1"/>
  <c r="S742" i="1" s="1"/>
  <c r="J743" i="1"/>
  <c r="L743" i="1" s="1"/>
  <c r="J744" i="1"/>
  <c r="L744" i="1" s="1"/>
  <c r="J745" i="1"/>
  <c r="L745" i="1" s="1"/>
  <c r="Q745" i="1" s="1"/>
  <c r="S745" i="1" s="1"/>
  <c r="J746" i="1"/>
  <c r="L746" i="1" s="1"/>
  <c r="J747" i="1"/>
  <c r="L747" i="1" s="1"/>
  <c r="Q747" i="1" s="1"/>
  <c r="S747" i="1" s="1"/>
  <c r="J748" i="1"/>
  <c r="J749" i="1"/>
  <c r="L749" i="1" s="1"/>
  <c r="J750" i="1"/>
  <c r="L750" i="1" s="1"/>
  <c r="Q750" i="1" s="1"/>
  <c r="S750" i="1" s="1"/>
  <c r="J751" i="1"/>
  <c r="L751" i="1" s="1"/>
  <c r="Q751" i="1" s="1"/>
  <c r="S751" i="1" s="1"/>
  <c r="J752" i="1"/>
  <c r="L752" i="1" s="1"/>
  <c r="J753" i="1"/>
  <c r="L753" i="1" s="1"/>
  <c r="J754" i="1"/>
  <c r="L754" i="1" s="1"/>
  <c r="Q754" i="1" s="1"/>
  <c r="S754" i="1" s="1"/>
  <c r="J755" i="1"/>
  <c r="L755" i="1" s="1"/>
  <c r="Q755" i="1" s="1"/>
  <c r="S755" i="1" s="1"/>
  <c r="J756" i="1"/>
  <c r="L756" i="1" s="1"/>
  <c r="J757" i="1"/>
  <c r="L757" i="1" s="1"/>
  <c r="Q757" i="1" s="1"/>
  <c r="S757" i="1" s="1"/>
  <c r="J758" i="1"/>
  <c r="L758" i="1" s="1"/>
  <c r="Q758" i="1" s="1"/>
  <c r="S758" i="1" s="1"/>
  <c r="J759" i="1"/>
  <c r="L759" i="1" s="1"/>
  <c r="Q759" i="1" s="1"/>
  <c r="S759" i="1" s="1"/>
  <c r="J760" i="1"/>
  <c r="J761" i="1"/>
  <c r="L761" i="1" s="1"/>
  <c r="Q761" i="1" s="1"/>
  <c r="S761" i="1" s="1"/>
  <c r="J762" i="1"/>
  <c r="L762" i="1" s="1"/>
  <c r="Q762" i="1" s="1"/>
  <c r="S762" i="1" s="1"/>
  <c r="J763" i="1"/>
  <c r="L763" i="1" s="1"/>
  <c r="J764" i="1"/>
  <c r="L764" i="1" s="1"/>
  <c r="J765" i="1"/>
  <c r="L765" i="1" s="1"/>
  <c r="J766" i="1"/>
  <c r="L766" i="1" s="1"/>
  <c r="J767" i="1"/>
  <c r="L767" i="1" s="1"/>
  <c r="J768" i="1"/>
  <c r="L768" i="1" s="1"/>
  <c r="J769" i="1"/>
  <c r="L769" i="1" s="1"/>
  <c r="J770" i="1"/>
  <c r="L770" i="1" s="1"/>
  <c r="J771" i="1"/>
  <c r="L771" i="1" s="1"/>
  <c r="J772" i="1"/>
  <c r="L772" i="1" s="1"/>
  <c r="Q772" i="1" s="1"/>
  <c r="S772" i="1" s="1"/>
  <c r="J773" i="1"/>
  <c r="L773" i="1" s="1"/>
  <c r="J774" i="1"/>
  <c r="L774" i="1" s="1"/>
  <c r="Q774" i="1" s="1"/>
  <c r="S774" i="1" s="1"/>
  <c r="J775" i="1"/>
  <c r="L775" i="1" s="1"/>
  <c r="Q775" i="1" s="1"/>
  <c r="S775" i="1" s="1"/>
  <c r="J776" i="1"/>
  <c r="L776" i="1" s="1"/>
  <c r="Q776" i="1" s="1"/>
  <c r="S776" i="1" s="1"/>
  <c r="J777" i="1"/>
  <c r="L777" i="1" s="1"/>
  <c r="Q777" i="1" s="1"/>
  <c r="S777" i="1" s="1"/>
  <c r="J778" i="1"/>
  <c r="L778" i="1" s="1"/>
  <c r="J779" i="1"/>
  <c r="L779" i="1" s="1"/>
  <c r="J780" i="1"/>
  <c r="L780" i="1" s="1"/>
  <c r="Q780" i="1" s="1"/>
  <c r="S780" i="1" s="1"/>
  <c r="J781" i="1"/>
  <c r="L781" i="1" s="1"/>
  <c r="Q781" i="1" s="1"/>
  <c r="S781" i="1" s="1"/>
  <c r="J782" i="1"/>
  <c r="L782" i="1" s="1"/>
  <c r="J783" i="1"/>
  <c r="L783" i="1" s="1"/>
  <c r="Q783" i="1" s="1"/>
  <c r="S783" i="1" s="1"/>
  <c r="J784" i="1"/>
  <c r="L784" i="1" s="1"/>
  <c r="J785" i="1"/>
  <c r="L785" i="1" s="1"/>
  <c r="Q785" i="1" s="1"/>
  <c r="S785" i="1" s="1"/>
  <c r="J786" i="1"/>
  <c r="L786" i="1" s="1"/>
  <c r="Q786" i="1" s="1"/>
  <c r="S786" i="1" s="1"/>
  <c r="J787" i="1"/>
  <c r="L787" i="1" s="1"/>
  <c r="Q787" i="1" s="1"/>
  <c r="S787" i="1" s="1"/>
  <c r="J788" i="1"/>
  <c r="L788" i="1" s="1"/>
  <c r="Q788" i="1" s="1"/>
  <c r="S788" i="1" s="1"/>
  <c r="J789" i="1"/>
  <c r="L789" i="1" s="1"/>
  <c r="J790" i="1"/>
  <c r="L790" i="1" s="1"/>
  <c r="Q790" i="1" s="1"/>
  <c r="S790" i="1" s="1"/>
  <c r="J791" i="1"/>
  <c r="L791" i="1" s="1"/>
  <c r="Q791" i="1" s="1"/>
  <c r="S791" i="1" s="1"/>
  <c r="J792" i="1"/>
  <c r="L792" i="1" s="1"/>
  <c r="J793" i="1"/>
  <c r="L793" i="1" s="1"/>
  <c r="J794" i="1"/>
  <c r="L794" i="1" s="1"/>
  <c r="Q794" i="1" s="1"/>
  <c r="S794" i="1" s="1"/>
  <c r="J795" i="1"/>
  <c r="L795" i="1" s="1"/>
  <c r="Q795" i="1" s="1"/>
  <c r="S795" i="1" s="1"/>
  <c r="J796" i="1"/>
  <c r="L796" i="1" s="1"/>
  <c r="J797" i="1"/>
  <c r="L797" i="1" s="1"/>
  <c r="J798" i="1"/>
  <c r="L798" i="1" s="1"/>
  <c r="J799" i="1"/>
  <c r="L799" i="1" s="1"/>
  <c r="Q799" i="1" s="1"/>
  <c r="S799" i="1" s="1"/>
  <c r="J800" i="1"/>
  <c r="L800" i="1" s="1"/>
  <c r="Q800" i="1" s="1"/>
  <c r="S800" i="1" s="1"/>
  <c r="J801" i="1"/>
  <c r="L801" i="1" s="1"/>
  <c r="Q801" i="1" s="1"/>
  <c r="S801" i="1" s="1"/>
  <c r="J802" i="1"/>
  <c r="L802" i="1" s="1"/>
  <c r="Q802" i="1" s="1"/>
  <c r="S802" i="1" s="1"/>
  <c r="J803" i="1"/>
  <c r="L803" i="1" s="1"/>
  <c r="J804" i="1"/>
  <c r="L804" i="1" s="1"/>
  <c r="Q804" i="1" s="1"/>
  <c r="S804" i="1" s="1"/>
  <c r="J805" i="1"/>
  <c r="L805" i="1" s="1"/>
  <c r="Q805" i="1" s="1"/>
  <c r="S805" i="1" s="1"/>
  <c r="J806" i="1"/>
  <c r="L806" i="1" s="1"/>
  <c r="Q806" i="1" s="1"/>
  <c r="S806" i="1" s="1"/>
  <c r="J807" i="1"/>
  <c r="L807" i="1" s="1"/>
  <c r="Q807" i="1" s="1"/>
  <c r="S807" i="1" s="1"/>
  <c r="J808" i="1"/>
  <c r="L808" i="1" s="1"/>
  <c r="J809" i="1"/>
  <c r="L809" i="1" s="1"/>
  <c r="Q809" i="1" s="1"/>
  <c r="S809" i="1" s="1"/>
  <c r="J810" i="1"/>
  <c r="L810" i="1" s="1"/>
  <c r="Q810" i="1" s="1"/>
  <c r="S810" i="1" s="1"/>
  <c r="J811" i="1"/>
  <c r="L811" i="1" s="1"/>
  <c r="Q811" i="1" s="1"/>
  <c r="S811" i="1" s="1"/>
  <c r="J812" i="1"/>
  <c r="L812" i="1" s="1"/>
  <c r="J813" i="1"/>
  <c r="L813" i="1" s="1"/>
  <c r="Q813" i="1" s="1"/>
  <c r="S813" i="1" s="1"/>
  <c r="J814" i="1"/>
  <c r="L814" i="1" s="1"/>
  <c r="Q814" i="1" s="1"/>
  <c r="S814" i="1" s="1"/>
  <c r="J815" i="1"/>
  <c r="L815" i="1" s="1"/>
  <c r="Q815" i="1" s="1"/>
  <c r="S815" i="1" s="1"/>
  <c r="J816" i="1"/>
  <c r="L816" i="1" s="1"/>
  <c r="Q816" i="1" s="1"/>
  <c r="S816" i="1" s="1"/>
  <c r="J817" i="1"/>
  <c r="L817" i="1" s="1"/>
  <c r="Q817" i="1" s="1"/>
  <c r="S817" i="1" s="1"/>
  <c r="J818" i="1"/>
  <c r="L818" i="1" s="1"/>
  <c r="Q818" i="1" s="1"/>
  <c r="S818" i="1" s="1"/>
  <c r="J819" i="1"/>
  <c r="L819" i="1" s="1"/>
  <c r="J820" i="1"/>
  <c r="L820" i="1" s="1"/>
  <c r="Q820" i="1" s="1"/>
  <c r="S820" i="1" s="1"/>
  <c r="J821" i="1"/>
  <c r="L821" i="1" s="1"/>
  <c r="Q821" i="1" s="1"/>
  <c r="S821" i="1" s="1"/>
  <c r="J822" i="1"/>
  <c r="L822" i="1" s="1"/>
  <c r="Q822" i="1" s="1"/>
  <c r="S822" i="1" s="1"/>
  <c r="J823" i="1"/>
  <c r="L823" i="1" s="1"/>
  <c r="Q823" i="1" s="1"/>
  <c r="S823" i="1" s="1"/>
  <c r="J824" i="1"/>
  <c r="L824" i="1" s="1"/>
  <c r="J825" i="1"/>
  <c r="J826" i="1"/>
  <c r="J827" i="1"/>
  <c r="J828" i="1"/>
  <c r="J829" i="1"/>
  <c r="L829" i="1" s="1"/>
  <c r="Q829" i="1" s="1"/>
  <c r="S829" i="1" s="1"/>
  <c r="J830" i="1"/>
  <c r="L830" i="1" s="1"/>
  <c r="Q830" i="1" s="1"/>
  <c r="S830" i="1" s="1"/>
  <c r="J831" i="1"/>
  <c r="L831" i="1" s="1"/>
  <c r="Q831" i="1" s="1"/>
  <c r="S831" i="1" s="1"/>
  <c r="J832" i="1"/>
  <c r="L832" i="1" s="1"/>
  <c r="Q832" i="1" s="1"/>
  <c r="S832" i="1" s="1"/>
  <c r="J833" i="1"/>
  <c r="L833" i="1" s="1"/>
  <c r="J834" i="1"/>
  <c r="L834" i="1" s="1"/>
  <c r="Q834" i="1" s="1"/>
  <c r="S834" i="1" s="1"/>
  <c r="J835" i="1"/>
  <c r="L835" i="1" s="1"/>
  <c r="J836" i="1"/>
  <c r="L836" i="1" s="1"/>
  <c r="Q836" i="1" s="1"/>
  <c r="S836" i="1" s="1"/>
  <c r="J837" i="1"/>
  <c r="J838" i="1"/>
  <c r="J839" i="1"/>
  <c r="J840" i="1"/>
  <c r="J841" i="1"/>
  <c r="L841" i="1" s="1"/>
  <c r="J842" i="1"/>
  <c r="L842" i="1" s="1"/>
  <c r="J843" i="1"/>
  <c r="L843" i="1" s="1"/>
  <c r="Q843" i="1" s="1"/>
  <c r="S843" i="1" s="1"/>
  <c r="J844" i="1"/>
  <c r="L844" i="1" s="1"/>
  <c r="J845" i="1"/>
  <c r="L845" i="1" s="1"/>
  <c r="Q845" i="1" s="1"/>
  <c r="S845" i="1" s="1"/>
  <c r="J846" i="1"/>
  <c r="L846" i="1" s="1"/>
  <c r="Q846" i="1" s="1"/>
  <c r="S846" i="1" s="1"/>
  <c r="J847" i="1"/>
  <c r="L847" i="1" s="1"/>
  <c r="J848" i="1"/>
  <c r="L848" i="1" s="1"/>
  <c r="J849" i="1"/>
  <c r="J850" i="1"/>
  <c r="J851" i="1"/>
  <c r="J852" i="1"/>
  <c r="J853" i="1"/>
  <c r="L853" i="1" s="1"/>
  <c r="Q853" i="1" s="1"/>
  <c r="S853" i="1" s="1"/>
  <c r="J854" i="1"/>
  <c r="L854" i="1" s="1"/>
  <c r="J855" i="1"/>
  <c r="L855" i="1" s="1"/>
  <c r="Q855" i="1" s="1"/>
  <c r="S855" i="1" s="1"/>
  <c r="J856" i="1"/>
  <c r="J857" i="1"/>
  <c r="L857" i="1" s="1"/>
  <c r="J858" i="1"/>
  <c r="L858" i="1" s="1"/>
  <c r="J859" i="1"/>
  <c r="L859" i="1" s="1"/>
  <c r="Q859" i="1" s="1"/>
  <c r="S859" i="1" s="1"/>
  <c r="J860" i="1"/>
  <c r="L860" i="1" s="1"/>
  <c r="Q860" i="1" s="1"/>
  <c r="S860" i="1" s="1"/>
  <c r="J861" i="1"/>
  <c r="J862" i="1"/>
  <c r="J863" i="1"/>
  <c r="J864" i="1"/>
  <c r="J865" i="1"/>
  <c r="L865" i="1" s="1"/>
  <c r="Q865" i="1" s="1"/>
  <c r="S865" i="1" s="1"/>
  <c r="J866" i="1"/>
  <c r="L866" i="1" s="1"/>
  <c r="J867" i="1"/>
  <c r="L867" i="1" s="1"/>
  <c r="J868" i="1"/>
  <c r="L868" i="1" s="1"/>
  <c r="J869" i="1"/>
  <c r="L869" i="1" s="1"/>
  <c r="Q869" i="1" s="1"/>
  <c r="S869" i="1" s="1"/>
  <c r="J870" i="1"/>
  <c r="L870" i="1" s="1"/>
  <c r="J871" i="1"/>
  <c r="L871" i="1" s="1"/>
  <c r="Q871" i="1" s="1"/>
  <c r="S871" i="1" s="1"/>
  <c r="J872" i="1"/>
  <c r="L872" i="1" s="1"/>
  <c r="Q872" i="1" s="1"/>
  <c r="S872" i="1" s="1"/>
  <c r="J873" i="1"/>
  <c r="J874" i="1"/>
  <c r="J875" i="1"/>
  <c r="J876" i="1"/>
  <c r="J877" i="1"/>
  <c r="L877" i="1" s="1"/>
  <c r="J878" i="1"/>
  <c r="L878" i="1" s="1"/>
  <c r="Q878" i="1" s="1"/>
  <c r="S878" i="1" s="1"/>
  <c r="J879" i="1"/>
  <c r="L879" i="1" s="1"/>
  <c r="J880" i="1"/>
  <c r="L880" i="1" s="1"/>
  <c r="Q880" i="1" s="1"/>
  <c r="S880" i="1" s="1"/>
  <c r="J881" i="1"/>
  <c r="L881" i="1" s="1"/>
  <c r="Q881" i="1" s="1"/>
  <c r="S881" i="1" s="1"/>
  <c r="J882" i="1"/>
  <c r="L882" i="1" s="1"/>
  <c r="Q882" i="1" s="1"/>
  <c r="S882" i="1" s="1"/>
  <c r="J883" i="1"/>
  <c r="L883" i="1" s="1"/>
  <c r="J884" i="1"/>
  <c r="L884" i="1" s="1"/>
  <c r="J885" i="1"/>
  <c r="J886" i="1"/>
  <c r="J887" i="1"/>
  <c r="J888" i="1"/>
  <c r="J889" i="1"/>
  <c r="L889" i="1" s="1"/>
  <c r="J890" i="1"/>
  <c r="L890" i="1" s="1"/>
  <c r="Q890" i="1" s="1"/>
  <c r="S890" i="1" s="1"/>
  <c r="J891" i="1"/>
  <c r="L891" i="1" s="1"/>
  <c r="Q891" i="1" s="1"/>
  <c r="S891" i="1" s="1"/>
  <c r="J892" i="1"/>
  <c r="L892" i="1" s="1"/>
  <c r="Q892" i="1" s="1"/>
  <c r="S892" i="1" s="1"/>
  <c r="J893" i="1"/>
  <c r="L893" i="1" s="1"/>
  <c r="J894" i="1"/>
  <c r="L894" i="1" s="1"/>
  <c r="J895" i="1"/>
  <c r="L895" i="1" s="1"/>
  <c r="Q895" i="1" s="1"/>
  <c r="S895" i="1" s="1"/>
  <c r="J896" i="1"/>
  <c r="L896" i="1" s="1"/>
  <c r="J897" i="1"/>
  <c r="J898" i="1"/>
  <c r="J899" i="1"/>
  <c r="J900" i="1"/>
  <c r="J901" i="1"/>
  <c r="L901" i="1" s="1"/>
  <c r="Q901" i="1" s="1"/>
  <c r="S901" i="1" s="1"/>
  <c r="J902" i="1"/>
  <c r="L902" i="1" s="1"/>
  <c r="J903" i="1"/>
  <c r="L903" i="1" s="1"/>
  <c r="Q903" i="1" s="1"/>
  <c r="S903" i="1" s="1"/>
  <c r="J904" i="1"/>
  <c r="L904" i="1" s="1"/>
  <c r="Q904" i="1" s="1"/>
  <c r="S904" i="1" s="1"/>
  <c r="J905" i="1"/>
  <c r="L905" i="1" s="1"/>
  <c r="Q905" i="1" s="1"/>
  <c r="S905" i="1" s="1"/>
  <c r="J906" i="1"/>
  <c r="L906" i="1" s="1"/>
  <c r="Q906" i="1" s="1"/>
  <c r="S906" i="1" s="1"/>
  <c r="J907" i="1"/>
  <c r="L907" i="1" s="1"/>
  <c r="J908" i="1"/>
  <c r="L908" i="1" s="1"/>
  <c r="Q908" i="1" s="1"/>
  <c r="S908" i="1" s="1"/>
  <c r="J909" i="1"/>
  <c r="J910" i="1"/>
  <c r="J911" i="1"/>
  <c r="J912" i="1"/>
  <c r="J913" i="1"/>
  <c r="L913" i="1" s="1"/>
  <c r="J914" i="1"/>
  <c r="L914" i="1" s="1"/>
  <c r="Q914" i="1" s="1"/>
  <c r="S914" i="1" s="1"/>
  <c r="J915" i="1"/>
  <c r="L915" i="1" s="1"/>
  <c r="Q915" i="1" s="1"/>
  <c r="S915" i="1" s="1"/>
  <c r="J916" i="1"/>
  <c r="L916" i="1" s="1"/>
  <c r="Q916" i="1" s="1"/>
  <c r="S916" i="1" s="1"/>
  <c r="J917" i="1"/>
  <c r="L917" i="1" s="1"/>
  <c r="Q917" i="1" s="1"/>
  <c r="S917" i="1" s="1"/>
  <c r="J918" i="1"/>
  <c r="L918" i="1" s="1"/>
  <c r="J919" i="1"/>
  <c r="L919" i="1" s="1"/>
  <c r="Q919" i="1" s="1"/>
  <c r="S919" i="1" s="1"/>
  <c r="J920" i="1"/>
  <c r="L920" i="1" s="1"/>
  <c r="Q920" i="1" s="1"/>
  <c r="S920" i="1" s="1"/>
  <c r="J921" i="1"/>
  <c r="J922" i="1"/>
  <c r="J923" i="1"/>
  <c r="J924" i="1"/>
  <c r="J925" i="1"/>
  <c r="L925" i="1" s="1"/>
  <c r="J926" i="1"/>
  <c r="L926" i="1" s="1"/>
  <c r="J927" i="1"/>
  <c r="L927" i="1" s="1"/>
  <c r="J928" i="1"/>
  <c r="L928" i="1" s="1"/>
  <c r="Q928" i="1" s="1"/>
  <c r="S928" i="1" s="1"/>
  <c r="J929" i="1"/>
  <c r="L929" i="1" s="1"/>
  <c r="Q929" i="1" s="1"/>
  <c r="S929" i="1" s="1"/>
  <c r="J930" i="1"/>
  <c r="L930" i="1" s="1"/>
  <c r="Q930" i="1" s="1"/>
  <c r="S930" i="1" s="1"/>
  <c r="J931" i="1"/>
  <c r="L931" i="1" s="1"/>
  <c r="Q931" i="1" s="1"/>
  <c r="S931" i="1" s="1"/>
  <c r="J932" i="1"/>
  <c r="L932" i="1" s="1"/>
  <c r="Q932" i="1" s="1"/>
  <c r="S932" i="1" s="1"/>
  <c r="J933" i="1"/>
  <c r="J934" i="1"/>
  <c r="J935" i="1"/>
  <c r="J936" i="1"/>
  <c r="J937" i="1"/>
  <c r="L937" i="1" s="1"/>
  <c r="J938" i="1"/>
  <c r="L938" i="1" s="1"/>
  <c r="Q938" i="1" s="1"/>
  <c r="S938" i="1" s="1"/>
  <c r="J939" i="1"/>
  <c r="L939" i="1" s="1"/>
  <c r="Q939" i="1" s="1"/>
  <c r="S939" i="1" s="1"/>
  <c r="J940" i="1"/>
  <c r="L940" i="1" s="1"/>
  <c r="Q940" i="1" s="1"/>
  <c r="S940" i="1" s="1"/>
  <c r="J941" i="1"/>
  <c r="L941" i="1" s="1"/>
  <c r="Q941" i="1" s="1"/>
  <c r="S941" i="1" s="1"/>
  <c r="J942" i="1"/>
  <c r="L942" i="1" s="1"/>
  <c r="Q942" i="1" s="1"/>
  <c r="S942" i="1" s="1"/>
  <c r="J943" i="1"/>
  <c r="J944" i="1"/>
  <c r="L944" i="1" s="1"/>
  <c r="J945" i="1"/>
  <c r="J946" i="1"/>
  <c r="J947" i="1"/>
  <c r="J948" i="1"/>
  <c r="J949" i="1"/>
  <c r="L949" i="1" s="1"/>
  <c r="J950" i="1"/>
  <c r="L950" i="1" s="1"/>
  <c r="J951" i="1"/>
  <c r="L951" i="1" s="1"/>
  <c r="Q951" i="1" s="1"/>
  <c r="S951" i="1" s="1"/>
  <c r="J952" i="1"/>
  <c r="L952" i="1" s="1"/>
  <c r="J953" i="1"/>
  <c r="J954" i="1"/>
  <c r="L954" i="1" s="1"/>
  <c r="Q954" i="1" s="1"/>
  <c r="S954" i="1" s="1"/>
  <c r="J955" i="1"/>
  <c r="J956" i="1"/>
  <c r="L956" i="1" s="1"/>
  <c r="Q956" i="1" s="1"/>
  <c r="S956" i="1" s="1"/>
  <c r="J957" i="1"/>
  <c r="J958" i="1"/>
  <c r="J959" i="1"/>
  <c r="J960" i="1"/>
  <c r="J961" i="1"/>
  <c r="L961" i="1" s="1"/>
  <c r="J962" i="1"/>
  <c r="L962" i="1" s="1"/>
  <c r="Q962" i="1" s="1"/>
  <c r="S962" i="1" s="1"/>
  <c r="J963" i="1"/>
  <c r="L963" i="1" s="1"/>
  <c r="J964" i="1"/>
  <c r="L964" i="1" s="1"/>
  <c r="J965" i="1"/>
  <c r="J966" i="1"/>
  <c r="L966" i="1" s="1"/>
  <c r="Q966" i="1" s="1"/>
  <c r="S966" i="1" s="1"/>
  <c r="J967" i="1"/>
  <c r="J968" i="1"/>
  <c r="L968" i="1" s="1"/>
  <c r="Q968" i="1" s="1"/>
  <c r="S968" i="1" s="1"/>
  <c r="J969" i="1"/>
  <c r="J970" i="1"/>
  <c r="J971" i="1"/>
  <c r="J972" i="1"/>
  <c r="J973" i="1"/>
  <c r="L973" i="1" s="1"/>
  <c r="Q973" i="1" s="1"/>
  <c r="S973" i="1" s="1"/>
  <c r="J974" i="1"/>
  <c r="L974" i="1" s="1"/>
  <c r="Q974" i="1" s="1"/>
  <c r="S974" i="1" s="1"/>
  <c r="J975" i="1"/>
  <c r="L975" i="1" s="1"/>
  <c r="J976" i="1"/>
  <c r="L976" i="1" s="1"/>
  <c r="Q976" i="1" s="1"/>
  <c r="S976" i="1" s="1"/>
  <c r="J977" i="1"/>
  <c r="J978" i="1"/>
  <c r="J979" i="1"/>
  <c r="J980" i="1"/>
  <c r="L980" i="1" s="1"/>
  <c r="J981" i="1"/>
  <c r="J982" i="1"/>
  <c r="J983" i="1"/>
  <c r="J984" i="1"/>
  <c r="J985" i="1"/>
  <c r="L985" i="1" s="1"/>
  <c r="Q985" i="1" s="1"/>
  <c r="S985" i="1" s="1"/>
  <c r="J986" i="1"/>
  <c r="L986" i="1" s="1"/>
  <c r="J987" i="1"/>
  <c r="L987" i="1" s="1"/>
  <c r="J988" i="1"/>
  <c r="L988" i="1" s="1"/>
  <c r="J989" i="1"/>
  <c r="J990" i="1"/>
  <c r="J991" i="1"/>
  <c r="J992" i="1"/>
  <c r="J993" i="1"/>
  <c r="J994" i="1"/>
  <c r="J995" i="1"/>
  <c r="J996" i="1"/>
  <c r="J997" i="1"/>
  <c r="L997" i="1" s="1"/>
  <c r="Q997" i="1" s="1"/>
  <c r="S997" i="1" s="1"/>
  <c r="J998" i="1"/>
  <c r="L998" i="1" s="1"/>
  <c r="J999" i="1"/>
  <c r="L999" i="1" s="1"/>
  <c r="Q999" i="1" s="1"/>
  <c r="S999" i="1" s="1"/>
  <c r="J1000" i="1"/>
  <c r="L1000" i="1" s="1"/>
  <c r="J1001" i="1"/>
  <c r="J1002" i="1"/>
  <c r="J1003" i="1"/>
  <c r="J1004" i="1"/>
  <c r="J1005" i="1"/>
  <c r="J1006" i="1"/>
  <c r="J1007" i="1"/>
  <c r="J1008" i="1"/>
  <c r="J1009" i="1"/>
  <c r="L1009" i="1" s="1"/>
  <c r="Q1009" i="1" s="1"/>
  <c r="S1009" i="1" s="1"/>
  <c r="J1010" i="1"/>
  <c r="L1010" i="1" s="1"/>
  <c r="Q1010" i="1" s="1"/>
  <c r="S1010" i="1" s="1"/>
  <c r="J1011" i="1"/>
  <c r="L1011" i="1" s="1"/>
  <c r="J1012" i="1"/>
  <c r="L1012" i="1" s="1"/>
  <c r="Q1012" i="1" s="1"/>
  <c r="S1012" i="1" s="1"/>
  <c r="J1013" i="1"/>
  <c r="J1014" i="1"/>
  <c r="J1015" i="1"/>
  <c r="J1016" i="1"/>
  <c r="J1017" i="1"/>
  <c r="J1018" i="1"/>
  <c r="J1019" i="1"/>
  <c r="J1020" i="1"/>
  <c r="J1021" i="1"/>
  <c r="L1021" i="1" s="1"/>
  <c r="Q1021" i="1" s="1"/>
  <c r="S1021" i="1" s="1"/>
  <c r="J1022" i="1"/>
  <c r="L1022" i="1" s="1"/>
  <c r="Q1022" i="1" s="1"/>
  <c r="S1022" i="1" s="1"/>
  <c r="J1023" i="1"/>
  <c r="L1023" i="1" s="1"/>
  <c r="J1024" i="1"/>
  <c r="L1024" i="1" s="1"/>
  <c r="J1025" i="1"/>
  <c r="J1026" i="1"/>
  <c r="J1027" i="1"/>
  <c r="J1028" i="1"/>
  <c r="J1029" i="1"/>
  <c r="J1030" i="1"/>
  <c r="J1031" i="1"/>
  <c r="J1032" i="1"/>
  <c r="J1033" i="1"/>
  <c r="L1033" i="1" s="1"/>
  <c r="Q1033" i="1" s="1"/>
  <c r="S1033" i="1" s="1"/>
  <c r="J1034" i="1"/>
  <c r="L1034" i="1" s="1"/>
  <c r="J1035" i="1"/>
  <c r="L1035" i="1" s="1"/>
  <c r="Q1035" i="1" s="1"/>
  <c r="S1035" i="1" s="1"/>
  <c r="J1036" i="1"/>
  <c r="J1037" i="1"/>
  <c r="J1038" i="1"/>
  <c r="J1039" i="1"/>
  <c r="J1040" i="1"/>
  <c r="J1041" i="1"/>
  <c r="J1042" i="1"/>
  <c r="J1043" i="1"/>
  <c r="J1044" i="1"/>
  <c r="J1045" i="1"/>
  <c r="L1045" i="1" s="1"/>
  <c r="Q1045" i="1" s="1"/>
  <c r="S1045" i="1" s="1"/>
  <c r="J1046" i="1"/>
  <c r="L1046" i="1" s="1"/>
  <c r="J1047" i="1"/>
  <c r="L1047" i="1" s="1"/>
  <c r="Q1047" i="1" s="1"/>
  <c r="S1047" i="1" s="1"/>
  <c r="J1048" i="1"/>
  <c r="L1048" i="1" s="1"/>
  <c r="Q1048" i="1" s="1"/>
  <c r="S1048" i="1" s="1"/>
  <c r="J1049" i="1"/>
  <c r="J1050" i="1"/>
  <c r="J1051" i="1"/>
  <c r="J1052" i="1"/>
  <c r="J1053" i="1"/>
  <c r="J1054" i="1"/>
  <c r="J1055" i="1"/>
  <c r="J1056" i="1"/>
  <c r="J1057" i="1"/>
  <c r="L1057" i="1" s="1"/>
  <c r="Q1057" i="1" s="1"/>
  <c r="S1057" i="1" s="1"/>
  <c r="J1058" i="1"/>
  <c r="L1058" i="1" s="1"/>
  <c r="Q1058" i="1" s="1"/>
  <c r="S1058" i="1" s="1"/>
  <c r="J1059" i="1"/>
  <c r="L1059" i="1" s="1"/>
  <c r="J1060" i="1"/>
  <c r="L1060" i="1" s="1"/>
  <c r="Q1060" i="1" s="1"/>
  <c r="S1060" i="1" s="1"/>
  <c r="J1061" i="1"/>
  <c r="J1062" i="1"/>
  <c r="J1063" i="1"/>
  <c r="J1064" i="1"/>
  <c r="J1065" i="1"/>
  <c r="J1066" i="1"/>
  <c r="J1067" i="1"/>
  <c r="J1068" i="1"/>
  <c r="J1069" i="1"/>
  <c r="L1069" i="1" s="1"/>
  <c r="J1070" i="1"/>
  <c r="L1070" i="1" s="1"/>
  <c r="Q1070" i="1" s="1"/>
  <c r="S1070" i="1" s="1"/>
  <c r="J1071" i="1"/>
  <c r="L1071" i="1" s="1"/>
  <c r="J1072" i="1"/>
  <c r="L1072" i="1" s="1"/>
  <c r="Q1072" i="1" s="1"/>
  <c r="S1072" i="1" s="1"/>
  <c r="J1073" i="1"/>
  <c r="J1074" i="1"/>
  <c r="J1075" i="1"/>
  <c r="J1076" i="1"/>
  <c r="J1077" i="1"/>
  <c r="J1078" i="1"/>
  <c r="J1079" i="1"/>
  <c r="J1080" i="1"/>
  <c r="J1081" i="1"/>
  <c r="J1082" i="1"/>
  <c r="L1082" i="1" s="1"/>
  <c r="Q1082" i="1" s="1"/>
  <c r="S1082" i="1" s="1"/>
  <c r="J1083" i="1"/>
  <c r="L1083" i="1" s="1"/>
  <c r="J1084" i="1"/>
  <c r="L1084" i="1" s="1"/>
  <c r="Q1084" i="1" s="1"/>
  <c r="S1084" i="1" s="1"/>
  <c r="J1085" i="1"/>
  <c r="J1086" i="1"/>
  <c r="J1087" i="1"/>
  <c r="J1088" i="1"/>
  <c r="J1089" i="1"/>
  <c r="J1090" i="1"/>
  <c r="J1091" i="1"/>
  <c r="J1092" i="1"/>
  <c r="J1093" i="1"/>
  <c r="J1094" i="1"/>
  <c r="L1094" i="1" s="1"/>
  <c r="Q1094" i="1" s="1"/>
  <c r="S1094" i="1" s="1"/>
  <c r="J1095" i="1"/>
  <c r="L1095" i="1" s="1"/>
  <c r="Q1095" i="1" s="1"/>
  <c r="S1095" i="1" s="1"/>
  <c r="J1096" i="1"/>
  <c r="J1097" i="1"/>
  <c r="J1098" i="1"/>
  <c r="J1099" i="1"/>
  <c r="J1100" i="1"/>
  <c r="J1101" i="1"/>
  <c r="J1102" i="1"/>
  <c r="J1103" i="1"/>
  <c r="J1104" i="1"/>
  <c r="J1105" i="1"/>
  <c r="J1106" i="1"/>
  <c r="L1106" i="1" s="1"/>
  <c r="Q1106" i="1" s="1"/>
  <c r="S1106" i="1" s="1"/>
  <c r="J1107" i="1"/>
  <c r="L1107" i="1" s="1"/>
  <c r="J1108" i="1"/>
  <c r="L1108" i="1" s="1"/>
  <c r="J1109" i="1"/>
  <c r="J1110" i="1"/>
  <c r="J1111" i="1"/>
  <c r="J1112" i="1"/>
  <c r="J1113" i="1"/>
  <c r="J1114" i="1"/>
  <c r="J1115" i="1"/>
  <c r="J1116" i="1"/>
  <c r="J1117" i="1"/>
  <c r="J1118" i="1"/>
  <c r="L1118" i="1" s="1"/>
  <c r="J1119" i="1"/>
  <c r="J1120" i="1"/>
  <c r="J1121" i="1"/>
  <c r="J1122" i="1"/>
  <c r="J1123" i="1"/>
  <c r="J1124" i="1"/>
  <c r="J1125" i="1"/>
  <c r="J1126" i="1"/>
  <c r="J1127" i="1"/>
  <c r="J1128" i="1"/>
  <c r="J1129" i="1"/>
  <c r="J1130" i="1"/>
  <c r="L1130" i="1" s="1"/>
  <c r="Q1130" i="1" s="1"/>
  <c r="S1130" i="1" s="1"/>
  <c r="J1131" i="1"/>
  <c r="J1132" i="1"/>
  <c r="J1133" i="1"/>
  <c r="J1134" i="1"/>
  <c r="J1135" i="1"/>
  <c r="J1136" i="1"/>
  <c r="J1137" i="1"/>
  <c r="J1138" i="1"/>
  <c r="J1139" i="1"/>
  <c r="J1140" i="1"/>
  <c r="J1141" i="1"/>
  <c r="J1142" i="1"/>
  <c r="L1142" i="1" s="1"/>
  <c r="J1143" i="1"/>
  <c r="J1144" i="1"/>
  <c r="J1145" i="1"/>
  <c r="J1146" i="1"/>
  <c r="J1147" i="1"/>
  <c r="J1148" i="1"/>
  <c r="J1149" i="1"/>
  <c r="J1150" i="1"/>
  <c r="J1151" i="1"/>
  <c r="J1152" i="1"/>
  <c r="J1153" i="1"/>
  <c r="J1154" i="1"/>
  <c r="L1154" i="1" s="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L1297" i="1" s="1"/>
  <c r="Q1297" i="1" s="1"/>
  <c r="S1297" i="1" s="1"/>
  <c r="L1032" i="1" l="1"/>
  <c r="L1008" i="1"/>
  <c r="Q1008" i="1" s="1"/>
  <c r="S1008" i="1" s="1"/>
  <c r="L984" i="1"/>
  <c r="L960" i="1"/>
  <c r="Q960" i="1" s="1"/>
  <c r="S960" i="1" s="1"/>
  <c r="L936" i="1"/>
  <c r="W936" i="1" s="1"/>
  <c r="L912" i="1"/>
  <c r="Q912" i="1" s="1"/>
  <c r="S912" i="1" s="1"/>
  <c r="L888" i="1"/>
  <c r="L864" i="1"/>
  <c r="Q864" i="1" s="1"/>
  <c r="S864" i="1" s="1"/>
  <c r="L852" i="1"/>
  <c r="Q852" i="1" s="1"/>
  <c r="S852" i="1" s="1"/>
  <c r="L828" i="1"/>
  <c r="L1031" i="1"/>
  <c r="Q1031" i="1" s="1"/>
  <c r="S1031" i="1" s="1"/>
  <c r="L1019" i="1"/>
  <c r="Q1019" i="1" s="1"/>
  <c r="S1019" i="1" s="1"/>
  <c r="L1007" i="1"/>
  <c r="Q1007" i="1" s="1"/>
  <c r="S1007" i="1" s="1"/>
  <c r="L995" i="1"/>
  <c r="L983" i="1"/>
  <c r="Q983" i="1" s="1"/>
  <c r="S983" i="1" s="1"/>
  <c r="L971" i="1"/>
  <c r="Q971" i="1" s="1"/>
  <c r="S971" i="1" s="1"/>
  <c r="L959" i="1"/>
  <c r="W959" i="1" s="1"/>
  <c r="L947" i="1"/>
  <c r="M947" i="1" s="1"/>
  <c r="L935" i="1"/>
  <c r="Q935" i="1" s="1"/>
  <c r="S935" i="1" s="1"/>
  <c r="L923" i="1"/>
  <c r="M923" i="1" s="1"/>
  <c r="L911" i="1"/>
  <c r="Q911" i="1" s="1"/>
  <c r="S911" i="1" s="1"/>
  <c r="L899" i="1"/>
  <c r="L887" i="1"/>
  <c r="Q887" i="1" s="1"/>
  <c r="S887" i="1" s="1"/>
  <c r="L875" i="1"/>
  <c r="Q875" i="1" s="1"/>
  <c r="S875" i="1" s="1"/>
  <c r="L863" i="1"/>
  <c r="Q863" i="1" s="1"/>
  <c r="S863" i="1" s="1"/>
  <c r="L851" i="1"/>
  <c r="L839" i="1"/>
  <c r="Q839" i="1" s="1"/>
  <c r="S839" i="1" s="1"/>
  <c r="L827" i="1"/>
  <c r="L1030" i="1"/>
  <c r="Q1030" i="1" s="1"/>
  <c r="S1030" i="1" s="1"/>
  <c r="L1018" i="1"/>
  <c r="Q1018" i="1" s="1"/>
  <c r="S1018" i="1" s="1"/>
  <c r="L1006" i="1"/>
  <c r="M1006" i="1" s="1"/>
  <c r="L994" i="1"/>
  <c r="Q994" i="1" s="1"/>
  <c r="S994" i="1" s="1"/>
  <c r="L982" i="1"/>
  <c r="M982" i="1" s="1"/>
  <c r="L970" i="1"/>
  <c r="Q970" i="1" s="1"/>
  <c r="S970" i="1" s="1"/>
  <c r="L958" i="1"/>
  <c r="M958" i="1" s="1"/>
  <c r="L946" i="1"/>
  <c r="Q946" i="1" s="1"/>
  <c r="S946" i="1" s="1"/>
  <c r="L934" i="1"/>
  <c r="Q934" i="1" s="1"/>
  <c r="S934" i="1" s="1"/>
  <c r="L922" i="1"/>
  <c r="L910" i="1"/>
  <c r="L898" i="1"/>
  <c r="Q898" i="1" s="1"/>
  <c r="S898" i="1" s="1"/>
  <c r="L886" i="1"/>
  <c r="Q886" i="1" s="1"/>
  <c r="S886" i="1" s="1"/>
  <c r="L874" i="1"/>
  <c r="L862" i="1"/>
  <c r="Q862" i="1" s="1"/>
  <c r="S862" i="1" s="1"/>
  <c r="L850" i="1"/>
  <c r="Q850" i="1" s="1"/>
  <c r="S850" i="1" s="1"/>
  <c r="L838" i="1"/>
  <c r="Q838" i="1" s="1"/>
  <c r="S838" i="1" s="1"/>
  <c r="L826" i="1"/>
  <c r="Q826" i="1" s="1"/>
  <c r="S826" i="1" s="1"/>
  <c r="L1020" i="1"/>
  <c r="W1020" i="1" s="1"/>
  <c r="L996" i="1"/>
  <c r="Q996" i="1" s="1"/>
  <c r="S996" i="1" s="1"/>
  <c r="L972" i="1"/>
  <c r="L948" i="1"/>
  <c r="Q948" i="1" s="1"/>
  <c r="S948" i="1" s="1"/>
  <c r="L924" i="1"/>
  <c r="L900" i="1"/>
  <c r="Q900" i="1" s="1"/>
  <c r="S900" i="1" s="1"/>
  <c r="L876" i="1"/>
  <c r="L840" i="1"/>
  <c r="M840" i="1" s="1"/>
  <c r="L1029" i="1"/>
  <c r="Q1029" i="1" s="1"/>
  <c r="S1029" i="1" s="1"/>
  <c r="L1017" i="1"/>
  <c r="W1017" i="1" s="1"/>
  <c r="L1005" i="1"/>
  <c r="M1005" i="1" s="1"/>
  <c r="L993" i="1"/>
  <c r="Q993" i="1" s="1"/>
  <c r="S993" i="1" s="1"/>
  <c r="L981" i="1"/>
  <c r="W981" i="1" s="1"/>
  <c r="L969" i="1"/>
  <c r="Q969" i="1" s="1"/>
  <c r="S969" i="1" s="1"/>
  <c r="L957" i="1"/>
  <c r="Q957" i="1" s="1"/>
  <c r="S957" i="1" s="1"/>
  <c r="L945" i="1"/>
  <c r="Q945" i="1" s="1"/>
  <c r="S945" i="1" s="1"/>
  <c r="L933" i="1"/>
  <c r="Q933" i="1" s="1"/>
  <c r="S933" i="1" s="1"/>
  <c r="L921" i="1"/>
  <c r="Q921" i="1" s="1"/>
  <c r="S921" i="1" s="1"/>
  <c r="L909" i="1"/>
  <c r="Q909" i="1" s="1"/>
  <c r="S909" i="1" s="1"/>
  <c r="L897" i="1"/>
  <c r="Q897" i="1" s="1"/>
  <c r="S897" i="1" s="1"/>
  <c r="L885" i="1"/>
  <c r="Q885" i="1" s="1"/>
  <c r="S885" i="1" s="1"/>
  <c r="L873" i="1"/>
  <c r="W873" i="1" s="1"/>
  <c r="L861" i="1"/>
  <c r="M861" i="1" s="1"/>
  <c r="L849" i="1"/>
  <c r="W849" i="1" s="1"/>
  <c r="L837" i="1"/>
  <c r="M837" i="1" s="1"/>
  <c r="L825" i="1"/>
  <c r="Q825" i="1" s="1"/>
  <c r="S825" i="1" s="1"/>
  <c r="L1044" i="1"/>
  <c r="Q1044" i="1" s="1"/>
  <c r="S1044" i="1" s="1"/>
  <c r="L1055" i="1"/>
  <c r="L1043" i="1"/>
  <c r="L1042" i="1"/>
  <c r="Q1042" i="1" s="1"/>
  <c r="S1042" i="1" s="1"/>
  <c r="L1113" i="1"/>
  <c r="M1113" i="1" s="1"/>
  <c r="L1101" i="1"/>
  <c r="M1101" i="1" s="1"/>
  <c r="L1089" i="1"/>
  <c r="Q1089" i="1" s="1"/>
  <c r="S1089" i="1" s="1"/>
  <c r="L1077" i="1"/>
  <c r="Q1077" i="1" s="1"/>
  <c r="S1077" i="1" s="1"/>
  <c r="L1065" i="1"/>
  <c r="M1065" i="1" s="1"/>
  <c r="L1053" i="1"/>
  <c r="M1053" i="1" s="1"/>
  <c r="L1041" i="1"/>
  <c r="M1041" i="1" s="1"/>
  <c r="L3" i="1"/>
  <c r="W3" i="1" s="1"/>
  <c r="L1117" i="1"/>
  <c r="Q1117" i="1" s="1"/>
  <c r="S1117" i="1" s="1"/>
  <c r="L1105" i="1"/>
  <c r="Q1105" i="1" s="1"/>
  <c r="S1105" i="1" s="1"/>
  <c r="L1093" i="1"/>
  <c r="Q1093" i="1" s="1"/>
  <c r="S1093" i="1" s="1"/>
  <c r="L1081" i="1"/>
  <c r="M1081" i="1" s="1"/>
  <c r="L1188" i="1"/>
  <c r="Q1188" i="1" s="1"/>
  <c r="S1188" i="1" s="1"/>
  <c r="L1176" i="1"/>
  <c r="M1176" i="1" s="1"/>
  <c r="L1164" i="1"/>
  <c r="W1164" i="1" s="1"/>
  <c r="L1152" i="1"/>
  <c r="Q1152" i="1" s="1"/>
  <c r="S1152" i="1" s="1"/>
  <c r="L1140" i="1"/>
  <c r="M1140" i="1" s="1"/>
  <c r="L1128" i="1"/>
  <c r="Q1128" i="1" s="1"/>
  <c r="S1128" i="1" s="1"/>
  <c r="L1116" i="1"/>
  <c r="M1116" i="1" s="1"/>
  <c r="L1104" i="1"/>
  <c r="Q1104" i="1" s="1"/>
  <c r="S1104" i="1" s="1"/>
  <c r="L1092" i="1"/>
  <c r="L1080" i="1"/>
  <c r="Q1080" i="1" s="1"/>
  <c r="S1080" i="1" s="1"/>
  <c r="L1068" i="1"/>
  <c r="Q1068" i="1" s="1"/>
  <c r="S1068" i="1" s="1"/>
  <c r="L1056" i="1"/>
  <c r="Q1056" i="1" s="1"/>
  <c r="S1056" i="1" s="1"/>
  <c r="L1223" i="1"/>
  <c r="Q1223" i="1" s="1"/>
  <c r="S1223" i="1" s="1"/>
  <c r="L1211" i="1"/>
  <c r="M1211" i="1" s="1"/>
  <c r="L1199" i="1"/>
  <c r="Q1199" i="1" s="1"/>
  <c r="S1199" i="1" s="1"/>
  <c r="L1187" i="1"/>
  <c r="M1187" i="1" s="1"/>
  <c r="L1175" i="1"/>
  <c r="M1175" i="1" s="1"/>
  <c r="L1163" i="1"/>
  <c r="Q1163" i="1" s="1"/>
  <c r="S1163" i="1" s="1"/>
  <c r="L1151" i="1"/>
  <c r="M1151" i="1" s="1"/>
  <c r="L1139" i="1"/>
  <c r="Q1139" i="1" s="1"/>
  <c r="S1139" i="1" s="1"/>
  <c r="L1127" i="1"/>
  <c r="Q1127" i="1" s="1"/>
  <c r="S1127" i="1" s="1"/>
  <c r="L1115" i="1"/>
  <c r="L1103" i="1"/>
  <c r="L1091" i="1"/>
  <c r="Q1091" i="1" s="1"/>
  <c r="S1091" i="1" s="1"/>
  <c r="L1079" i="1"/>
  <c r="W1079" i="1" s="1"/>
  <c r="L1067" i="1"/>
  <c r="M1067" i="1" s="1"/>
  <c r="L1156" i="1"/>
  <c r="Q1156" i="1" s="1"/>
  <c r="S1156" i="1" s="1"/>
  <c r="L1144" i="1"/>
  <c r="Q1144" i="1" s="1"/>
  <c r="S1144" i="1" s="1"/>
  <c r="L1120" i="1"/>
  <c r="Q1120" i="1" s="1"/>
  <c r="S1120" i="1" s="1"/>
  <c r="L1239" i="1"/>
  <c r="Q1239" i="1" s="1"/>
  <c r="S1239" i="1" s="1"/>
  <c r="L1227" i="1"/>
  <c r="Q1227" i="1" s="1"/>
  <c r="S1227" i="1" s="1"/>
  <c r="L1215" i="1"/>
  <c r="Q1215" i="1" s="1"/>
  <c r="S1215" i="1" s="1"/>
  <c r="L1203" i="1"/>
  <c r="Q1203" i="1" s="1"/>
  <c r="S1203" i="1" s="1"/>
  <c r="L1191" i="1"/>
  <c r="L1179" i="1"/>
  <c r="L1167" i="1"/>
  <c r="L1155" i="1"/>
  <c r="W1155" i="1" s="1"/>
  <c r="L1143" i="1"/>
  <c r="Q1143" i="1" s="1"/>
  <c r="S1143" i="1" s="1"/>
  <c r="L1131" i="1"/>
  <c r="Q1131" i="1" s="1"/>
  <c r="S1131" i="1" s="1"/>
  <c r="L1119" i="1"/>
  <c r="M1119" i="1" s="1"/>
  <c r="L1286" i="1"/>
  <c r="Q1286" i="1" s="1"/>
  <c r="S1286" i="1" s="1"/>
  <c r="L1274" i="1"/>
  <c r="Q1274" i="1" s="1"/>
  <c r="S1274" i="1" s="1"/>
  <c r="L1262" i="1"/>
  <c r="Q1262" i="1" s="1"/>
  <c r="S1262" i="1" s="1"/>
  <c r="L1250" i="1"/>
  <c r="Q1250" i="1" s="1"/>
  <c r="S1250" i="1" s="1"/>
  <c r="L1238" i="1"/>
  <c r="L1226" i="1"/>
  <c r="L1214" i="1"/>
  <c r="Q1214" i="1" s="1"/>
  <c r="S1214" i="1" s="1"/>
  <c r="L1202" i="1"/>
  <c r="Q1202" i="1" s="1"/>
  <c r="S1202" i="1" s="1"/>
  <c r="L1190" i="1"/>
  <c r="M1190" i="1" s="1"/>
  <c r="L1178" i="1"/>
  <c r="M1178" i="1" s="1"/>
  <c r="L1166" i="1"/>
  <c r="M1166" i="1" s="1"/>
  <c r="L1273" i="1"/>
  <c r="W1273" i="1" s="1"/>
  <c r="L1261" i="1"/>
  <c r="Q1261" i="1" s="1"/>
  <c r="S1261" i="1" s="1"/>
  <c r="L1249" i="1"/>
  <c r="M1249" i="1" s="1"/>
  <c r="L1237" i="1"/>
  <c r="M1237" i="1" s="1"/>
  <c r="L1225" i="1"/>
  <c r="Q1225" i="1" s="1"/>
  <c r="S1225" i="1" s="1"/>
  <c r="L1213" i="1"/>
  <c r="L1201" i="1"/>
  <c r="Q1201" i="1" s="1"/>
  <c r="S1201" i="1" s="1"/>
  <c r="L1189" i="1"/>
  <c r="L1177" i="1"/>
  <c r="Q1177" i="1" s="1"/>
  <c r="S1177" i="1" s="1"/>
  <c r="L1165" i="1"/>
  <c r="Q1165" i="1" s="1"/>
  <c r="S1165" i="1" s="1"/>
  <c r="L1153" i="1"/>
  <c r="M1153" i="1" s="1"/>
  <c r="L1141" i="1"/>
  <c r="W1141" i="1" s="1"/>
  <c r="L1129" i="1"/>
  <c r="W1129" i="1" s="1"/>
  <c r="T408" i="1"/>
  <c r="T221" i="1"/>
  <c r="S480" i="1"/>
  <c r="T1249" i="1"/>
  <c r="T164" i="1"/>
  <c r="T170" i="1"/>
  <c r="S1126" i="1"/>
  <c r="T739" i="1"/>
  <c r="T812" i="1"/>
  <c r="T209" i="1"/>
  <c r="S1107" i="1"/>
  <c r="T563" i="1"/>
  <c r="T166" i="1"/>
  <c r="S1124" i="1"/>
  <c r="T484" i="1"/>
  <c r="T54" i="1"/>
  <c r="T186" i="1"/>
  <c r="T570" i="1"/>
  <c r="T837" i="1"/>
  <c r="T499" i="1"/>
  <c r="T1101" i="1"/>
  <c r="T216" i="1"/>
  <c r="T884" i="1"/>
  <c r="T808" i="1"/>
  <c r="T703" i="1"/>
  <c r="T96" i="1"/>
  <c r="T744" i="1"/>
  <c r="T672" i="1"/>
  <c r="T858" i="1"/>
  <c r="T491" i="1"/>
  <c r="T567" i="1"/>
  <c r="T260" i="1"/>
  <c r="T255" i="1"/>
  <c r="T988" i="1"/>
  <c r="S936" i="1"/>
  <c r="T421" i="1"/>
  <c r="T581" i="1"/>
  <c r="S1079" i="1"/>
  <c r="T1065" i="1"/>
  <c r="T637" i="1"/>
  <c r="T225" i="1"/>
  <c r="T266" i="1"/>
  <c r="T180" i="1"/>
  <c r="T151" i="1"/>
  <c r="T784" i="1"/>
  <c r="T285" i="1"/>
  <c r="T383" i="1"/>
  <c r="T116" i="1"/>
  <c r="T314" i="1"/>
  <c r="T93" i="1"/>
  <c r="T1111" i="1"/>
  <c r="T1148" i="1"/>
  <c r="T1000" i="1"/>
  <c r="T693" i="1"/>
  <c r="T1197" i="1"/>
  <c r="T579" i="1"/>
  <c r="T1069" i="1"/>
  <c r="T987" i="1"/>
  <c r="T1017" i="1"/>
  <c r="T1166" i="1"/>
  <c r="S1230" i="1"/>
  <c r="T842" i="1"/>
  <c r="T130" i="1"/>
  <c r="T883" i="1"/>
  <c r="T716" i="1"/>
  <c r="T986" i="1"/>
  <c r="T353" i="1"/>
  <c r="S922" i="1"/>
  <c r="T1081" i="1"/>
  <c r="T222" i="1"/>
  <c r="T910" i="1"/>
  <c r="T21" i="1"/>
  <c r="T282" i="1"/>
  <c r="T1059" i="1"/>
  <c r="T501" i="1"/>
  <c r="T1051" i="1"/>
  <c r="T1253" i="1"/>
  <c r="S1278" i="1"/>
  <c r="T595" i="1"/>
  <c r="S612" i="1"/>
  <c r="T252" i="1"/>
  <c r="T1222" i="1"/>
  <c r="T588" i="1"/>
  <c r="T888" i="1"/>
  <c r="T1123" i="1"/>
  <c r="T624" i="1"/>
  <c r="S262" i="1"/>
  <c r="T643" i="1"/>
  <c r="T404" i="1"/>
  <c r="T367" i="1"/>
  <c r="T896" i="1"/>
  <c r="T325" i="1"/>
  <c r="S998" i="1"/>
  <c r="T345" i="1"/>
  <c r="T686" i="1"/>
  <c r="S479" i="1"/>
  <c r="T172" i="1"/>
  <c r="T1053" i="1"/>
  <c r="S778" i="1"/>
  <c r="T600" i="1"/>
  <c r="T1141" i="1"/>
  <c r="T1237" i="1"/>
  <c r="T232" i="1"/>
  <c r="T1020" i="1"/>
  <c r="T145" i="1"/>
  <c r="T964" i="1"/>
  <c r="T547" i="1"/>
  <c r="T1032" i="1"/>
  <c r="T8" i="1"/>
  <c r="T124" i="1"/>
  <c r="T436" i="1"/>
  <c r="T1264" i="1"/>
  <c r="T529" i="1"/>
  <c r="S711" i="1"/>
  <c r="T133" i="1"/>
  <c r="T16" i="1"/>
  <c r="S756" i="1"/>
  <c r="T622" i="1"/>
  <c r="T157" i="1"/>
  <c r="T185" i="1"/>
  <c r="T1255" i="1"/>
  <c r="T375" i="1"/>
  <c r="T684" i="1"/>
  <c r="T273" i="1"/>
  <c r="T424" i="1"/>
  <c r="T240" i="1"/>
  <c r="S663" i="1"/>
  <c r="T465" i="1"/>
  <c r="T1260" i="1"/>
  <c r="T433" i="1"/>
  <c r="S1168" i="1"/>
  <c r="T474" i="1"/>
  <c r="T953" i="1"/>
  <c r="T218" i="1"/>
  <c r="S1247" i="1"/>
  <c r="T950" i="1"/>
  <c r="S1292" i="1"/>
  <c r="T616" i="1"/>
  <c r="S1119" i="1"/>
  <c r="T803" i="1"/>
  <c r="T1238" i="1"/>
  <c r="T669" i="1"/>
  <c r="T1023" i="1"/>
  <c r="T1075" i="1"/>
  <c r="T1217" i="1"/>
  <c r="T502" i="1"/>
  <c r="T195" i="1"/>
  <c r="T300" i="1"/>
  <c r="T206" i="1"/>
  <c r="T664" i="1"/>
  <c r="T620" i="1"/>
  <c r="T350" i="1"/>
  <c r="T606" i="1"/>
  <c r="T143" i="1"/>
  <c r="T248" i="1"/>
  <c r="T400" i="1"/>
  <c r="S1078" i="1"/>
  <c r="T48" i="1"/>
  <c r="S1140" i="1"/>
  <c r="T819" i="1"/>
  <c r="T191" i="1"/>
  <c r="T924" i="1"/>
  <c r="T509" i="1"/>
  <c r="T86" i="1"/>
  <c r="S601" i="1"/>
  <c r="T771" i="1"/>
  <c r="T972" i="1"/>
  <c r="T661" i="1"/>
  <c r="T17" i="1"/>
  <c r="T764" i="1"/>
  <c r="T923" i="1"/>
  <c r="T12" i="1"/>
  <c r="T729" i="1"/>
  <c r="T1083" i="1"/>
  <c r="T752" i="1"/>
  <c r="T308" i="1"/>
  <c r="S854" i="1"/>
  <c r="T432" i="1"/>
  <c r="S1122" i="1"/>
  <c r="T102" i="1"/>
  <c r="T469" i="1"/>
  <c r="T534" i="1"/>
  <c r="T1242" i="1"/>
  <c r="T247" i="1"/>
  <c r="S824" i="1"/>
  <c r="T721" i="1"/>
  <c r="T835" i="1"/>
  <c r="T713" i="1"/>
  <c r="T918" i="1"/>
  <c r="T737" i="1"/>
  <c r="T416" i="1"/>
  <c r="T1273" i="1"/>
  <c r="T463" i="1"/>
  <c r="T278" i="1"/>
  <c r="T833" i="1"/>
  <c r="T692" i="1"/>
  <c r="T562" i="1"/>
  <c r="T709" i="1"/>
  <c r="T62" i="1"/>
  <c r="S952" i="1"/>
  <c r="T101" i="1"/>
  <c r="T506" i="1"/>
  <c r="T965" i="1"/>
  <c r="T410" i="1"/>
  <c r="T634" i="1"/>
  <c r="T426" i="1"/>
  <c r="S14" i="1"/>
  <c r="S406" i="1"/>
  <c r="T274" i="1"/>
  <c r="T639" i="1"/>
  <c r="T1155" i="1"/>
  <c r="T944" i="1"/>
  <c r="T989" i="1"/>
  <c r="T894" i="1"/>
  <c r="T428" i="1"/>
  <c r="S1211" i="1"/>
  <c r="S338" i="1"/>
  <c r="S320" i="1"/>
  <c r="T1276" i="1"/>
  <c r="S724" i="1"/>
  <c r="S1134" i="1"/>
  <c r="T63" i="1"/>
  <c r="T346" i="1"/>
  <c r="T975" i="1"/>
  <c r="T127" i="1"/>
  <c r="T129" i="1"/>
  <c r="T1191" i="1"/>
  <c r="T748" i="1"/>
  <c r="T1097" i="1"/>
  <c r="T765" i="1"/>
  <c r="T949" i="1"/>
  <c r="T827" i="1"/>
  <c r="T1193" i="1"/>
  <c r="T1235" i="1"/>
  <c r="S380" i="1"/>
  <c r="S310" i="1"/>
  <c r="T955" i="1"/>
  <c r="T798" i="1"/>
  <c r="T104" i="1"/>
  <c r="T1087" i="1"/>
  <c r="T770" i="1"/>
  <c r="T472" i="1"/>
  <c r="T394" i="1"/>
  <c r="T1071" i="1"/>
  <c r="T409" i="1"/>
  <c r="T175" i="1"/>
  <c r="T1154" i="1"/>
  <c r="T796" i="1"/>
  <c r="T430" i="1"/>
  <c r="T1167" i="1"/>
  <c r="T851" i="1"/>
  <c r="T187" i="1"/>
  <c r="T297" i="1"/>
  <c r="T1178" i="1"/>
  <c r="T1190" i="1"/>
  <c r="T593" i="1"/>
  <c r="T844" i="1"/>
  <c r="T515" i="1"/>
  <c r="T617" i="1"/>
  <c r="S868" i="1"/>
  <c r="T1092" i="1"/>
  <c r="T1204" i="1"/>
  <c r="T847" i="1"/>
  <c r="T1015" i="1"/>
  <c r="T925" i="1"/>
  <c r="T122" i="1"/>
  <c r="T543" i="1"/>
  <c r="T598" i="1"/>
  <c r="T1118" i="1"/>
  <c r="S1149" i="1"/>
  <c r="T538" i="1"/>
  <c r="T91" i="1"/>
  <c r="T573" i="1"/>
  <c r="T370" i="1"/>
  <c r="T768" i="1"/>
  <c r="T691" i="1"/>
  <c r="T1036" i="1"/>
  <c r="T557" i="1"/>
  <c r="T1265" i="1"/>
  <c r="T706" i="1"/>
  <c r="S792" i="1"/>
  <c r="S306" i="1"/>
  <c r="T1270" i="1"/>
  <c r="T490" i="1"/>
  <c r="T749" i="1"/>
  <c r="S984" i="1"/>
  <c r="T73" i="1"/>
  <c r="T574" i="1"/>
  <c r="T343" i="1"/>
  <c r="T849" i="1"/>
  <c r="T990" i="1"/>
  <c r="T876" i="1"/>
  <c r="T1003" i="1"/>
  <c r="T877" i="1"/>
  <c r="T231" i="1"/>
  <c r="T138" i="1"/>
  <c r="T1289" i="1"/>
  <c r="S889" i="1"/>
  <c r="T196" i="1"/>
  <c r="S194" i="1"/>
  <c r="T662" i="1"/>
  <c r="T899" i="1"/>
  <c r="T134" i="1"/>
  <c r="T1055" i="1"/>
  <c r="T74" i="1"/>
  <c r="T943" i="1"/>
  <c r="T720" i="1"/>
  <c r="T43" i="1"/>
  <c r="T753" i="1"/>
  <c r="T519" i="1"/>
  <c r="T681" i="1"/>
  <c r="T227" i="1"/>
  <c r="S769" i="1"/>
  <c r="T1176" i="1"/>
  <c r="S1046" i="1"/>
  <c r="T959" i="1"/>
  <c r="T182" i="1"/>
  <c r="T926" i="1"/>
  <c r="T342" i="1"/>
  <c r="T197" i="1"/>
  <c r="T857" i="1"/>
  <c r="S1180" i="1"/>
  <c r="T760" i="1"/>
  <c r="T395" i="1"/>
  <c r="T1043" i="1"/>
  <c r="T1034" i="1"/>
  <c r="T655" i="1"/>
  <c r="S1280" i="1"/>
  <c r="T150" i="1"/>
  <c r="T1067" i="1"/>
  <c r="T348" i="1"/>
  <c r="T1142" i="1"/>
  <c r="S874" i="1"/>
  <c r="S1024" i="1"/>
  <c r="T458" i="1"/>
  <c r="S913" i="1"/>
  <c r="S118" i="1"/>
  <c r="T670" i="1"/>
  <c r="T82" i="1"/>
  <c r="T355" i="1"/>
  <c r="T623" i="1"/>
  <c r="T1103" i="1"/>
  <c r="T393" i="1"/>
  <c r="T1153" i="1"/>
  <c r="T109" i="1"/>
  <c r="T302" i="1"/>
  <c r="T220" i="1"/>
  <c r="T413" i="1"/>
  <c r="T234" i="1"/>
  <c r="T1151" i="1"/>
  <c r="T98" i="1"/>
  <c r="S1236" i="1"/>
  <c r="S1192" i="1"/>
  <c r="S1200" i="1"/>
  <c r="T907" i="1"/>
  <c r="T995" i="1"/>
  <c r="T199" i="1"/>
  <c r="T958" i="1"/>
  <c r="T379" i="1"/>
  <c r="T683" i="1"/>
  <c r="T468" i="1"/>
  <c r="T1285" i="1"/>
  <c r="T439" i="1"/>
  <c r="T153" i="1"/>
  <c r="T326" i="1"/>
  <c r="T560" i="1"/>
  <c r="T295" i="1"/>
  <c r="T497" i="1"/>
  <c r="T1109" i="1"/>
  <c r="T438" i="1"/>
  <c r="T517" i="1"/>
  <c r="T1218" i="1"/>
  <c r="T1195" i="1"/>
  <c r="S192" i="1"/>
  <c r="T85" i="1"/>
  <c r="T366" i="1"/>
  <c r="T856" i="1"/>
  <c r="T1182" i="1"/>
  <c r="T626" i="1"/>
  <c r="T18" i="1"/>
  <c r="T848" i="1"/>
  <c r="T779" i="1"/>
  <c r="T238" i="1"/>
  <c r="T707" i="1"/>
  <c r="T666" i="1"/>
  <c r="T540" i="1"/>
  <c r="T279" i="1"/>
  <c r="T679" i="1"/>
  <c r="T237" i="1"/>
  <c r="T1226" i="1"/>
  <c r="T256" i="1"/>
  <c r="T1133" i="1"/>
  <c r="T510" i="1"/>
  <c r="T793" i="1"/>
  <c r="T527" i="1"/>
  <c r="S961" i="1"/>
  <c r="T526" i="1"/>
  <c r="T614" i="1"/>
  <c r="T174" i="1"/>
  <c r="T1228" i="1"/>
  <c r="S610" i="1"/>
  <c r="T239" i="1"/>
  <c r="T1135" i="1"/>
  <c r="T50" i="1"/>
  <c r="T697" i="1"/>
  <c r="T565" i="1"/>
  <c r="T1085" i="1"/>
  <c r="T732" i="1"/>
  <c r="T181" i="1"/>
  <c r="T532" i="1"/>
  <c r="T1138" i="1"/>
  <c r="T494" i="1"/>
  <c r="T391" i="1"/>
  <c r="T19" i="1"/>
  <c r="T253" i="1"/>
  <c r="T652" i="1"/>
  <c r="T605" i="1"/>
  <c r="T879" i="1"/>
  <c r="S1294" i="1"/>
  <c r="T1129" i="1"/>
  <c r="T493" i="1"/>
  <c r="T981" i="1"/>
  <c r="S1196" i="1"/>
  <c r="S840" i="1"/>
  <c r="T841" i="1"/>
  <c r="S224" i="1"/>
  <c r="T41" i="1"/>
  <c r="T452" i="1"/>
  <c r="T201" i="1"/>
  <c r="T364" i="1"/>
  <c r="T1011" i="1"/>
  <c r="T611" i="1"/>
  <c r="T797" i="1"/>
  <c r="S1162" i="1"/>
  <c r="T1027" i="1"/>
  <c r="T645" i="1"/>
  <c r="T259" i="1"/>
  <c r="T376" i="1"/>
  <c r="T377" i="1"/>
  <c r="T542" i="1"/>
  <c r="S414" i="1"/>
  <c r="T418" i="1"/>
  <c r="T327" i="1"/>
  <c r="T211" i="1"/>
  <c r="T56" i="1"/>
  <c r="T1005" i="1"/>
  <c r="T57" i="1"/>
  <c r="T714" i="1"/>
  <c r="T254" i="1"/>
  <c r="T698" i="1"/>
  <c r="T522" i="1"/>
  <c r="T653" i="1"/>
  <c r="T947" i="1"/>
  <c r="T110" i="1"/>
  <c r="S148" i="1"/>
  <c r="S1125" i="1"/>
  <c r="S1164" i="1"/>
  <c r="T267" i="1"/>
  <c r="T223" i="1"/>
  <c r="T1041" i="1"/>
  <c r="T828" i="1"/>
  <c r="T873" i="1"/>
  <c r="T734" i="1"/>
  <c r="T28" i="1"/>
  <c r="T689" i="1"/>
  <c r="T168" i="1"/>
  <c r="S1296" i="1"/>
  <c r="S1108" i="1"/>
  <c r="S558" i="1"/>
  <c r="T313" i="1"/>
  <c r="T963" i="1"/>
  <c r="T725" i="1"/>
  <c r="T464" i="1"/>
  <c r="T1113" i="1"/>
  <c r="T476" i="1"/>
  <c r="T112" i="1"/>
  <c r="T763" i="1"/>
  <c r="T329" i="1"/>
  <c r="T419" i="1"/>
  <c r="T673" i="1"/>
  <c r="T937" i="1"/>
  <c r="T481" i="1"/>
  <c r="T97" i="1"/>
  <c r="T867" i="1"/>
  <c r="T1252" i="1"/>
  <c r="S385" i="1"/>
  <c r="T77" i="1"/>
  <c r="T486" i="1"/>
  <c r="T575" i="1"/>
  <c r="T746" i="1"/>
  <c r="T782" i="1"/>
  <c r="T861" i="1"/>
  <c r="T1088" i="1"/>
  <c r="T1150" i="1"/>
  <c r="T1232" i="1"/>
  <c r="T1248" i="1"/>
  <c r="T743" i="1"/>
  <c r="T1062" i="1"/>
  <c r="T552" i="1"/>
  <c r="T559" i="1"/>
  <c r="T1114" i="1"/>
  <c r="T202" i="1"/>
  <c r="T79" i="1"/>
  <c r="T425" i="1"/>
  <c r="T37" i="1"/>
  <c r="T870" i="1"/>
  <c r="T141" i="1"/>
  <c r="T1115" i="1"/>
  <c r="T36" i="1"/>
  <c r="T636" i="1"/>
  <c r="T1213" i="1"/>
  <c r="T417" i="1"/>
  <c r="T554" i="1"/>
  <c r="T654" i="1"/>
  <c r="T893" i="1"/>
  <c r="T511" i="1"/>
  <c r="T332" i="1"/>
  <c r="T1116" i="1"/>
  <c r="S263" i="1"/>
  <c r="S599" i="1"/>
  <c r="T902" i="1"/>
  <c r="T728" i="1"/>
  <c r="S1288" i="1"/>
  <c r="T1194" i="1"/>
  <c r="T388" i="1"/>
  <c r="T649" i="1"/>
  <c r="T550" i="1"/>
  <c r="T275" i="1"/>
  <c r="T927" i="1"/>
  <c r="T1039" i="1"/>
  <c r="T1184" i="1"/>
  <c r="T695" i="1"/>
  <c r="T766" i="1"/>
  <c r="T767" i="1"/>
  <c r="T1189" i="1"/>
  <c r="T120" i="1"/>
  <c r="T489" i="1"/>
  <c r="T158" i="1"/>
  <c r="T590" i="1"/>
  <c r="T280" i="1"/>
  <c r="T1076" i="1"/>
  <c r="T1040" i="1"/>
  <c r="T108" i="1"/>
  <c r="T980" i="1"/>
  <c r="T407" i="1"/>
  <c r="T290" i="1"/>
  <c r="T80" i="1"/>
  <c r="T215" i="1"/>
  <c r="T1284" i="1"/>
  <c r="T675" i="1"/>
  <c r="T1074" i="1"/>
  <c r="S270" i="1"/>
  <c r="T270" i="1"/>
  <c r="T866" i="1"/>
  <c r="S1187" i="1"/>
  <c r="T596" i="1"/>
  <c r="T357" i="1"/>
  <c r="T105" i="1"/>
  <c r="T286" i="1"/>
  <c r="T1179" i="1"/>
  <c r="T155" i="1"/>
  <c r="T789" i="1"/>
  <c r="T204" i="1"/>
  <c r="T602" i="1"/>
  <c r="T773" i="1"/>
  <c r="T316" i="1"/>
  <c r="T1006" i="1"/>
  <c r="T373" i="1"/>
  <c r="T1175" i="1"/>
  <c r="S1132" i="1"/>
  <c r="T1257" i="1"/>
  <c r="T615" i="1"/>
  <c r="T982" i="1"/>
  <c r="T676" i="1"/>
  <c r="T1158" i="1"/>
  <c r="T1096" i="1"/>
  <c r="T31" i="1"/>
  <c r="T59" i="1"/>
  <c r="T9" i="1"/>
  <c r="T32" i="1"/>
  <c r="T29" i="1"/>
  <c r="T65" i="1"/>
  <c r="T95" i="1"/>
  <c r="T10" i="1"/>
  <c r="S71" i="1"/>
  <c r="T25" i="1"/>
  <c r="T45" i="1"/>
  <c r="T53" i="1"/>
  <c r="T4" i="1"/>
  <c r="S75" i="1"/>
  <c r="T88" i="1"/>
  <c r="T64" i="1"/>
  <c r="T89" i="1"/>
  <c r="T30" i="1"/>
  <c r="T44" i="1"/>
  <c r="S3" i="1"/>
  <c r="T87" i="1"/>
  <c r="T27" i="1"/>
  <c r="S27" i="1"/>
  <c r="T46" i="1"/>
  <c r="L1114" i="1"/>
  <c r="M1114" i="1" s="1"/>
  <c r="L1102" i="1"/>
  <c r="Q1102" i="1" s="1"/>
  <c r="S1102" i="1" s="1"/>
  <c r="L1078" i="1"/>
  <c r="M1078" i="1" s="1"/>
  <c r="L1054" i="1"/>
  <c r="Q1054" i="1" s="1"/>
  <c r="S1054" i="1" s="1"/>
  <c r="L979" i="1"/>
  <c r="Q979" i="1" s="1"/>
  <c r="S979" i="1" s="1"/>
  <c r="L967" i="1"/>
  <c r="Q967" i="1" s="1"/>
  <c r="S967" i="1" s="1"/>
  <c r="L955" i="1"/>
  <c r="W955" i="1" s="1"/>
  <c r="L943" i="1"/>
  <c r="M943" i="1" s="1"/>
  <c r="L1126" i="1"/>
  <c r="M1126" i="1" s="1"/>
  <c r="L1090" i="1"/>
  <c r="Q1090" i="1" s="1"/>
  <c r="S1090" i="1" s="1"/>
  <c r="L1066" i="1"/>
  <c r="Q1066" i="1" s="1"/>
  <c r="S1066" i="1" s="1"/>
  <c r="Q5" i="1"/>
  <c r="S5" i="1" s="1"/>
  <c r="W5" i="1"/>
  <c r="L1149" i="1"/>
  <c r="M1149" i="1" s="1"/>
  <c r="L1137" i="1"/>
  <c r="Q1137" i="1" s="1"/>
  <c r="S1137" i="1" s="1"/>
  <c r="L1125" i="1"/>
  <c r="L1200" i="1"/>
  <c r="M1200" i="1" s="1"/>
  <c r="L1259" i="1"/>
  <c r="Q1259" i="1" s="1"/>
  <c r="S1259" i="1" s="1"/>
  <c r="L1247" i="1"/>
  <c r="M1247" i="1" s="1"/>
  <c r="L1235" i="1"/>
  <c r="M1235" i="1" s="1"/>
  <c r="L1174" i="1"/>
  <c r="Q1174" i="1" s="1"/>
  <c r="S1174" i="1" s="1"/>
  <c r="L1162" i="1"/>
  <c r="M1162" i="1" s="1"/>
  <c r="L1150" i="1"/>
  <c r="W1150" i="1" s="1"/>
  <c r="L1138" i="1"/>
  <c r="M1138" i="1" s="1"/>
  <c r="L1272" i="1"/>
  <c r="L1260" i="1"/>
  <c r="M1260" i="1" s="1"/>
  <c r="L1248" i="1"/>
  <c r="L1236" i="1"/>
  <c r="M1236" i="1" s="1"/>
  <c r="L1224" i="1"/>
  <c r="Q1224" i="1" s="1"/>
  <c r="S1224" i="1" s="1"/>
  <c r="L1212" i="1"/>
  <c r="L1295" i="1"/>
  <c r="Q1295" i="1" s="1"/>
  <c r="S1295" i="1" s="1"/>
  <c r="L1283" i="1"/>
  <c r="Q1283" i="1" s="1"/>
  <c r="S1283" i="1" s="1"/>
  <c r="L1271" i="1"/>
  <c r="Q1271" i="1" s="1"/>
  <c r="S1271" i="1" s="1"/>
  <c r="L1294" i="1"/>
  <c r="W1294" i="1" s="1"/>
  <c r="L1282" i="1"/>
  <c r="W1282" i="1" s="1"/>
  <c r="L1270" i="1"/>
  <c r="W1270" i="1" s="1"/>
  <c r="L1258" i="1"/>
  <c r="L1246" i="1"/>
  <c r="Q1246" i="1" s="1"/>
  <c r="S1246" i="1" s="1"/>
  <c r="L1234" i="1"/>
  <c r="Q1234" i="1" s="1"/>
  <c r="S1234" i="1" s="1"/>
  <c r="L1222" i="1"/>
  <c r="M1222" i="1" s="1"/>
  <c r="L1210" i="1"/>
  <c r="Q1210" i="1" s="1"/>
  <c r="S1210" i="1" s="1"/>
  <c r="L1198" i="1"/>
  <c r="Q1198" i="1" s="1"/>
  <c r="S1198" i="1" s="1"/>
  <c r="L1186" i="1"/>
  <c r="Q1186" i="1" s="1"/>
  <c r="S1186" i="1" s="1"/>
  <c r="L1293" i="1"/>
  <c r="Q1293" i="1" s="1"/>
  <c r="S1293" i="1" s="1"/>
  <c r="L1281" i="1"/>
  <c r="Q1281" i="1" s="1"/>
  <c r="S1281" i="1" s="1"/>
  <c r="L1269" i="1"/>
  <c r="Q1269" i="1" s="1"/>
  <c r="S1269" i="1" s="1"/>
  <c r="L1257" i="1"/>
  <c r="M1257" i="1" s="1"/>
  <c r="L1245" i="1"/>
  <c r="L1233" i="1"/>
  <c r="L1221" i="1"/>
  <c r="Q1221" i="1" s="1"/>
  <c r="S1221" i="1" s="1"/>
  <c r="L1209" i="1"/>
  <c r="Q1209" i="1" s="1"/>
  <c r="S1209" i="1" s="1"/>
  <c r="L1197" i="1"/>
  <c r="L1185" i="1"/>
  <c r="Q1185" i="1" s="1"/>
  <c r="S1185" i="1" s="1"/>
  <c r="L1173" i="1"/>
  <c r="L1161" i="1"/>
  <c r="Q1161" i="1" s="1"/>
  <c r="S1161" i="1" s="1"/>
  <c r="T750" i="1"/>
  <c r="T941" i="1"/>
  <c r="T761" i="1"/>
  <c r="T665" i="1"/>
  <c r="T269" i="1"/>
  <c r="T640" i="1"/>
  <c r="T352" i="1"/>
  <c r="T208" i="1"/>
  <c r="T303" i="1"/>
  <c r="T183" i="1"/>
  <c r="T397" i="1"/>
  <c r="T1044" i="1"/>
  <c r="T528" i="1"/>
  <c r="T539" i="1"/>
  <c r="T467" i="1"/>
  <c r="T167" i="1"/>
  <c r="T119" i="1"/>
  <c r="T846" i="1"/>
  <c r="T687" i="1"/>
  <c r="T790" i="1"/>
  <c r="T250" i="1"/>
  <c r="T906" i="1"/>
  <c r="T657" i="1"/>
  <c r="T561" i="1"/>
  <c r="T309" i="1"/>
  <c r="T249" i="1"/>
  <c r="T189" i="1"/>
  <c r="T976" i="1"/>
  <c r="T399" i="1"/>
  <c r="T872" i="1"/>
  <c r="T500" i="1"/>
  <c r="T296" i="1"/>
  <c r="T188" i="1"/>
  <c r="T128" i="1"/>
  <c r="T820" i="1"/>
  <c r="T169" i="1"/>
  <c r="T787" i="1"/>
  <c r="T715" i="1"/>
  <c r="M1238" i="1"/>
  <c r="W1238" i="1"/>
  <c r="M1226" i="1"/>
  <c r="W1226" i="1"/>
  <c r="M1214" i="1"/>
  <c r="W1214" i="1"/>
  <c r="M1202" i="1"/>
  <c r="W1202" i="1"/>
  <c r="W1166" i="1"/>
  <c r="M1154" i="1"/>
  <c r="W1154" i="1"/>
  <c r="M1142" i="1"/>
  <c r="W1142" i="1"/>
  <c r="M1130" i="1"/>
  <c r="W1130" i="1"/>
  <c r="M1118" i="1"/>
  <c r="W1118" i="1"/>
  <c r="M1106" i="1"/>
  <c r="W1106" i="1"/>
  <c r="M1094" i="1"/>
  <c r="W1094" i="1"/>
  <c r="M1082" i="1"/>
  <c r="W1082" i="1"/>
  <c r="M1070" i="1"/>
  <c r="W1070" i="1"/>
  <c r="M1058" i="1"/>
  <c r="W1058" i="1"/>
  <c r="M1046" i="1"/>
  <c r="W1046" i="1"/>
  <c r="M1034" i="1"/>
  <c r="W1034" i="1"/>
  <c r="M1022" i="1"/>
  <c r="W1022" i="1"/>
  <c r="M1010" i="1"/>
  <c r="W1010" i="1"/>
  <c r="M998" i="1"/>
  <c r="W998" i="1"/>
  <c r="M986" i="1"/>
  <c r="W986" i="1"/>
  <c r="M974" i="1"/>
  <c r="W974" i="1"/>
  <c r="M962" i="1"/>
  <c r="W962" i="1"/>
  <c r="M950" i="1"/>
  <c r="W950" i="1"/>
  <c r="M938" i="1"/>
  <c r="W938" i="1"/>
  <c r="M926" i="1"/>
  <c r="W926" i="1"/>
  <c r="M914" i="1"/>
  <c r="W914" i="1"/>
  <c r="M902" i="1"/>
  <c r="W902" i="1"/>
  <c r="M890" i="1"/>
  <c r="W890" i="1"/>
  <c r="M878" i="1"/>
  <c r="W878" i="1"/>
  <c r="M866" i="1"/>
  <c r="W866" i="1"/>
  <c r="M854" i="1"/>
  <c r="W854" i="1"/>
  <c r="M842" i="1"/>
  <c r="W842" i="1"/>
  <c r="M830" i="1"/>
  <c r="W830" i="1"/>
  <c r="M818" i="1"/>
  <c r="W818" i="1"/>
  <c r="M806" i="1"/>
  <c r="W806" i="1"/>
  <c r="M794" i="1"/>
  <c r="W794" i="1"/>
  <c r="M782" i="1"/>
  <c r="W782" i="1"/>
  <c r="M770" i="1"/>
  <c r="W770" i="1"/>
  <c r="M758" i="1"/>
  <c r="W758" i="1"/>
  <c r="M746" i="1"/>
  <c r="W746" i="1"/>
  <c r="M734" i="1"/>
  <c r="W734" i="1"/>
  <c r="M722" i="1"/>
  <c r="W722" i="1"/>
  <c r="M710" i="1"/>
  <c r="W710" i="1"/>
  <c r="M698" i="1"/>
  <c r="W698" i="1"/>
  <c r="M686" i="1"/>
  <c r="W686" i="1"/>
  <c r="M674" i="1"/>
  <c r="W674" i="1"/>
  <c r="M662" i="1"/>
  <c r="W662" i="1"/>
  <c r="M650" i="1"/>
  <c r="W650" i="1"/>
  <c r="M638" i="1"/>
  <c r="W638" i="1"/>
  <c r="M626" i="1"/>
  <c r="W626" i="1"/>
  <c r="M614" i="1"/>
  <c r="W614" i="1"/>
  <c r="M602" i="1"/>
  <c r="W602" i="1"/>
  <c r="M590" i="1"/>
  <c r="W590" i="1"/>
  <c r="M578" i="1"/>
  <c r="W578" i="1"/>
  <c r="M566" i="1"/>
  <c r="W566" i="1"/>
  <c r="M554" i="1"/>
  <c r="W554" i="1"/>
  <c r="M542" i="1"/>
  <c r="W542" i="1"/>
  <c r="M530" i="1"/>
  <c r="W530" i="1"/>
  <c r="M518" i="1"/>
  <c r="W518" i="1"/>
  <c r="M506" i="1"/>
  <c r="W506" i="1"/>
  <c r="M494" i="1"/>
  <c r="W494" i="1"/>
  <c r="M482" i="1"/>
  <c r="W482" i="1"/>
  <c r="M470" i="1"/>
  <c r="W470" i="1"/>
  <c r="M458" i="1"/>
  <c r="W458" i="1"/>
  <c r="M446" i="1"/>
  <c r="W446" i="1"/>
  <c r="M434" i="1"/>
  <c r="W434" i="1"/>
  <c r="M422" i="1"/>
  <c r="W422" i="1"/>
  <c r="M410" i="1"/>
  <c r="W410" i="1"/>
  <c r="M398" i="1"/>
  <c r="W398" i="1"/>
  <c r="M386" i="1"/>
  <c r="W386" i="1"/>
  <c r="M374" i="1"/>
  <c r="W374" i="1"/>
  <c r="M362" i="1"/>
  <c r="W362" i="1"/>
  <c r="M350" i="1"/>
  <c r="W350" i="1"/>
  <c r="M338" i="1"/>
  <c r="W338" i="1"/>
  <c r="M326" i="1"/>
  <c r="W326" i="1"/>
  <c r="M314" i="1"/>
  <c r="W314" i="1"/>
  <c r="M302" i="1"/>
  <c r="W302" i="1"/>
  <c r="M290" i="1"/>
  <c r="W290" i="1"/>
  <c r="M278" i="1"/>
  <c r="W278" i="1"/>
  <c r="M266" i="1"/>
  <c r="W266" i="1"/>
  <c r="M254" i="1"/>
  <c r="W254" i="1"/>
  <c r="M242" i="1"/>
  <c r="W242" i="1"/>
  <c r="M230" i="1"/>
  <c r="W230" i="1"/>
  <c r="M218" i="1"/>
  <c r="W218" i="1"/>
  <c r="M206" i="1"/>
  <c r="W206" i="1"/>
  <c r="M194" i="1"/>
  <c r="W194" i="1"/>
  <c r="M182" i="1"/>
  <c r="W182" i="1"/>
  <c r="M170" i="1"/>
  <c r="W170" i="1"/>
  <c r="M158" i="1"/>
  <c r="W158" i="1"/>
  <c r="M146" i="1"/>
  <c r="W146" i="1"/>
  <c r="M134" i="1"/>
  <c r="W134" i="1"/>
  <c r="M122" i="1"/>
  <c r="W122" i="1"/>
  <c r="M110" i="1"/>
  <c r="W110" i="1"/>
  <c r="M98" i="1"/>
  <c r="W98" i="1"/>
  <c r="M86" i="1"/>
  <c r="W86" i="1"/>
  <c r="M74" i="1"/>
  <c r="W74" i="1"/>
  <c r="M62" i="1"/>
  <c r="W62" i="1"/>
  <c r="M50" i="1"/>
  <c r="W50" i="1"/>
  <c r="M38" i="1"/>
  <c r="W38" i="1"/>
  <c r="M26" i="1"/>
  <c r="W26" i="1"/>
  <c r="M14" i="1"/>
  <c r="W14" i="1"/>
  <c r="M1152" i="1"/>
  <c r="W1152" i="1"/>
  <c r="M1092" i="1"/>
  <c r="W1092" i="1"/>
  <c r="M1068" i="1"/>
  <c r="W1068" i="1"/>
  <c r="W1056" i="1"/>
  <c r="M1032" i="1"/>
  <c r="W1032" i="1"/>
  <c r="M1008" i="1"/>
  <c r="W1008" i="1"/>
  <c r="M984" i="1"/>
  <c r="W984" i="1"/>
  <c r="M960" i="1"/>
  <c r="W960" i="1"/>
  <c r="M936" i="1"/>
  <c r="M924" i="1"/>
  <c r="W924" i="1"/>
  <c r="M900" i="1"/>
  <c r="W900" i="1"/>
  <c r="M876" i="1"/>
  <c r="W876" i="1"/>
  <c r="W852" i="1"/>
  <c r="M828" i="1"/>
  <c r="W828" i="1"/>
  <c r="M816" i="1"/>
  <c r="W816" i="1"/>
  <c r="M792" i="1"/>
  <c r="W792" i="1"/>
  <c r="M768" i="1"/>
  <c r="W768" i="1"/>
  <c r="M744" i="1"/>
  <c r="W744" i="1"/>
  <c r="M720" i="1"/>
  <c r="W720" i="1"/>
  <c r="M696" i="1"/>
  <c r="W696" i="1"/>
  <c r="M672" i="1"/>
  <c r="W672" i="1"/>
  <c r="M648" i="1"/>
  <c r="W648" i="1"/>
  <c r="M624" i="1"/>
  <c r="W624" i="1"/>
  <c r="M612" i="1"/>
  <c r="W612" i="1"/>
  <c r="M588" i="1"/>
  <c r="W588" i="1"/>
  <c r="M564" i="1"/>
  <c r="W564" i="1"/>
  <c r="M540" i="1"/>
  <c r="W540" i="1"/>
  <c r="M516" i="1"/>
  <c r="W516" i="1"/>
  <c r="M444" i="1"/>
  <c r="W444" i="1"/>
  <c r="M432" i="1"/>
  <c r="W432" i="1"/>
  <c r="M420" i="1"/>
  <c r="W420" i="1"/>
  <c r="M396" i="1"/>
  <c r="W396" i="1"/>
  <c r="M384" i="1"/>
  <c r="W384" i="1"/>
  <c r="M372" i="1"/>
  <c r="W372" i="1"/>
  <c r="M360" i="1"/>
  <c r="W360" i="1"/>
  <c r="M348" i="1"/>
  <c r="W348" i="1"/>
  <c r="M336" i="1"/>
  <c r="W336" i="1"/>
  <c r="M324" i="1"/>
  <c r="W324" i="1"/>
  <c r="M312" i="1"/>
  <c r="W312" i="1"/>
  <c r="M300" i="1"/>
  <c r="W300" i="1"/>
  <c r="M288" i="1"/>
  <c r="W288" i="1"/>
  <c r="M276" i="1"/>
  <c r="W276" i="1"/>
  <c r="M264" i="1"/>
  <c r="W264" i="1"/>
  <c r="M252" i="1"/>
  <c r="W252" i="1"/>
  <c r="M240" i="1"/>
  <c r="W240" i="1"/>
  <c r="M228" i="1"/>
  <c r="W228" i="1"/>
  <c r="M216" i="1"/>
  <c r="W216" i="1"/>
  <c r="M204" i="1"/>
  <c r="W204" i="1"/>
  <c r="M192" i="1"/>
  <c r="W192" i="1"/>
  <c r="M180" i="1"/>
  <c r="W180" i="1"/>
  <c r="M168" i="1"/>
  <c r="W168" i="1"/>
  <c r="M156" i="1"/>
  <c r="W156" i="1"/>
  <c r="M144" i="1"/>
  <c r="W144" i="1"/>
  <c r="M132" i="1"/>
  <c r="W132" i="1"/>
  <c r="M120" i="1"/>
  <c r="W120" i="1"/>
  <c r="M108" i="1"/>
  <c r="W108" i="1"/>
  <c r="M96" i="1"/>
  <c r="W96" i="1"/>
  <c r="M84" i="1"/>
  <c r="W84" i="1"/>
  <c r="M72" i="1"/>
  <c r="W72" i="1"/>
  <c r="M60" i="1"/>
  <c r="W60" i="1"/>
  <c r="M48" i="1"/>
  <c r="W48" i="1"/>
  <c r="M36" i="1"/>
  <c r="W36" i="1"/>
  <c r="M24" i="1"/>
  <c r="W24" i="1"/>
  <c r="M12" i="1"/>
  <c r="W12" i="1"/>
  <c r="M1297" i="1"/>
  <c r="W1297" i="1"/>
  <c r="W1261" i="1"/>
  <c r="M1213" i="1"/>
  <c r="W1213" i="1"/>
  <c r="M1201" i="1"/>
  <c r="W1201" i="1"/>
  <c r="M1189" i="1"/>
  <c r="W1189" i="1"/>
  <c r="M1117" i="1"/>
  <c r="W1117" i="1"/>
  <c r="M1105" i="1"/>
  <c r="W1105" i="1"/>
  <c r="M1093" i="1"/>
  <c r="W1093" i="1"/>
  <c r="M1069" i="1"/>
  <c r="W1069" i="1"/>
  <c r="M1057" i="1"/>
  <c r="W1057" i="1"/>
  <c r="M1045" i="1"/>
  <c r="W1045" i="1"/>
  <c r="M1033" i="1"/>
  <c r="W1033" i="1"/>
  <c r="M1021" i="1"/>
  <c r="W1021" i="1"/>
  <c r="M1009" i="1"/>
  <c r="W1009" i="1"/>
  <c r="M997" i="1"/>
  <c r="W997" i="1"/>
  <c r="M985" i="1"/>
  <c r="W985" i="1"/>
  <c r="M973" i="1"/>
  <c r="W973" i="1"/>
  <c r="M961" i="1"/>
  <c r="W961" i="1"/>
  <c r="M949" i="1"/>
  <c r="W949" i="1"/>
  <c r="M937" i="1"/>
  <c r="W937" i="1"/>
  <c r="M925" i="1"/>
  <c r="W925" i="1"/>
  <c r="M913" i="1"/>
  <c r="W913" i="1"/>
  <c r="M901" i="1"/>
  <c r="W901" i="1"/>
  <c r="M889" i="1"/>
  <c r="W889" i="1"/>
  <c r="M877" i="1"/>
  <c r="W877" i="1"/>
  <c r="M865" i="1"/>
  <c r="W865" i="1"/>
  <c r="M853" i="1"/>
  <c r="W853" i="1"/>
  <c r="M841" i="1"/>
  <c r="W841" i="1"/>
  <c r="M829" i="1"/>
  <c r="W829" i="1"/>
  <c r="M817" i="1"/>
  <c r="W817" i="1"/>
  <c r="M805" i="1"/>
  <c r="W805" i="1"/>
  <c r="M793" i="1"/>
  <c r="W793" i="1"/>
  <c r="M781" i="1"/>
  <c r="W781" i="1"/>
  <c r="M769" i="1"/>
  <c r="W769" i="1"/>
  <c r="M757" i="1"/>
  <c r="W757" i="1"/>
  <c r="M745" i="1"/>
  <c r="W745" i="1"/>
  <c r="M733" i="1"/>
  <c r="W733" i="1"/>
  <c r="M721" i="1"/>
  <c r="W721" i="1"/>
  <c r="M709" i="1"/>
  <c r="W709" i="1"/>
  <c r="M697" i="1"/>
  <c r="W697" i="1"/>
  <c r="M685" i="1"/>
  <c r="W685" i="1"/>
  <c r="M673" i="1"/>
  <c r="W673" i="1"/>
  <c r="M661" i="1"/>
  <c r="W661" i="1"/>
  <c r="M649" i="1"/>
  <c r="W649" i="1"/>
  <c r="M637" i="1"/>
  <c r="W637" i="1"/>
  <c r="M625" i="1"/>
  <c r="W625" i="1"/>
  <c r="M613" i="1"/>
  <c r="W613" i="1"/>
  <c r="M601" i="1"/>
  <c r="W601" i="1"/>
  <c r="M589" i="1"/>
  <c r="W589" i="1"/>
  <c r="M577" i="1"/>
  <c r="W577" i="1"/>
  <c r="M565" i="1"/>
  <c r="W565" i="1"/>
  <c r="M553" i="1"/>
  <c r="W553" i="1"/>
  <c r="M541" i="1"/>
  <c r="W541" i="1"/>
  <c r="M529" i="1"/>
  <c r="W529" i="1"/>
  <c r="M517" i="1"/>
  <c r="W517" i="1"/>
  <c r="M505" i="1"/>
  <c r="W505" i="1"/>
  <c r="M493" i="1"/>
  <c r="W493" i="1"/>
  <c r="M481" i="1"/>
  <c r="W481" i="1"/>
  <c r="M469" i="1"/>
  <c r="W469" i="1"/>
  <c r="M457" i="1"/>
  <c r="W457" i="1"/>
  <c r="M445" i="1"/>
  <c r="W445" i="1"/>
  <c r="M433" i="1"/>
  <c r="W433" i="1"/>
  <c r="M421" i="1"/>
  <c r="W421" i="1"/>
  <c r="M409" i="1"/>
  <c r="W409" i="1"/>
  <c r="M397" i="1"/>
  <c r="W397" i="1"/>
  <c r="M385" i="1"/>
  <c r="W385" i="1"/>
  <c r="M373" i="1"/>
  <c r="W373" i="1"/>
  <c r="M361" i="1"/>
  <c r="W361" i="1"/>
  <c r="M349" i="1"/>
  <c r="W349" i="1"/>
  <c r="M337" i="1"/>
  <c r="W337" i="1"/>
  <c r="M325" i="1"/>
  <c r="W325" i="1"/>
  <c r="M313" i="1"/>
  <c r="W313" i="1"/>
  <c r="M301" i="1"/>
  <c r="W301" i="1"/>
  <c r="M289" i="1"/>
  <c r="W289" i="1"/>
  <c r="M277" i="1"/>
  <c r="W277" i="1"/>
  <c r="M265" i="1"/>
  <c r="W265" i="1"/>
  <c r="M253" i="1"/>
  <c r="W253" i="1"/>
  <c r="M241" i="1"/>
  <c r="W241" i="1"/>
  <c r="M229" i="1"/>
  <c r="W229" i="1"/>
  <c r="M217" i="1"/>
  <c r="W217" i="1"/>
  <c r="M205" i="1"/>
  <c r="W205" i="1"/>
  <c r="M193" i="1"/>
  <c r="W193" i="1"/>
  <c r="M181" i="1"/>
  <c r="W181" i="1"/>
  <c r="M169" i="1"/>
  <c r="W169" i="1"/>
  <c r="M157" i="1"/>
  <c r="W157" i="1"/>
  <c r="M145" i="1"/>
  <c r="W145" i="1"/>
  <c r="M133" i="1"/>
  <c r="W133" i="1"/>
  <c r="M121" i="1"/>
  <c r="W121" i="1"/>
  <c r="M109" i="1"/>
  <c r="W109" i="1"/>
  <c r="M97" i="1"/>
  <c r="W97" i="1"/>
  <c r="M85" i="1"/>
  <c r="W85" i="1"/>
  <c r="M73" i="1"/>
  <c r="W73" i="1"/>
  <c r="M61" i="1"/>
  <c r="W61" i="1"/>
  <c r="M49" i="1"/>
  <c r="W49" i="1"/>
  <c r="M37" i="1"/>
  <c r="W37" i="1"/>
  <c r="M25" i="1"/>
  <c r="W25" i="1"/>
  <c r="M13" i="1"/>
  <c r="W13" i="1"/>
  <c r="M4" i="1"/>
  <c r="W4" i="1"/>
  <c r="M1248" i="1"/>
  <c r="W1248" i="1"/>
  <c r="M1080" i="1"/>
  <c r="W1080" i="1"/>
  <c r="M1044" i="1"/>
  <c r="W1044" i="1"/>
  <c r="M1020" i="1"/>
  <c r="M972" i="1"/>
  <c r="W972" i="1"/>
  <c r="M948" i="1"/>
  <c r="W948" i="1"/>
  <c r="M912" i="1"/>
  <c r="W912" i="1"/>
  <c r="M888" i="1"/>
  <c r="W888" i="1"/>
  <c r="M864" i="1"/>
  <c r="M804" i="1"/>
  <c r="W804" i="1"/>
  <c r="M780" i="1"/>
  <c r="W780" i="1"/>
  <c r="M756" i="1"/>
  <c r="W756" i="1"/>
  <c r="M732" i="1"/>
  <c r="W732" i="1"/>
  <c r="M708" i="1"/>
  <c r="W708" i="1"/>
  <c r="M684" i="1"/>
  <c r="W684" i="1"/>
  <c r="M660" i="1"/>
  <c r="W660" i="1"/>
  <c r="M636" i="1"/>
  <c r="W636" i="1"/>
  <c r="M600" i="1"/>
  <c r="W600" i="1"/>
  <c r="M576" i="1"/>
  <c r="W576" i="1"/>
  <c r="M552" i="1"/>
  <c r="W552" i="1"/>
  <c r="M528" i="1"/>
  <c r="W528" i="1"/>
  <c r="M504" i="1"/>
  <c r="W504" i="1"/>
  <c r="M492" i="1"/>
  <c r="W492" i="1"/>
  <c r="M480" i="1"/>
  <c r="W480" i="1"/>
  <c r="M468" i="1"/>
  <c r="W468" i="1"/>
  <c r="M456" i="1"/>
  <c r="W456" i="1"/>
  <c r="M408" i="1"/>
  <c r="W408" i="1"/>
  <c r="W1247" i="1"/>
  <c r="M1223" i="1"/>
  <c r="M1199" i="1"/>
  <c r="W1199" i="1"/>
  <c r="M1127" i="1"/>
  <c r="W1127" i="1"/>
  <c r="M1115" i="1"/>
  <c r="W1115" i="1"/>
  <c r="M1103" i="1"/>
  <c r="W1103" i="1"/>
  <c r="M1091" i="1"/>
  <c r="W1091" i="1"/>
  <c r="W1067" i="1"/>
  <c r="M1055" i="1"/>
  <c r="W1055" i="1"/>
  <c r="M1043" i="1"/>
  <c r="W1043" i="1"/>
  <c r="M1031" i="1"/>
  <c r="M1007" i="1"/>
  <c r="W1007" i="1"/>
  <c r="M995" i="1"/>
  <c r="W995" i="1"/>
  <c r="M983" i="1"/>
  <c r="W983" i="1"/>
  <c r="M971" i="1"/>
  <c r="W971" i="1"/>
  <c r="M959" i="1"/>
  <c r="W911" i="1"/>
  <c r="M899" i="1"/>
  <c r="W899" i="1"/>
  <c r="M887" i="1"/>
  <c r="M863" i="1"/>
  <c r="W863" i="1"/>
  <c r="M851" i="1"/>
  <c r="W851" i="1"/>
  <c r="M839" i="1"/>
  <c r="W839" i="1"/>
  <c r="M827" i="1"/>
  <c r="W827" i="1"/>
  <c r="M815" i="1"/>
  <c r="W815" i="1"/>
  <c r="M803" i="1"/>
  <c r="W803" i="1"/>
  <c r="M791" i="1"/>
  <c r="W791" i="1"/>
  <c r="M779" i="1"/>
  <c r="W779" i="1"/>
  <c r="M767" i="1"/>
  <c r="W767" i="1"/>
  <c r="M755" i="1"/>
  <c r="W755" i="1"/>
  <c r="M743" i="1"/>
  <c r="W743" i="1"/>
  <c r="M731" i="1"/>
  <c r="W731" i="1"/>
  <c r="M719" i="1"/>
  <c r="W719" i="1"/>
  <c r="M707" i="1"/>
  <c r="W707" i="1"/>
  <c r="M695" i="1"/>
  <c r="W695" i="1"/>
  <c r="M683" i="1"/>
  <c r="W683" i="1"/>
  <c r="M671" i="1"/>
  <c r="W671" i="1"/>
  <c r="M659" i="1"/>
  <c r="W659" i="1"/>
  <c r="M647" i="1"/>
  <c r="W647" i="1"/>
  <c r="M635" i="1"/>
  <c r="W635" i="1"/>
  <c r="M623" i="1"/>
  <c r="W623" i="1"/>
  <c r="M611" i="1"/>
  <c r="W611" i="1"/>
  <c r="M599" i="1"/>
  <c r="W599" i="1"/>
  <c r="M587" i="1"/>
  <c r="W587" i="1"/>
  <c r="M575" i="1"/>
  <c r="W575" i="1"/>
  <c r="M563" i="1"/>
  <c r="W563" i="1"/>
  <c r="M551" i="1"/>
  <c r="W551" i="1"/>
  <c r="M539" i="1"/>
  <c r="W539" i="1"/>
  <c r="M527" i="1"/>
  <c r="W527" i="1"/>
  <c r="M515" i="1"/>
  <c r="W515" i="1"/>
  <c r="M503" i="1"/>
  <c r="W503" i="1"/>
  <c r="M491" i="1"/>
  <c r="W491" i="1"/>
  <c r="M479" i="1"/>
  <c r="W479" i="1"/>
  <c r="M467" i="1"/>
  <c r="W467" i="1"/>
  <c r="M455" i="1"/>
  <c r="W455" i="1"/>
  <c r="M443" i="1"/>
  <c r="W443" i="1"/>
  <c r="M431" i="1"/>
  <c r="W431" i="1"/>
  <c r="M419" i="1"/>
  <c r="W419" i="1"/>
  <c r="M407" i="1"/>
  <c r="W407" i="1"/>
  <c r="M395" i="1"/>
  <c r="W395" i="1"/>
  <c r="M383" i="1"/>
  <c r="W383" i="1"/>
  <c r="M371" i="1"/>
  <c r="W371" i="1"/>
  <c r="M359" i="1"/>
  <c r="W359" i="1"/>
  <c r="M347" i="1"/>
  <c r="W347" i="1"/>
  <c r="M335" i="1"/>
  <c r="W335" i="1"/>
  <c r="M323" i="1"/>
  <c r="W323" i="1"/>
  <c r="M311" i="1"/>
  <c r="W311" i="1"/>
  <c r="M299" i="1"/>
  <c r="W299" i="1"/>
  <c r="M287" i="1"/>
  <c r="W287" i="1"/>
  <c r="M275" i="1"/>
  <c r="W275" i="1"/>
  <c r="M263" i="1"/>
  <c r="W263" i="1"/>
  <c r="M251" i="1"/>
  <c r="W251" i="1"/>
  <c r="M239" i="1"/>
  <c r="W239" i="1"/>
  <c r="M227" i="1"/>
  <c r="W227" i="1"/>
  <c r="M215" i="1"/>
  <c r="W215" i="1"/>
  <c r="M203" i="1"/>
  <c r="W203" i="1"/>
  <c r="M191" i="1"/>
  <c r="W191" i="1"/>
  <c r="M179" i="1"/>
  <c r="W179" i="1"/>
  <c r="M167" i="1"/>
  <c r="W167" i="1"/>
  <c r="M155" i="1"/>
  <c r="W155" i="1"/>
  <c r="M143" i="1"/>
  <c r="W143" i="1"/>
  <c r="M131" i="1"/>
  <c r="W131" i="1"/>
  <c r="M119" i="1"/>
  <c r="W119" i="1"/>
  <c r="M107" i="1"/>
  <c r="W107" i="1"/>
  <c r="M95" i="1"/>
  <c r="W95" i="1"/>
  <c r="M83" i="1"/>
  <c r="W83" i="1"/>
  <c r="M71" i="1"/>
  <c r="W71" i="1"/>
  <c r="M59" i="1"/>
  <c r="W59" i="1"/>
  <c r="M47" i="1"/>
  <c r="W47" i="1"/>
  <c r="M35" i="1"/>
  <c r="W35" i="1"/>
  <c r="M23" i="1"/>
  <c r="W23" i="1"/>
  <c r="M11" i="1"/>
  <c r="W11" i="1"/>
  <c r="M979" i="1"/>
  <c r="W979" i="1"/>
  <c r="M967" i="1"/>
  <c r="W967" i="1"/>
  <c r="M955" i="1"/>
  <c r="M931" i="1"/>
  <c r="W931" i="1"/>
  <c r="M919" i="1"/>
  <c r="W919" i="1"/>
  <c r="M907" i="1"/>
  <c r="W907" i="1"/>
  <c r="M895" i="1"/>
  <c r="W895" i="1"/>
  <c r="M883" i="1"/>
  <c r="W883" i="1"/>
  <c r="M871" i="1"/>
  <c r="W871" i="1"/>
  <c r="M859" i="1"/>
  <c r="W859" i="1"/>
  <c r="M847" i="1"/>
  <c r="W847" i="1"/>
  <c r="M835" i="1"/>
  <c r="W835" i="1"/>
  <c r="M823" i="1"/>
  <c r="W823" i="1"/>
  <c r="M811" i="1"/>
  <c r="W811" i="1"/>
  <c r="M799" i="1"/>
  <c r="W799" i="1"/>
  <c r="M787" i="1"/>
  <c r="W787" i="1"/>
  <c r="M775" i="1"/>
  <c r="W775" i="1"/>
  <c r="M763" i="1"/>
  <c r="W763" i="1"/>
  <c r="M751" i="1"/>
  <c r="W751" i="1"/>
  <c r="M739" i="1"/>
  <c r="W739" i="1"/>
  <c r="M727" i="1"/>
  <c r="W727" i="1"/>
  <c r="M715" i="1"/>
  <c r="W715" i="1"/>
  <c r="M703" i="1"/>
  <c r="W703" i="1"/>
  <c r="M691" i="1"/>
  <c r="W691" i="1"/>
  <c r="M679" i="1"/>
  <c r="W679" i="1"/>
  <c r="M667" i="1"/>
  <c r="W667" i="1"/>
  <c r="M655" i="1"/>
  <c r="W655" i="1"/>
  <c r="M643" i="1"/>
  <c r="W643" i="1"/>
  <c r="M631" i="1"/>
  <c r="W631" i="1"/>
  <c r="M619" i="1"/>
  <c r="W619" i="1"/>
  <c r="M607" i="1"/>
  <c r="W607" i="1"/>
  <c r="M595" i="1"/>
  <c r="W595" i="1"/>
  <c r="M583" i="1"/>
  <c r="W583" i="1"/>
  <c r="M571" i="1"/>
  <c r="W571" i="1"/>
  <c r="M559" i="1"/>
  <c r="W559" i="1"/>
  <c r="M547" i="1"/>
  <c r="W547" i="1"/>
  <c r="M535" i="1"/>
  <c r="W535" i="1"/>
  <c r="M523" i="1"/>
  <c r="W523" i="1"/>
  <c r="M511" i="1"/>
  <c r="W511" i="1"/>
  <c r="M499" i="1"/>
  <c r="W499" i="1"/>
  <c r="M487" i="1"/>
  <c r="W487" i="1"/>
  <c r="M475" i="1"/>
  <c r="W475" i="1"/>
  <c r="M463" i="1"/>
  <c r="W463" i="1"/>
  <c r="M451" i="1"/>
  <c r="W451" i="1"/>
  <c r="M439" i="1"/>
  <c r="W439" i="1"/>
  <c r="M427" i="1"/>
  <c r="W427" i="1"/>
  <c r="M415" i="1"/>
  <c r="W415" i="1"/>
  <c r="M403" i="1"/>
  <c r="W403" i="1"/>
  <c r="M391" i="1"/>
  <c r="W391" i="1"/>
  <c r="M379" i="1"/>
  <c r="W379" i="1"/>
  <c r="M367" i="1"/>
  <c r="W367" i="1"/>
  <c r="M355" i="1"/>
  <c r="W355" i="1"/>
  <c r="M343" i="1"/>
  <c r="W343" i="1"/>
  <c r="M331" i="1"/>
  <c r="W331" i="1"/>
  <c r="M319" i="1"/>
  <c r="W319" i="1"/>
  <c r="M307" i="1"/>
  <c r="W307" i="1"/>
  <c r="M295" i="1"/>
  <c r="W295" i="1"/>
  <c r="M283" i="1"/>
  <c r="W283" i="1"/>
  <c r="M271" i="1"/>
  <c r="W271" i="1"/>
  <c r="M259" i="1"/>
  <c r="W259" i="1"/>
  <c r="M247" i="1"/>
  <c r="W247" i="1"/>
  <c r="M235" i="1"/>
  <c r="W235" i="1"/>
  <c r="M223" i="1"/>
  <c r="W223" i="1"/>
  <c r="M211" i="1"/>
  <c r="W211" i="1"/>
  <c r="M199" i="1"/>
  <c r="W199" i="1"/>
  <c r="M187" i="1"/>
  <c r="W187" i="1"/>
  <c r="M175" i="1"/>
  <c r="W175" i="1"/>
  <c r="M163" i="1"/>
  <c r="W163" i="1"/>
  <c r="M151" i="1"/>
  <c r="W151" i="1"/>
  <c r="M139" i="1"/>
  <c r="W139" i="1"/>
  <c r="M127" i="1"/>
  <c r="W127" i="1"/>
  <c r="M115" i="1"/>
  <c r="W115" i="1"/>
  <c r="M103" i="1"/>
  <c r="W103" i="1"/>
  <c r="M91" i="1"/>
  <c r="W91" i="1"/>
  <c r="M79" i="1"/>
  <c r="W79" i="1"/>
  <c r="M67" i="1"/>
  <c r="W67" i="1"/>
  <c r="M55" i="1"/>
  <c r="W55" i="1"/>
  <c r="M43" i="1"/>
  <c r="W43" i="1"/>
  <c r="M31" i="1"/>
  <c r="W31" i="1"/>
  <c r="M19" i="1"/>
  <c r="W19" i="1"/>
  <c r="M7" i="1"/>
  <c r="W7" i="1"/>
  <c r="M1234" i="1"/>
  <c r="W1234" i="1"/>
  <c r="W1222" i="1"/>
  <c r="M1210" i="1"/>
  <c r="W1210" i="1"/>
  <c r="M1054" i="1"/>
  <c r="W1054" i="1"/>
  <c r="M1042" i="1"/>
  <c r="W1042" i="1"/>
  <c r="M1030" i="1"/>
  <c r="W1030" i="1"/>
  <c r="M1018" i="1"/>
  <c r="W1018" i="1"/>
  <c r="W946" i="1"/>
  <c r="M934" i="1"/>
  <c r="W934" i="1"/>
  <c r="M922" i="1"/>
  <c r="W922" i="1"/>
  <c r="M910" i="1"/>
  <c r="W910" i="1"/>
  <c r="M898" i="1"/>
  <c r="W898" i="1"/>
  <c r="M886" i="1"/>
  <c r="W886" i="1"/>
  <c r="M874" i="1"/>
  <c r="W874" i="1"/>
  <c r="M814" i="1"/>
  <c r="W814" i="1"/>
  <c r="M802" i="1"/>
  <c r="W802" i="1"/>
  <c r="M790" i="1"/>
  <c r="W790" i="1"/>
  <c r="M778" i="1"/>
  <c r="W778" i="1"/>
  <c r="M766" i="1"/>
  <c r="W766" i="1"/>
  <c r="M754" i="1"/>
  <c r="W754" i="1"/>
  <c r="M742" i="1"/>
  <c r="W742" i="1"/>
  <c r="M730" i="1"/>
  <c r="W730" i="1"/>
  <c r="M718" i="1"/>
  <c r="W718" i="1"/>
  <c r="M706" i="1"/>
  <c r="W706" i="1"/>
  <c r="M694" i="1"/>
  <c r="W694" i="1"/>
  <c r="M682" i="1"/>
  <c r="W682" i="1"/>
  <c r="M670" i="1"/>
  <c r="W670" i="1"/>
  <c r="M658" i="1"/>
  <c r="W658" i="1"/>
  <c r="M646" i="1"/>
  <c r="W646" i="1"/>
  <c r="M634" i="1"/>
  <c r="W634" i="1"/>
  <c r="M622" i="1"/>
  <c r="W622" i="1"/>
  <c r="M610" i="1"/>
  <c r="W610" i="1"/>
  <c r="M598" i="1"/>
  <c r="W598" i="1"/>
  <c r="M586" i="1"/>
  <c r="W586" i="1"/>
  <c r="M574" i="1"/>
  <c r="W574" i="1"/>
  <c r="M562" i="1"/>
  <c r="W562" i="1"/>
  <c r="M550" i="1"/>
  <c r="W550" i="1"/>
  <c r="M538" i="1"/>
  <c r="W538" i="1"/>
  <c r="M526" i="1"/>
  <c r="W526" i="1"/>
  <c r="M514" i="1"/>
  <c r="W514" i="1"/>
  <c r="M502" i="1"/>
  <c r="W502" i="1"/>
  <c r="M490" i="1"/>
  <c r="W490" i="1"/>
  <c r="M478" i="1"/>
  <c r="W478" i="1"/>
  <c r="M466" i="1"/>
  <c r="W466" i="1"/>
  <c r="M454" i="1"/>
  <c r="W454" i="1"/>
  <c r="M442" i="1"/>
  <c r="W442" i="1"/>
  <c r="M430" i="1"/>
  <c r="W430" i="1"/>
  <c r="M418" i="1"/>
  <c r="W418" i="1"/>
  <c r="M406" i="1"/>
  <c r="W406" i="1"/>
  <c r="M394" i="1"/>
  <c r="W394" i="1"/>
  <c r="M382" i="1"/>
  <c r="W382" i="1"/>
  <c r="M370" i="1"/>
  <c r="W370" i="1"/>
  <c r="M358" i="1"/>
  <c r="W358" i="1"/>
  <c r="M346" i="1"/>
  <c r="W346" i="1"/>
  <c r="M334" i="1"/>
  <c r="W334" i="1"/>
  <c r="M322" i="1"/>
  <c r="W322" i="1"/>
  <c r="M310" i="1"/>
  <c r="W310" i="1"/>
  <c r="M298" i="1"/>
  <c r="W298" i="1"/>
  <c r="M286" i="1"/>
  <c r="W286" i="1"/>
  <c r="M274" i="1"/>
  <c r="W274" i="1"/>
  <c r="M262" i="1"/>
  <c r="W262" i="1"/>
  <c r="M250" i="1"/>
  <c r="W250" i="1"/>
  <c r="M238" i="1"/>
  <c r="W238" i="1"/>
  <c r="M226" i="1"/>
  <c r="W226" i="1"/>
  <c r="M214" i="1"/>
  <c r="W214" i="1"/>
  <c r="M202" i="1"/>
  <c r="W202" i="1"/>
  <c r="M190" i="1"/>
  <c r="W190" i="1"/>
  <c r="M178" i="1"/>
  <c r="W178" i="1"/>
  <c r="M166" i="1"/>
  <c r="W166" i="1"/>
  <c r="M154" i="1"/>
  <c r="W154" i="1"/>
  <c r="M142" i="1"/>
  <c r="W142" i="1"/>
  <c r="M130" i="1"/>
  <c r="W130" i="1"/>
  <c r="M118" i="1"/>
  <c r="W118" i="1"/>
  <c r="M106" i="1"/>
  <c r="W106" i="1"/>
  <c r="M94" i="1"/>
  <c r="W94" i="1"/>
  <c r="M82" i="1"/>
  <c r="W82" i="1"/>
  <c r="M70" i="1"/>
  <c r="W70" i="1"/>
  <c r="M58" i="1"/>
  <c r="W58" i="1"/>
  <c r="M46" i="1"/>
  <c r="W46" i="1"/>
  <c r="M34" i="1"/>
  <c r="W34" i="1"/>
  <c r="M22" i="1"/>
  <c r="W22" i="1"/>
  <c r="M10" i="1"/>
  <c r="W10" i="1"/>
  <c r="M1209" i="1"/>
  <c r="W1209" i="1"/>
  <c r="M1197" i="1"/>
  <c r="W1197" i="1"/>
  <c r="W1173" i="1"/>
  <c r="M1161" i="1"/>
  <c r="M1137" i="1"/>
  <c r="W1137" i="1"/>
  <c r="M1125" i="1"/>
  <c r="W1125" i="1"/>
  <c r="M1029" i="1"/>
  <c r="W1029" i="1"/>
  <c r="M1017" i="1"/>
  <c r="M957" i="1"/>
  <c r="W957" i="1"/>
  <c r="M945" i="1"/>
  <c r="W945" i="1"/>
  <c r="M933" i="1"/>
  <c r="W933" i="1"/>
  <c r="M921" i="1"/>
  <c r="W921" i="1"/>
  <c r="M909" i="1"/>
  <c r="W909" i="1"/>
  <c r="M897" i="1"/>
  <c r="W897" i="1"/>
  <c r="M885" i="1"/>
  <c r="W885" i="1"/>
  <c r="M873" i="1"/>
  <c r="M813" i="1"/>
  <c r="W813" i="1"/>
  <c r="M801" i="1"/>
  <c r="W801" i="1"/>
  <c r="M789" i="1"/>
  <c r="W789" i="1"/>
  <c r="M777" i="1"/>
  <c r="W777" i="1"/>
  <c r="M765" i="1"/>
  <c r="W765" i="1"/>
  <c r="M753" i="1"/>
  <c r="W753" i="1"/>
  <c r="M741" i="1"/>
  <c r="W741" i="1"/>
  <c r="M729" i="1"/>
  <c r="W729" i="1"/>
  <c r="M717" i="1"/>
  <c r="W717" i="1"/>
  <c r="M705" i="1"/>
  <c r="W705" i="1"/>
  <c r="M693" i="1"/>
  <c r="W693" i="1"/>
  <c r="M681" i="1"/>
  <c r="W681" i="1"/>
  <c r="M669" i="1"/>
  <c r="W669" i="1"/>
  <c r="M657" i="1"/>
  <c r="W657" i="1"/>
  <c r="M645" i="1"/>
  <c r="W645" i="1"/>
  <c r="M633" i="1"/>
  <c r="W633" i="1"/>
  <c r="M621" i="1"/>
  <c r="W621" i="1"/>
  <c r="M609" i="1"/>
  <c r="W609" i="1"/>
  <c r="M597" i="1"/>
  <c r="W597" i="1"/>
  <c r="M585" i="1"/>
  <c r="W585" i="1"/>
  <c r="M573" i="1"/>
  <c r="W573" i="1"/>
  <c r="M561" i="1"/>
  <c r="W561" i="1"/>
  <c r="M549" i="1"/>
  <c r="W549" i="1"/>
  <c r="M537" i="1"/>
  <c r="W537" i="1"/>
  <c r="M525" i="1"/>
  <c r="W525" i="1"/>
  <c r="M513" i="1"/>
  <c r="W513" i="1"/>
  <c r="M501" i="1"/>
  <c r="W501" i="1"/>
  <c r="M489" i="1"/>
  <c r="W489" i="1"/>
  <c r="M477" i="1"/>
  <c r="W477" i="1"/>
  <c r="M465" i="1"/>
  <c r="W465" i="1"/>
  <c r="M453" i="1"/>
  <c r="W453" i="1"/>
  <c r="M441" i="1"/>
  <c r="W441" i="1"/>
  <c r="M429" i="1"/>
  <c r="W429" i="1"/>
  <c r="M417" i="1"/>
  <c r="W417" i="1"/>
  <c r="M405" i="1"/>
  <c r="W405" i="1"/>
  <c r="M393" i="1"/>
  <c r="W393" i="1"/>
  <c r="M381" i="1"/>
  <c r="W381" i="1"/>
  <c r="M369" i="1"/>
  <c r="W369" i="1"/>
  <c r="M357" i="1"/>
  <c r="W357" i="1"/>
  <c r="M345" i="1"/>
  <c r="W345" i="1"/>
  <c r="M333" i="1"/>
  <c r="W333" i="1"/>
  <c r="M321" i="1"/>
  <c r="W321" i="1"/>
  <c r="M309" i="1"/>
  <c r="W309" i="1"/>
  <c r="M297" i="1"/>
  <c r="W297" i="1"/>
  <c r="M285" i="1"/>
  <c r="W285" i="1"/>
  <c r="M273" i="1"/>
  <c r="W273" i="1"/>
  <c r="M261" i="1"/>
  <c r="W261" i="1"/>
  <c r="M249" i="1"/>
  <c r="W249" i="1"/>
  <c r="M237" i="1"/>
  <c r="W237" i="1"/>
  <c r="M225" i="1"/>
  <c r="W225" i="1"/>
  <c r="M213" i="1"/>
  <c r="W213" i="1"/>
  <c r="M201" i="1"/>
  <c r="W201" i="1"/>
  <c r="M189" i="1"/>
  <c r="W189" i="1"/>
  <c r="M177" i="1"/>
  <c r="W177" i="1"/>
  <c r="M165" i="1"/>
  <c r="W165" i="1"/>
  <c r="M153" i="1"/>
  <c r="W153" i="1"/>
  <c r="M141" i="1"/>
  <c r="W141" i="1"/>
  <c r="M129" i="1"/>
  <c r="W129" i="1"/>
  <c r="M117" i="1"/>
  <c r="W117" i="1"/>
  <c r="M105" i="1"/>
  <c r="W105" i="1"/>
  <c r="M93" i="1"/>
  <c r="W93" i="1"/>
  <c r="M81" i="1"/>
  <c r="W81" i="1"/>
  <c r="M69" i="1"/>
  <c r="W69" i="1"/>
  <c r="M57" i="1"/>
  <c r="W57" i="1"/>
  <c r="M45" i="1"/>
  <c r="W45" i="1"/>
  <c r="M33" i="1"/>
  <c r="W33" i="1"/>
  <c r="M21" i="1"/>
  <c r="W21" i="1"/>
  <c r="M9" i="1"/>
  <c r="W9" i="1"/>
  <c r="M966" i="1"/>
  <c r="W966" i="1"/>
  <c r="M954" i="1"/>
  <c r="W954" i="1"/>
  <c r="M942" i="1"/>
  <c r="W942" i="1"/>
  <c r="M930" i="1"/>
  <c r="W930" i="1"/>
  <c r="M918" i="1"/>
  <c r="W918" i="1"/>
  <c r="M906" i="1"/>
  <c r="W906" i="1"/>
  <c r="M894" i="1"/>
  <c r="W894" i="1"/>
  <c r="M882" i="1"/>
  <c r="W882" i="1"/>
  <c r="M870" i="1"/>
  <c r="W870" i="1"/>
  <c r="M858" i="1"/>
  <c r="W858" i="1"/>
  <c r="M846" i="1"/>
  <c r="W846" i="1"/>
  <c r="M834" i="1"/>
  <c r="W834" i="1"/>
  <c r="M822" i="1"/>
  <c r="W822" i="1"/>
  <c r="M810" i="1"/>
  <c r="W810" i="1"/>
  <c r="M798" i="1"/>
  <c r="W798" i="1"/>
  <c r="M786" i="1"/>
  <c r="W786" i="1"/>
  <c r="M774" i="1"/>
  <c r="W774" i="1"/>
  <c r="M762" i="1"/>
  <c r="W762" i="1"/>
  <c r="M750" i="1"/>
  <c r="W750" i="1"/>
  <c r="M738" i="1"/>
  <c r="W738" i="1"/>
  <c r="M726" i="1"/>
  <c r="W726" i="1"/>
  <c r="M714" i="1"/>
  <c r="W714" i="1"/>
  <c r="M702" i="1"/>
  <c r="W702" i="1"/>
  <c r="M690" i="1"/>
  <c r="W690" i="1"/>
  <c r="M678" i="1"/>
  <c r="W678" i="1"/>
  <c r="M666" i="1"/>
  <c r="W666" i="1"/>
  <c r="M654" i="1"/>
  <c r="W654" i="1"/>
  <c r="M642" i="1"/>
  <c r="W642" i="1"/>
  <c r="M630" i="1"/>
  <c r="W630" i="1"/>
  <c r="M618" i="1"/>
  <c r="W618" i="1"/>
  <c r="M606" i="1"/>
  <c r="W606" i="1"/>
  <c r="M594" i="1"/>
  <c r="W594" i="1"/>
  <c r="M582" i="1"/>
  <c r="W582" i="1"/>
  <c r="M570" i="1"/>
  <c r="W570" i="1"/>
  <c r="M558" i="1"/>
  <c r="W558" i="1"/>
  <c r="M546" i="1"/>
  <c r="W546" i="1"/>
  <c r="M534" i="1"/>
  <c r="W534" i="1"/>
  <c r="M522" i="1"/>
  <c r="W522" i="1"/>
  <c r="M510" i="1"/>
  <c r="W510" i="1"/>
  <c r="M498" i="1"/>
  <c r="W498" i="1"/>
  <c r="M486" i="1"/>
  <c r="W486" i="1"/>
  <c r="M474" i="1"/>
  <c r="W474" i="1"/>
  <c r="M462" i="1"/>
  <c r="W462" i="1"/>
  <c r="M450" i="1"/>
  <c r="W450" i="1"/>
  <c r="M438" i="1"/>
  <c r="W438" i="1"/>
  <c r="M426" i="1"/>
  <c r="W426" i="1"/>
  <c r="M414" i="1"/>
  <c r="W414" i="1"/>
  <c r="M402" i="1"/>
  <c r="W402" i="1"/>
  <c r="M390" i="1"/>
  <c r="W390" i="1"/>
  <c r="M378" i="1"/>
  <c r="W378" i="1"/>
  <c r="M366" i="1"/>
  <c r="W366" i="1"/>
  <c r="M354" i="1"/>
  <c r="W354" i="1"/>
  <c r="M342" i="1"/>
  <c r="W342" i="1"/>
  <c r="M330" i="1"/>
  <c r="W330" i="1"/>
  <c r="M318" i="1"/>
  <c r="W318" i="1"/>
  <c r="M306" i="1"/>
  <c r="W306" i="1"/>
  <c r="M294" i="1"/>
  <c r="W294" i="1"/>
  <c r="M282" i="1"/>
  <c r="W282" i="1"/>
  <c r="M270" i="1"/>
  <c r="W270" i="1"/>
  <c r="M258" i="1"/>
  <c r="W258" i="1"/>
  <c r="M246" i="1"/>
  <c r="W246" i="1"/>
  <c r="M234" i="1"/>
  <c r="W234" i="1"/>
  <c r="M222" i="1"/>
  <c r="W222" i="1"/>
  <c r="M210" i="1"/>
  <c r="W210" i="1"/>
  <c r="M198" i="1"/>
  <c r="W198" i="1"/>
  <c r="M186" i="1"/>
  <c r="W186" i="1"/>
  <c r="M174" i="1"/>
  <c r="W174" i="1"/>
  <c r="M162" i="1"/>
  <c r="W162" i="1"/>
  <c r="M150" i="1"/>
  <c r="W150" i="1"/>
  <c r="M138" i="1"/>
  <c r="W138" i="1"/>
  <c r="M126" i="1"/>
  <c r="W126" i="1"/>
  <c r="M114" i="1"/>
  <c r="W114" i="1"/>
  <c r="M102" i="1"/>
  <c r="W102" i="1"/>
  <c r="M90" i="1"/>
  <c r="W90" i="1"/>
  <c r="M78" i="1"/>
  <c r="W78" i="1"/>
  <c r="M66" i="1"/>
  <c r="W66" i="1"/>
  <c r="M54" i="1"/>
  <c r="W54" i="1"/>
  <c r="M42" i="1"/>
  <c r="W42" i="1"/>
  <c r="M30" i="1"/>
  <c r="W30" i="1"/>
  <c r="M18" i="1"/>
  <c r="W18" i="1"/>
  <c r="M6" i="1"/>
  <c r="W6" i="1"/>
  <c r="M941" i="1"/>
  <c r="W941" i="1"/>
  <c r="M929" i="1"/>
  <c r="W929" i="1"/>
  <c r="M917" i="1"/>
  <c r="W917" i="1"/>
  <c r="M905" i="1"/>
  <c r="W905" i="1"/>
  <c r="M893" i="1"/>
  <c r="W893" i="1"/>
  <c r="M881" i="1"/>
  <c r="W881" i="1"/>
  <c r="M869" i="1"/>
  <c r="W869" i="1"/>
  <c r="M857" i="1"/>
  <c r="W857" i="1"/>
  <c r="M845" i="1"/>
  <c r="W845" i="1"/>
  <c r="M833" i="1"/>
  <c r="W833" i="1"/>
  <c r="M821" i="1"/>
  <c r="W821" i="1"/>
  <c r="M809" i="1"/>
  <c r="W809" i="1"/>
  <c r="M797" i="1"/>
  <c r="W797" i="1"/>
  <c r="M785" i="1"/>
  <c r="W785" i="1"/>
  <c r="M773" i="1"/>
  <c r="W773" i="1"/>
  <c r="M761" i="1"/>
  <c r="W761" i="1"/>
  <c r="M749" i="1"/>
  <c r="W749" i="1"/>
  <c r="M737" i="1"/>
  <c r="W737" i="1"/>
  <c r="M725" i="1"/>
  <c r="W725" i="1"/>
  <c r="M713" i="1"/>
  <c r="W713" i="1"/>
  <c r="M701" i="1"/>
  <c r="W701" i="1"/>
  <c r="M689" i="1"/>
  <c r="W689" i="1"/>
  <c r="M677" i="1"/>
  <c r="W677" i="1"/>
  <c r="M665" i="1"/>
  <c r="W665" i="1"/>
  <c r="M653" i="1"/>
  <c r="W653" i="1"/>
  <c r="M641" i="1"/>
  <c r="W641" i="1"/>
  <c r="M629" i="1"/>
  <c r="W629" i="1"/>
  <c r="M617" i="1"/>
  <c r="W617" i="1"/>
  <c r="M605" i="1"/>
  <c r="W605" i="1"/>
  <c r="M593" i="1"/>
  <c r="W593" i="1"/>
  <c r="M581" i="1"/>
  <c r="W581" i="1"/>
  <c r="M569" i="1"/>
  <c r="W569" i="1"/>
  <c r="M557" i="1"/>
  <c r="W557" i="1"/>
  <c r="M545" i="1"/>
  <c r="W545" i="1"/>
  <c r="M533" i="1"/>
  <c r="W533" i="1"/>
  <c r="M521" i="1"/>
  <c r="W521" i="1"/>
  <c r="M509" i="1"/>
  <c r="W509" i="1"/>
  <c r="M497" i="1"/>
  <c r="W497" i="1"/>
  <c r="M485" i="1"/>
  <c r="W485" i="1"/>
  <c r="M473" i="1"/>
  <c r="W473" i="1"/>
  <c r="M461" i="1"/>
  <c r="W461" i="1"/>
  <c r="M449" i="1"/>
  <c r="W449" i="1"/>
  <c r="M437" i="1"/>
  <c r="W437" i="1"/>
  <c r="M425" i="1"/>
  <c r="W425" i="1"/>
  <c r="M413" i="1"/>
  <c r="W413" i="1"/>
  <c r="M401" i="1"/>
  <c r="W401" i="1"/>
  <c r="M389" i="1"/>
  <c r="W389" i="1"/>
  <c r="M377" i="1"/>
  <c r="W377" i="1"/>
  <c r="M365" i="1"/>
  <c r="W365" i="1"/>
  <c r="M353" i="1"/>
  <c r="W353" i="1"/>
  <c r="M341" i="1"/>
  <c r="W341" i="1"/>
  <c r="M329" i="1"/>
  <c r="W329" i="1"/>
  <c r="M317" i="1"/>
  <c r="W317" i="1"/>
  <c r="M305" i="1"/>
  <c r="W305" i="1"/>
  <c r="M293" i="1"/>
  <c r="W293" i="1"/>
  <c r="M281" i="1"/>
  <c r="W281" i="1"/>
  <c r="M269" i="1"/>
  <c r="W269" i="1"/>
  <c r="M257" i="1"/>
  <c r="W257" i="1"/>
  <c r="M245" i="1"/>
  <c r="W245" i="1"/>
  <c r="M233" i="1"/>
  <c r="W233" i="1"/>
  <c r="M221" i="1"/>
  <c r="W221" i="1"/>
  <c r="M209" i="1"/>
  <c r="W209" i="1"/>
  <c r="M197" i="1"/>
  <c r="W197" i="1"/>
  <c r="M185" i="1"/>
  <c r="W185" i="1"/>
  <c r="M173" i="1"/>
  <c r="W173" i="1"/>
  <c r="M161" i="1"/>
  <c r="W161" i="1"/>
  <c r="M149" i="1"/>
  <c r="W149" i="1"/>
  <c r="M137" i="1"/>
  <c r="W137" i="1"/>
  <c r="M125" i="1"/>
  <c r="W125" i="1"/>
  <c r="M113" i="1"/>
  <c r="W113" i="1"/>
  <c r="M101" i="1"/>
  <c r="W101" i="1"/>
  <c r="M89" i="1"/>
  <c r="W89" i="1"/>
  <c r="M77" i="1"/>
  <c r="W77" i="1"/>
  <c r="M65" i="1"/>
  <c r="W65" i="1"/>
  <c r="M53" i="1"/>
  <c r="W53" i="1"/>
  <c r="M41" i="1"/>
  <c r="W41" i="1"/>
  <c r="M29" i="1"/>
  <c r="W29" i="1"/>
  <c r="M17" i="1"/>
  <c r="W17" i="1"/>
  <c r="M5" i="1"/>
  <c r="L1276" i="1"/>
  <c r="L1264" i="1"/>
  <c r="L1252" i="1"/>
  <c r="L1240" i="1"/>
  <c r="Q1240" i="1" s="1"/>
  <c r="S1240" i="1" s="1"/>
  <c r="L1228" i="1"/>
  <c r="L1216" i="1"/>
  <c r="Q1216" i="1" s="1"/>
  <c r="S1216" i="1" s="1"/>
  <c r="L1192" i="1"/>
  <c r="M1108" i="1"/>
  <c r="W1108" i="1"/>
  <c r="M1084" i="1"/>
  <c r="W1084" i="1"/>
  <c r="M1072" i="1"/>
  <c r="W1072" i="1"/>
  <c r="M1060" i="1"/>
  <c r="W1060" i="1"/>
  <c r="M1048" i="1"/>
  <c r="W1048" i="1"/>
  <c r="M1024" i="1"/>
  <c r="W1024" i="1"/>
  <c r="M1012" i="1"/>
  <c r="W1012" i="1"/>
  <c r="M1000" i="1"/>
  <c r="W1000" i="1"/>
  <c r="M988" i="1"/>
  <c r="W988" i="1"/>
  <c r="M976" i="1"/>
  <c r="W976" i="1"/>
  <c r="M964" i="1"/>
  <c r="W964" i="1"/>
  <c r="M952" i="1"/>
  <c r="W952" i="1"/>
  <c r="M940" i="1"/>
  <c r="W940" i="1"/>
  <c r="M928" i="1"/>
  <c r="W928" i="1"/>
  <c r="M916" i="1"/>
  <c r="W916" i="1"/>
  <c r="M904" i="1"/>
  <c r="W904" i="1"/>
  <c r="M892" i="1"/>
  <c r="W892" i="1"/>
  <c r="M880" i="1"/>
  <c r="W880" i="1"/>
  <c r="M868" i="1"/>
  <c r="W868" i="1"/>
  <c r="M844" i="1"/>
  <c r="W844" i="1"/>
  <c r="M832" i="1"/>
  <c r="W832" i="1"/>
  <c r="M820" i="1"/>
  <c r="W820" i="1"/>
  <c r="M808" i="1"/>
  <c r="W808" i="1"/>
  <c r="M796" i="1"/>
  <c r="W796" i="1"/>
  <c r="M784" i="1"/>
  <c r="W784" i="1"/>
  <c r="M772" i="1"/>
  <c r="W772" i="1"/>
  <c r="M736" i="1"/>
  <c r="W736" i="1"/>
  <c r="M724" i="1"/>
  <c r="W724" i="1"/>
  <c r="M712" i="1"/>
  <c r="W712" i="1"/>
  <c r="M700" i="1"/>
  <c r="W700" i="1"/>
  <c r="M688" i="1"/>
  <c r="W688" i="1"/>
  <c r="M664" i="1"/>
  <c r="W664" i="1"/>
  <c r="M652" i="1"/>
  <c r="W652" i="1"/>
  <c r="M640" i="1"/>
  <c r="W640" i="1"/>
  <c r="M628" i="1"/>
  <c r="W628" i="1"/>
  <c r="M616" i="1"/>
  <c r="W616" i="1"/>
  <c r="M604" i="1"/>
  <c r="W604" i="1"/>
  <c r="M592" i="1"/>
  <c r="W592" i="1"/>
  <c r="M580" i="1"/>
  <c r="W580" i="1"/>
  <c r="M568" i="1"/>
  <c r="W568" i="1"/>
  <c r="M556" i="1"/>
  <c r="W556" i="1"/>
  <c r="M544" i="1"/>
  <c r="W544" i="1"/>
  <c r="M520" i="1"/>
  <c r="W520" i="1"/>
  <c r="M508" i="1"/>
  <c r="W508" i="1"/>
  <c r="M496" i="1"/>
  <c r="W496" i="1"/>
  <c r="M484" i="1"/>
  <c r="W484" i="1"/>
  <c r="M472" i="1"/>
  <c r="W472" i="1"/>
  <c r="M460" i="1"/>
  <c r="W460" i="1"/>
  <c r="M448" i="1"/>
  <c r="W448" i="1"/>
  <c r="M436" i="1"/>
  <c r="W436" i="1"/>
  <c r="M424" i="1"/>
  <c r="W424" i="1"/>
  <c r="M412" i="1"/>
  <c r="W412" i="1"/>
  <c r="M388" i="1"/>
  <c r="W388" i="1"/>
  <c r="M376" i="1"/>
  <c r="W376" i="1"/>
  <c r="M364" i="1"/>
  <c r="W364" i="1"/>
  <c r="M352" i="1"/>
  <c r="W352" i="1"/>
  <c r="M340" i="1"/>
  <c r="W340" i="1"/>
  <c r="M328" i="1"/>
  <c r="W328" i="1"/>
  <c r="M304" i="1"/>
  <c r="W304" i="1"/>
  <c r="M292" i="1"/>
  <c r="W292" i="1"/>
  <c r="M268" i="1"/>
  <c r="W268" i="1"/>
  <c r="M256" i="1"/>
  <c r="W256" i="1"/>
  <c r="M244" i="1"/>
  <c r="W244" i="1"/>
  <c r="M232" i="1"/>
  <c r="W232" i="1"/>
  <c r="M220" i="1"/>
  <c r="W220" i="1"/>
  <c r="M208" i="1"/>
  <c r="W208" i="1"/>
  <c r="M184" i="1"/>
  <c r="W184" i="1"/>
  <c r="M160" i="1"/>
  <c r="W160" i="1"/>
  <c r="M148" i="1"/>
  <c r="W148" i="1"/>
  <c r="M136" i="1"/>
  <c r="W136" i="1"/>
  <c r="M100" i="1"/>
  <c r="W100" i="1"/>
  <c r="M76" i="1"/>
  <c r="W76" i="1"/>
  <c r="M64" i="1"/>
  <c r="W64" i="1"/>
  <c r="M52" i="1"/>
  <c r="W52" i="1"/>
  <c r="M40" i="1"/>
  <c r="W40" i="1"/>
  <c r="M16" i="1"/>
  <c r="W16" i="1"/>
  <c r="M980" i="1"/>
  <c r="W980" i="1"/>
  <c r="M968" i="1"/>
  <c r="W968" i="1"/>
  <c r="M956" i="1"/>
  <c r="W956" i="1"/>
  <c r="M944" i="1"/>
  <c r="W944" i="1"/>
  <c r="M932" i="1"/>
  <c r="W932" i="1"/>
  <c r="M920" i="1"/>
  <c r="W920" i="1"/>
  <c r="M908" i="1"/>
  <c r="W908" i="1"/>
  <c r="M896" i="1"/>
  <c r="W896" i="1"/>
  <c r="M884" i="1"/>
  <c r="W884" i="1"/>
  <c r="M872" i="1"/>
  <c r="W872" i="1"/>
  <c r="M860" i="1"/>
  <c r="W860" i="1"/>
  <c r="M848" i="1"/>
  <c r="W848" i="1"/>
  <c r="M836" i="1"/>
  <c r="W836" i="1"/>
  <c r="M824" i="1"/>
  <c r="W824" i="1"/>
  <c r="M812" i="1"/>
  <c r="W812" i="1"/>
  <c r="M800" i="1"/>
  <c r="W800" i="1"/>
  <c r="M788" i="1"/>
  <c r="W788" i="1"/>
  <c r="M776" i="1"/>
  <c r="W776" i="1"/>
  <c r="M764" i="1"/>
  <c r="W764" i="1"/>
  <c r="M752" i="1"/>
  <c r="W752" i="1"/>
  <c r="M740" i="1"/>
  <c r="W740" i="1"/>
  <c r="M728" i="1"/>
  <c r="W728" i="1"/>
  <c r="M716" i="1"/>
  <c r="W716" i="1"/>
  <c r="M704" i="1"/>
  <c r="W704" i="1"/>
  <c r="M692" i="1"/>
  <c r="W692" i="1"/>
  <c r="M680" i="1"/>
  <c r="W680" i="1"/>
  <c r="M668" i="1"/>
  <c r="W668" i="1"/>
  <c r="M656" i="1"/>
  <c r="W656" i="1"/>
  <c r="M644" i="1"/>
  <c r="W644" i="1"/>
  <c r="M632" i="1"/>
  <c r="W632" i="1"/>
  <c r="M620" i="1"/>
  <c r="W620" i="1"/>
  <c r="M608" i="1"/>
  <c r="W608" i="1"/>
  <c r="M596" i="1"/>
  <c r="W596" i="1"/>
  <c r="M584" i="1"/>
  <c r="W584" i="1"/>
  <c r="M572" i="1"/>
  <c r="W572" i="1"/>
  <c r="M560" i="1"/>
  <c r="W560" i="1"/>
  <c r="M548" i="1"/>
  <c r="W548" i="1"/>
  <c r="M536" i="1"/>
  <c r="W536" i="1"/>
  <c r="M524" i="1"/>
  <c r="W524" i="1"/>
  <c r="M512" i="1"/>
  <c r="W512" i="1"/>
  <c r="M500" i="1"/>
  <c r="W500" i="1"/>
  <c r="M488" i="1"/>
  <c r="W488" i="1"/>
  <c r="M476" i="1"/>
  <c r="W476" i="1"/>
  <c r="M464" i="1"/>
  <c r="W464" i="1"/>
  <c r="M452" i="1"/>
  <c r="W452" i="1"/>
  <c r="M440" i="1"/>
  <c r="W440" i="1"/>
  <c r="M428" i="1"/>
  <c r="W428" i="1"/>
  <c r="M416" i="1"/>
  <c r="W416" i="1"/>
  <c r="M404" i="1"/>
  <c r="W404" i="1"/>
  <c r="M392" i="1"/>
  <c r="W392" i="1"/>
  <c r="M380" i="1"/>
  <c r="W380" i="1"/>
  <c r="M368" i="1"/>
  <c r="W368" i="1"/>
  <c r="M356" i="1"/>
  <c r="W356" i="1"/>
  <c r="M344" i="1"/>
  <c r="W344" i="1"/>
  <c r="M332" i="1"/>
  <c r="W332" i="1"/>
  <c r="M320" i="1"/>
  <c r="W320" i="1"/>
  <c r="M308" i="1"/>
  <c r="W308" i="1"/>
  <c r="M296" i="1"/>
  <c r="W296" i="1"/>
  <c r="M284" i="1"/>
  <c r="W284" i="1"/>
  <c r="M272" i="1"/>
  <c r="W272" i="1"/>
  <c r="M260" i="1"/>
  <c r="W260" i="1"/>
  <c r="M248" i="1"/>
  <c r="W248" i="1"/>
  <c r="M236" i="1"/>
  <c r="W236" i="1"/>
  <c r="M224" i="1"/>
  <c r="W224" i="1"/>
  <c r="M212" i="1"/>
  <c r="W212" i="1"/>
  <c r="M200" i="1"/>
  <c r="W200" i="1"/>
  <c r="M188" i="1"/>
  <c r="W188" i="1"/>
  <c r="M176" i="1"/>
  <c r="W176" i="1"/>
  <c r="M164" i="1"/>
  <c r="W164" i="1"/>
  <c r="M152" i="1"/>
  <c r="W152" i="1"/>
  <c r="M140" i="1"/>
  <c r="W140" i="1"/>
  <c r="M128" i="1"/>
  <c r="W128" i="1"/>
  <c r="M116" i="1"/>
  <c r="W116" i="1"/>
  <c r="M104" i="1"/>
  <c r="W104" i="1"/>
  <c r="M92" i="1"/>
  <c r="W92" i="1"/>
  <c r="M80" i="1"/>
  <c r="W80" i="1"/>
  <c r="M68" i="1"/>
  <c r="W68" i="1"/>
  <c r="M56" i="1"/>
  <c r="W56" i="1"/>
  <c r="M44" i="1"/>
  <c r="W44" i="1"/>
  <c r="M32" i="1"/>
  <c r="W32" i="1"/>
  <c r="M20" i="1"/>
  <c r="W20" i="1"/>
  <c r="M8" i="1"/>
  <c r="W8" i="1"/>
  <c r="L1275" i="1"/>
  <c r="Q1275" i="1" s="1"/>
  <c r="S1275" i="1" s="1"/>
  <c r="L1263" i="1"/>
  <c r="Q1263" i="1" s="1"/>
  <c r="S1263" i="1" s="1"/>
  <c r="L1251" i="1"/>
  <c r="Q1251" i="1" s="1"/>
  <c r="S1251" i="1" s="1"/>
  <c r="M1203" i="1"/>
  <c r="W1203" i="1"/>
  <c r="M1191" i="1"/>
  <c r="W1191" i="1"/>
  <c r="M1179" i="1"/>
  <c r="W1179" i="1"/>
  <c r="M1167" i="1"/>
  <c r="W1167" i="1"/>
  <c r="M1155" i="1"/>
  <c r="M1131" i="1"/>
  <c r="M1107" i="1"/>
  <c r="W1107" i="1"/>
  <c r="M1095" i="1"/>
  <c r="W1095" i="1"/>
  <c r="M1083" i="1"/>
  <c r="W1083" i="1"/>
  <c r="M1071" i="1"/>
  <c r="W1071" i="1"/>
  <c r="M1059" i="1"/>
  <c r="W1059" i="1"/>
  <c r="M1047" i="1"/>
  <c r="W1047" i="1"/>
  <c r="M1035" i="1"/>
  <c r="W1035" i="1"/>
  <c r="M1023" i="1"/>
  <c r="W1023" i="1"/>
  <c r="M1011" i="1"/>
  <c r="W1011" i="1"/>
  <c r="M999" i="1"/>
  <c r="W999" i="1"/>
  <c r="M987" i="1"/>
  <c r="W987" i="1"/>
  <c r="M975" i="1"/>
  <c r="W975" i="1"/>
  <c r="M963" i="1"/>
  <c r="W963" i="1"/>
  <c r="M951" i="1"/>
  <c r="W951" i="1"/>
  <c r="M939" i="1"/>
  <c r="W939" i="1"/>
  <c r="M927" i="1"/>
  <c r="W927" i="1"/>
  <c r="M915" i="1"/>
  <c r="W915" i="1"/>
  <c r="M903" i="1"/>
  <c r="W903" i="1"/>
  <c r="M891" i="1"/>
  <c r="W891" i="1"/>
  <c r="M879" i="1"/>
  <c r="W879" i="1"/>
  <c r="M867" i="1"/>
  <c r="W867" i="1"/>
  <c r="M855" i="1"/>
  <c r="W855" i="1"/>
  <c r="M843" i="1"/>
  <c r="W843" i="1"/>
  <c r="M831" i="1"/>
  <c r="W831" i="1"/>
  <c r="M819" i="1"/>
  <c r="W819" i="1"/>
  <c r="M807" i="1"/>
  <c r="W807" i="1"/>
  <c r="M795" i="1"/>
  <c r="W795" i="1"/>
  <c r="M783" i="1"/>
  <c r="W783" i="1"/>
  <c r="M771" i="1"/>
  <c r="W771" i="1"/>
  <c r="M759" i="1"/>
  <c r="W759" i="1"/>
  <c r="M747" i="1"/>
  <c r="W747" i="1"/>
  <c r="M735" i="1"/>
  <c r="W735" i="1"/>
  <c r="M723" i="1"/>
  <c r="W723" i="1"/>
  <c r="M711" i="1"/>
  <c r="W711" i="1"/>
  <c r="M699" i="1"/>
  <c r="W699" i="1"/>
  <c r="M687" i="1"/>
  <c r="W687" i="1"/>
  <c r="M675" i="1"/>
  <c r="W675" i="1"/>
  <c r="M663" i="1"/>
  <c r="W663" i="1"/>
  <c r="M651" i="1"/>
  <c r="W651" i="1"/>
  <c r="M639" i="1"/>
  <c r="W639" i="1"/>
  <c r="M627" i="1"/>
  <c r="W627" i="1"/>
  <c r="M615" i="1"/>
  <c r="W615" i="1"/>
  <c r="M603" i="1"/>
  <c r="W603" i="1"/>
  <c r="M591" i="1"/>
  <c r="W591" i="1"/>
  <c r="M579" i="1"/>
  <c r="W579" i="1"/>
  <c r="M567" i="1"/>
  <c r="W567" i="1"/>
  <c r="M555" i="1"/>
  <c r="W555" i="1"/>
  <c r="M543" i="1"/>
  <c r="W543" i="1"/>
  <c r="M531" i="1"/>
  <c r="W531" i="1"/>
  <c r="M519" i="1"/>
  <c r="W519" i="1"/>
  <c r="M507" i="1"/>
  <c r="W507" i="1"/>
  <c r="M495" i="1"/>
  <c r="W495" i="1"/>
  <c r="M483" i="1"/>
  <c r="W483" i="1"/>
  <c r="M471" i="1"/>
  <c r="W471" i="1"/>
  <c r="M459" i="1"/>
  <c r="W459" i="1"/>
  <c r="M447" i="1"/>
  <c r="W447" i="1"/>
  <c r="M435" i="1"/>
  <c r="W435" i="1"/>
  <c r="M423" i="1"/>
  <c r="W423" i="1"/>
  <c r="M411" i="1"/>
  <c r="W411" i="1"/>
  <c r="M399" i="1"/>
  <c r="W399" i="1"/>
  <c r="M387" i="1"/>
  <c r="W387" i="1"/>
  <c r="M375" i="1"/>
  <c r="W375" i="1"/>
  <c r="M363" i="1"/>
  <c r="W363" i="1"/>
  <c r="M351" i="1"/>
  <c r="W351" i="1"/>
  <c r="M339" i="1"/>
  <c r="W339" i="1"/>
  <c r="M327" i="1"/>
  <c r="W327" i="1"/>
  <c r="M315" i="1"/>
  <c r="W315" i="1"/>
  <c r="M303" i="1"/>
  <c r="W303" i="1"/>
  <c r="M291" i="1"/>
  <c r="W291" i="1"/>
  <c r="M279" i="1"/>
  <c r="W279" i="1"/>
  <c r="M267" i="1"/>
  <c r="W267" i="1"/>
  <c r="M255" i="1"/>
  <c r="W255" i="1"/>
  <c r="M243" i="1"/>
  <c r="W243" i="1"/>
  <c r="M231" i="1"/>
  <c r="W231" i="1"/>
  <c r="M219" i="1"/>
  <c r="W219" i="1"/>
  <c r="M207" i="1"/>
  <c r="W207" i="1"/>
  <c r="M195" i="1"/>
  <c r="W195" i="1"/>
  <c r="M183" i="1"/>
  <c r="W183" i="1"/>
  <c r="M171" i="1"/>
  <c r="W171" i="1"/>
  <c r="M159" i="1"/>
  <c r="W159" i="1"/>
  <c r="M147" i="1"/>
  <c r="W147" i="1"/>
  <c r="M135" i="1"/>
  <c r="W135" i="1"/>
  <c r="M123" i="1"/>
  <c r="W123" i="1"/>
  <c r="M111" i="1"/>
  <c r="W111" i="1"/>
  <c r="M99" i="1"/>
  <c r="W99" i="1"/>
  <c r="M87" i="1"/>
  <c r="W87" i="1"/>
  <c r="M75" i="1"/>
  <c r="W75" i="1"/>
  <c r="M63" i="1"/>
  <c r="W63" i="1"/>
  <c r="M51" i="1"/>
  <c r="W51" i="1"/>
  <c r="M39" i="1"/>
  <c r="W39" i="1"/>
  <c r="M27" i="1"/>
  <c r="W27" i="1"/>
  <c r="M15" i="1"/>
  <c r="W15" i="1"/>
  <c r="L1285" i="1"/>
  <c r="L1296" i="1"/>
  <c r="L1284" i="1"/>
  <c r="L1291" i="1"/>
  <c r="Q1291" i="1" s="1"/>
  <c r="S1291" i="1" s="1"/>
  <c r="L1279" i="1"/>
  <c r="Q1279" i="1" s="1"/>
  <c r="S1279" i="1" s="1"/>
  <c r="L1267" i="1"/>
  <c r="Q1267" i="1" s="1"/>
  <c r="S1267" i="1" s="1"/>
  <c r="L1255" i="1"/>
  <c r="L1243" i="1"/>
  <c r="Q1243" i="1" s="1"/>
  <c r="S1243" i="1" s="1"/>
  <c r="L1231" i="1"/>
  <c r="Q1231" i="1" s="1"/>
  <c r="S1231" i="1" s="1"/>
  <c r="L1219" i="1"/>
  <c r="Q1219" i="1" s="1"/>
  <c r="S1219" i="1" s="1"/>
  <c r="L1207" i="1"/>
  <c r="Q1207" i="1" s="1"/>
  <c r="S1207" i="1" s="1"/>
  <c r="L1195" i="1"/>
  <c r="L1183" i="1"/>
  <c r="Q1183" i="1" s="1"/>
  <c r="S1183" i="1" s="1"/>
  <c r="L1171" i="1"/>
  <c r="Q1171" i="1" s="1"/>
  <c r="S1171" i="1" s="1"/>
  <c r="L1159" i="1"/>
  <c r="Q1159" i="1" s="1"/>
  <c r="S1159" i="1" s="1"/>
  <c r="L1147" i="1"/>
  <c r="Q1147" i="1" s="1"/>
  <c r="S1147" i="1" s="1"/>
  <c r="L1135" i="1"/>
  <c r="L1123" i="1"/>
  <c r="L1111" i="1"/>
  <c r="L1099" i="1"/>
  <c r="Q1099" i="1" s="1"/>
  <c r="S1099" i="1" s="1"/>
  <c r="L1087" i="1"/>
  <c r="L1075" i="1"/>
  <c r="L1063" i="1"/>
  <c r="Q1063" i="1" s="1"/>
  <c r="S1063" i="1" s="1"/>
  <c r="L1051" i="1"/>
  <c r="L1039" i="1"/>
  <c r="L1027" i="1"/>
  <c r="L1015" i="1"/>
  <c r="L1003" i="1"/>
  <c r="L991" i="1"/>
  <c r="Q991" i="1" s="1"/>
  <c r="S991" i="1" s="1"/>
  <c r="L1290" i="1"/>
  <c r="Q1290" i="1" s="1"/>
  <c r="S1290" i="1" s="1"/>
  <c r="L1278" i="1"/>
  <c r="L1266" i="1"/>
  <c r="Q1266" i="1" s="1"/>
  <c r="S1266" i="1" s="1"/>
  <c r="L1254" i="1"/>
  <c r="Q1254" i="1" s="1"/>
  <c r="S1254" i="1" s="1"/>
  <c r="L1242" i="1"/>
  <c r="L1230" i="1"/>
  <c r="L1218" i="1"/>
  <c r="L1206" i="1"/>
  <c r="Q1206" i="1" s="1"/>
  <c r="S1206" i="1" s="1"/>
  <c r="L1194" i="1"/>
  <c r="L1182" i="1"/>
  <c r="L1170" i="1"/>
  <c r="Q1170" i="1" s="1"/>
  <c r="S1170" i="1" s="1"/>
  <c r="L1158" i="1"/>
  <c r="L1146" i="1"/>
  <c r="Q1146" i="1" s="1"/>
  <c r="S1146" i="1" s="1"/>
  <c r="L1134" i="1"/>
  <c r="L1122" i="1"/>
  <c r="L1110" i="1"/>
  <c r="Q1110" i="1" s="1"/>
  <c r="S1110" i="1" s="1"/>
  <c r="L1098" i="1"/>
  <c r="Q1098" i="1" s="1"/>
  <c r="S1098" i="1" s="1"/>
  <c r="L1086" i="1"/>
  <c r="Q1086" i="1" s="1"/>
  <c r="S1086" i="1" s="1"/>
  <c r="L1074" i="1"/>
  <c r="L1062" i="1"/>
  <c r="L1050" i="1"/>
  <c r="Q1050" i="1" s="1"/>
  <c r="S1050" i="1" s="1"/>
  <c r="L1038" i="1"/>
  <c r="Q1038" i="1" s="1"/>
  <c r="S1038" i="1" s="1"/>
  <c r="L1026" i="1"/>
  <c r="Q1026" i="1" s="1"/>
  <c r="S1026" i="1" s="1"/>
  <c r="L1014" i="1"/>
  <c r="Q1014" i="1" s="1"/>
  <c r="S1014" i="1" s="1"/>
  <c r="L1002" i="1"/>
  <c r="Q1002" i="1" s="1"/>
  <c r="S1002" i="1" s="1"/>
  <c r="L990" i="1"/>
  <c r="L978" i="1"/>
  <c r="Q978" i="1" s="1"/>
  <c r="S978" i="1" s="1"/>
  <c r="L1289" i="1"/>
  <c r="L1277" i="1"/>
  <c r="Q1277" i="1" s="1"/>
  <c r="S1277" i="1" s="1"/>
  <c r="L1265" i="1"/>
  <c r="L1253" i="1"/>
  <c r="L1241" i="1"/>
  <c r="Q1241" i="1" s="1"/>
  <c r="S1241" i="1" s="1"/>
  <c r="L1229" i="1"/>
  <c r="Q1229" i="1" s="1"/>
  <c r="S1229" i="1" s="1"/>
  <c r="L1217" i="1"/>
  <c r="L1205" i="1"/>
  <c r="Q1205" i="1" s="1"/>
  <c r="S1205" i="1" s="1"/>
  <c r="L1193" i="1"/>
  <c r="L1181" i="1"/>
  <c r="Q1181" i="1" s="1"/>
  <c r="S1181" i="1" s="1"/>
  <c r="L1169" i="1"/>
  <c r="Q1169" i="1" s="1"/>
  <c r="S1169" i="1" s="1"/>
  <c r="L1157" i="1"/>
  <c r="Q1157" i="1" s="1"/>
  <c r="S1157" i="1" s="1"/>
  <c r="L1145" i="1"/>
  <c r="Q1145" i="1" s="1"/>
  <c r="S1145" i="1" s="1"/>
  <c r="L1133" i="1"/>
  <c r="L1121" i="1"/>
  <c r="Q1121" i="1" s="1"/>
  <c r="S1121" i="1" s="1"/>
  <c r="L1109" i="1"/>
  <c r="L1097" i="1"/>
  <c r="L1085" i="1"/>
  <c r="L1073" i="1"/>
  <c r="Q1073" i="1" s="1"/>
  <c r="S1073" i="1" s="1"/>
  <c r="L1061" i="1"/>
  <c r="Q1061" i="1" s="1"/>
  <c r="S1061" i="1" s="1"/>
  <c r="L1049" i="1"/>
  <c r="Q1049" i="1" s="1"/>
  <c r="S1049" i="1" s="1"/>
  <c r="L1037" i="1"/>
  <c r="Q1037" i="1" s="1"/>
  <c r="S1037" i="1" s="1"/>
  <c r="L1025" i="1"/>
  <c r="Q1025" i="1" s="1"/>
  <c r="S1025" i="1" s="1"/>
  <c r="L1013" i="1"/>
  <c r="Q1013" i="1" s="1"/>
  <c r="S1013" i="1" s="1"/>
  <c r="L1001" i="1"/>
  <c r="Q1001" i="1" s="1"/>
  <c r="S1001" i="1" s="1"/>
  <c r="L989" i="1"/>
  <c r="L977" i="1"/>
  <c r="Q977" i="1" s="1"/>
  <c r="S977" i="1" s="1"/>
  <c r="L965" i="1"/>
  <c r="L953" i="1"/>
  <c r="L1292" i="1"/>
  <c r="L1280" i="1"/>
  <c r="L1268" i="1"/>
  <c r="Q1268" i="1" s="1"/>
  <c r="S1268" i="1" s="1"/>
  <c r="L1256" i="1"/>
  <c r="Q1256" i="1" s="1"/>
  <c r="S1256" i="1" s="1"/>
  <c r="L1244" i="1"/>
  <c r="Q1244" i="1" s="1"/>
  <c r="S1244" i="1" s="1"/>
  <c r="L1232" i="1"/>
  <c r="L1220" i="1"/>
  <c r="Q1220" i="1" s="1"/>
  <c r="S1220" i="1" s="1"/>
  <c r="L1208" i="1"/>
  <c r="Q1208" i="1" s="1"/>
  <c r="S1208" i="1" s="1"/>
  <c r="L1196" i="1"/>
  <c r="L1184" i="1"/>
  <c r="L1172" i="1"/>
  <c r="Q1172" i="1" s="1"/>
  <c r="S1172" i="1" s="1"/>
  <c r="L1160" i="1"/>
  <c r="Q1160" i="1" s="1"/>
  <c r="S1160" i="1" s="1"/>
  <c r="L1148" i="1"/>
  <c r="L1136" i="1"/>
  <c r="Q1136" i="1" s="1"/>
  <c r="S1136" i="1" s="1"/>
  <c r="L1124" i="1"/>
  <c r="L1112" i="1"/>
  <c r="Q1112" i="1" s="1"/>
  <c r="S1112" i="1" s="1"/>
  <c r="L1100" i="1"/>
  <c r="Q1100" i="1" s="1"/>
  <c r="S1100" i="1" s="1"/>
  <c r="L1088" i="1"/>
  <c r="L1076" i="1"/>
  <c r="L1064" i="1"/>
  <c r="Q1064" i="1" s="1"/>
  <c r="S1064" i="1" s="1"/>
  <c r="L1052" i="1"/>
  <c r="Q1052" i="1" s="1"/>
  <c r="S1052" i="1" s="1"/>
  <c r="L1040" i="1"/>
  <c r="L1028" i="1"/>
  <c r="Q1028" i="1" s="1"/>
  <c r="S1028" i="1" s="1"/>
  <c r="L1016" i="1"/>
  <c r="Q1016" i="1" s="1"/>
  <c r="S1016" i="1" s="1"/>
  <c r="L1004" i="1"/>
  <c r="Q1004" i="1" s="1"/>
  <c r="S1004" i="1" s="1"/>
  <c r="L992" i="1"/>
  <c r="Q992" i="1" s="1"/>
  <c r="S992" i="1" s="1"/>
  <c r="L1288" i="1"/>
  <c r="L1204" i="1"/>
  <c r="L1180" i="1"/>
  <c r="L1168" i="1"/>
  <c r="L1132" i="1"/>
  <c r="L1096" i="1"/>
  <c r="L1036" i="1"/>
  <c r="L856" i="1"/>
  <c r="L760" i="1"/>
  <c r="L748" i="1"/>
  <c r="L676" i="1"/>
  <c r="L532" i="1"/>
  <c r="L400" i="1"/>
  <c r="L316" i="1"/>
  <c r="L280" i="1"/>
  <c r="L196" i="1"/>
  <c r="L172" i="1"/>
  <c r="L124" i="1"/>
  <c r="L112" i="1"/>
  <c r="L88" i="1"/>
  <c r="L28" i="1"/>
  <c r="L1287" i="1"/>
  <c r="Q1287" i="1" s="1"/>
  <c r="S1287" i="1" s="1"/>
  <c r="W958" i="1" l="1"/>
  <c r="W1053" i="1"/>
  <c r="M969" i="1"/>
  <c r="W1260" i="1"/>
  <c r="W1286" i="1"/>
  <c r="W837" i="1"/>
  <c r="W1065" i="1"/>
  <c r="M826" i="1"/>
  <c r="M970" i="1"/>
  <c r="W923" i="1"/>
  <c r="W1140" i="1"/>
  <c r="M981" i="1"/>
  <c r="W838" i="1"/>
  <c r="W982" i="1"/>
  <c r="M1129" i="1"/>
  <c r="W1156" i="1"/>
  <c r="M838" i="1"/>
  <c r="M1156" i="1"/>
  <c r="M849" i="1"/>
  <c r="M993" i="1"/>
  <c r="M1077" i="1"/>
  <c r="W850" i="1"/>
  <c r="W994" i="1"/>
  <c r="W1078" i="1"/>
  <c r="M935" i="1"/>
  <c r="M1271" i="1"/>
  <c r="M1164" i="1"/>
  <c r="M1141" i="1"/>
  <c r="M946" i="1"/>
  <c r="W969" i="1"/>
  <c r="M825" i="1"/>
  <c r="M852" i="1"/>
  <c r="M1273" i="1"/>
  <c r="W993" i="1"/>
  <c r="W1119" i="1"/>
  <c r="W861" i="1"/>
  <c r="W1005" i="1"/>
  <c r="W1089" i="1"/>
  <c r="W1221" i="1"/>
  <c r="M850" i="1"/>
  <c r="M994" i="1"/>
  <c r="W1090" i="1"/>
  <c r="W875" i="1"/>
  <c r="W947" i="1"/>
  <c r="W1019" i="1"/>
  <c r="W840" i="1"/>
  <c r="W996" i="1"/>
  <c r="M1188" i="1"/>
  <c r="W1274" i="1"/>
  <c r="W970" i="1"/>
  <c r="W935" i="1"/>
  <c r="M1089" i="1"/>
  <c r="W1281" i="1"/>
  <c r="W862" i="1"/>
  <c r="W1006" i="1"/>
  <c r="M1090" i="1"/>
  <c r="M875" i="1"/>
  <c r="M1019" i="1"/>
  <c r="M996" i="1"/>
  <c r="W1139" i="1"/>
  <c r="W825" i="1"/>
  <c r="W826" i="1"/>
  <c r="M911" i="1"/>
  <c r="M1261" i="1"/>
  <c r="W1144" i="1"/>
  <c r="M1144" i="1"/>
  <c r="W1077" i="1"/>
  <c r="W1271" i="1"/>
  <c r="W1131" i="1"/>
  <c r="M1281" i="1"/>
  <c r="M862" i="1"/>
  <c r="W887" i="1"/>
  <c r="W1031" i="1"/>
  <c r="W864" i="1"/>
  <c r="M1139" i="1"/>
  <c r="M1250" i="1"/>
  <c r="W1215" i="1"/>
  <c r="M1079" i="1"/>
  <c r="M1274" i="1"/>
  <c r="M1215" i="1"/>
  <c r="W1149" i="1"/>
  <c r="W1102" i="1"/>
  <c r="W1211" i="1"/>
  <c r="M1225" i="1"/>
  <c r="W1101" i="1"/>
  <c r="W1116" i="1"/>
  <c r="W1250" i="1"/>
  <c r="M1104" i="1"/>
  <c r="W1041" i="1"/>
  <c r="W1113" i="1"/>
  <c r="W1246" i="1"/>
  <c r="W1176" i="1"/>
  <c r="M1221" i="1"/>
  <c r="W1104" i="1"/>
  <c r="W1225" i="1"/>
  <c r="M1246" i="1"/>
  <c r="M1286" i="1"/>
  <c r="W1227" i="1"/>
  <c r="M1120" i="1"/>
  <c r="W1138" i="1"/>
  <c r="W1151" i="1"/>
  <c r="W1223" i="1"/>
  <c r="W1188" i="1"/>
  <c r="W1120" i="1"/>
  <c r="M1239" i="1"/>
  <c r="M1227" i="1"/>
  <c r="W1239" i="1"/>
  <c r="M1056" i="1"/>
  <c r="W1257" i="1"/>
  <c r="W1186" i="1"/>
  <c r="M1294" i="1"/>
  <c r="W1175" i="1"/>
  <c r="W1259" i="1"/>
  <c r="W1081" i="1"/>
  <c r="W1165" i="1"/>
  <c r="W1237" i="1"/>
  <c r="M1186" i="1"/>
  <c r="W943" i="1"/>
  <c r="M1259" i="1"/>
  <c r="M1165" i="1"/>
  <c r="M1270" i="1"/>
  <c r="M1150" i="1"/>
  <c r="W1198" i="1"/>
  <c r="W1187" i="1"/>
  <c r="W1128" i="1"/>
  <c r="W1177" i="1"/>
  <c r="W1249" i="1"/>
  <c r="W1190" i="1"/>
  <c r="W1262" i="1"/>
  <c r="M1102" i="1"/>
  <c r="W1114" i="1"/>
  <c r="W1163" i="1"/>
  <c r="M1163" i="1"/>
  <c r="W1161" i="1"/>
  <c r="M1198" i="1"/>
  <c r="M1128" i="1"/>
  <c r="M1177" i="1"/>
  <c r="M1262" i="1"/>
  <c r="T1203" i="1"/>
  <c r="W1178" i="1"/>
  <c r="W1153" i="1"/>
  <c r="W1236" i="1"/>
  <c r="M1143" i="1"/>
  <c r="W1143" i="1"/>
  <c r="W1126" i="1"/>
  <c r="W1066" i="1"/>
  <c r="W1283" i="1"/>
  <c r="W1200" i="1"/>
  <c r="M1066" i="1"/>
  <c r="M1283" i="1"/>
  <c r="W1185" i="1"/>
  <c r="W1293" i="1"/>
  <c r="W1295" i="1"/>
  <c r="W1224" i="1"/>
  <c r="M1185" i="1"/>
  <c r="M1293" i="1"/>
  <c r="M1295" i="1"/>
  <c r="M1224" i="1"/>
  <c r="W1174" i="1"/>
  <c r="W1235" i="1"/>
  <c r="M1174" i="1"/>
  <c r="W1269" i="1"/>
  <c r="M1269" i="1"/>
  <c r="M1173" i="1"/>
  <c r="Q1173" i="1"/>
  <c r="S1173" i="1" s="1"/>
  <c r="M1212" i="1"/>
  <c r="Q1212" i="1"/>
  <c r="S1212" i="1" s="1"/>
  <c r="W1162" i="1"/>
  <c r="W1233" i="1"/>
  <c r="Q1233" i="1"/>
  <c r="S1233" i="1" s="1"/>
  <c r="M1258" i="1"/>
  <c r="Q1258" i="1"/>
  <c r="S1258" i="1" s="1"/>
  <c r="W1272" i="1"/>
  <c r="Q1272" i="1"/>
  <c r="S1272" i="1" s="1"/>
  <c r="M1245" i="1"/>
  <c r="Q1245" i="1"/>
  <c r="S1245" i="1" s="1"/>
  <c r="M1282" i="1"/>
  <c r="Q1282" i="1"/>
  <c r="S1282" i="1" s="1"/>
  <c r="M1272" i="1"/>
  <c r="W1258" i="1"/>
  <c r="M1233" i="1"/>
  <c r="W1245" i="1"/>
  <c r="W1212" i="1"/>
  <c r="M1146" i="1"/>
  <c r="W1146" i="1"/>
  <c r="T339" i="1"/>
  <c r="T508" i="1"/>
  <c r="T401" i="1"/>
  <c r="T142" i="1"/>
  <c r="T359" i="1"/>
  <c r="T1295" i="1"/>
  <c r="T61" i="1"/>
  <c r="T193" i="1"/>
  <c r="T241" i="1"/>
  <c r="T541" i="1"/>
  <c r="T829" i="1"/>
  <c r="T960" i="1"/>
  <c r="T446" i="1"/>
  <c r="T566" i="1"/>
  <c r="T806" i="1"/>
  <c r="T1094" i="1"/>
  <c r="T1274" i="1"/>
  <c r="M400" i="1"/>
  <c r="W400" i="1"/>
  <c r="M1288" i="1"/>
  <c r="W1288" i="1"/>
  <c r="M1124" i="1"/>
  <c r="W1124" i="1"/>
  <c r="M1268" i="1"/>
  <c r="W1268" i="1"/>
  <c r="M1049" i="1"/>
  <c r="W1049" i="1"/>
  <c r="M1193" i="1"/>
  <c r="W1193" i="1"/>
  <c r="M1014" i="1"/>
  <c r="W1014" i="1"/>
  <c r="M1158" i="1"/>
  <c r="W1158" i="1"/>
  <c r="M991" i="1"/>
  <c r="W991" i="1"/>
  <c r="M1135" i="1"/>
  <c r="W1135" i="1"/>
  <c r="M1279" i="1"/>
  <c r="W1279" i="1"/>
  <c r="T107" i="1"/>
  <c r="T447" i="1"/>
  <c r="T495" i="1"/>
  <c r="T831" i="1"/>
  <c r="T939" i="1"/>
  <c r="T999" i="1"/>
  <c r="T1239" i="1"/>
  <c r="T392" i="1"/>
  <c r="T788" i="1"/>
  <c r="T908" i="1"/>
  <c r="T114" i="1"/>
  <c r="T160" i="1"/>
  <c r="T244" i="1"/>
  <c r="T5" i="1"/>
  <c r="T245" i="1"/>
  <c r="T461" i="1"/>
  <c r="T521" i="1"/>
  <c r="T881" i="1"/>
  <c r="T162" i="1"/>
  <c r="T582" i="1"/>
  <c r="T690" i="1"/>
  <c r="T966" i="1"/>
  <c r="T117" i="1"/>
  <c r="T177" i="1"/>
  <c r="T585" i="1"/>
  <c r="T633" i="1"/>
  <c r="T813" i="1"/>
  <c r="T1221" i="1"/>
  <c r="T34" i="1"/>
  <c r="T322" i="1"/>
  <c r="T898" i="1"/>
  <c r="T1234" i="1"/>
  <c r="T163" i="1"/>
  <c r="T583" i="1"/>
  <c r="T871" i="1"/>
  <c r="T11" i="1"/>
  <c r="T251" i="1"/>
  <c r="T1104" i="1"/>
  <c r="T1021" i="1"/>
  <c r="T301" i="1"/>
  <c r="T781" i="1"/>
  <c r="T1201" i="1"/>
  <c r="T1261" i="1"/>
  <c r="T276" i="1"/>
  <c r="T384" i="1"/>
  <c r="T1068" i="1"/>
  <c r="T146" i="1"/>
  <c r="T398" i="1"/>
  <c r="M1170" i="1"/>
  <c r="W1170" i="1"/>
  <c r="T572" i="1"/>
  <c r="T415" i="1"/>
  <c r="T76" i="1"/>
  <c r="T460" i="1"/>
  <c r="T628" i="1"/>
  <c r="M1192" i="1"/>
  <c r="W1192" i="1"/>
  <c r="T137" i="1"/>
  <c r="T641" i="1"/>
  <c r="T701" i="1"/>
  <c r="T402" i="1"/>
  <c r="T462" i="1"/>
  <c r="T369" i="1"/>
  <c r="T477" i="1"/>
  <c r="T705" i="1"/>
  <c r="T94" i="1"/>
  <c r="T382" i="1"/>
  <c r="T742" i="1"/>
  <c r="T802" i="1"/>
  <c r="T850" i="1"/>
  <c r="T1018" i="1"/>
  <c r="T1066" i="1"/>
  <c r="T1186" i="1"/>
  <c r="T55" i="1"/>
  <c r="T475" i="1"/>
  <c r="T931" i="1"/>
  <c r="T131" i="1"/>
  <c r="T311" i="1"/>
  <c r="T431" i="1"/>
  <c r="T551" i="1"/>
  <c r="T492" i="1"/>
  <c r="T864" i="1"/>
  <c r="T13" i="1"/>
  <c r="T361" i="1"/>
  <c r="T733" i="1"/>
  <c r="T901" i="1"/>
  <c r="T156" i="1"/>
  <c r="T336" i="1"/>
  <c r="T516" i="1"/>
  <c r="T518" i="1"/>
  <c r="T638" i="1"/>
  <c r="T878" i="1"/>
  <c r="M1267" i="1"/>
  <c r="W1267" i="1"/>
  <c r="T304" i="1"/>
  <c r="M1003" i="1"/>
  <c r="W1003" i="1"/>
  <c r="T520" i="1"/>
  <c r="T580" i="1"/>
  <c r="T916" i="1"/>
  <c r="T1048" i="1"/>
  <c r="M1216" i="1"/>
  <c r="W1216" i="1"/>
  <c r="T305" i="1"/>
  <c r="T354" i="1"/>
  <c r="T642" i="1"/>
  <c r="T69" i="1"/>
  <c r="T429" i="1"/>
  <c r="T537" i="1"/>
  <c r="T885" i="1"/>
  <c r="T933" i="1"/>
  <c r="T1281" i="1"/>
  <c r="T154" i="1"/>
  <c r="T454" i="1"/>
  <c r="T694" i="1"/>
  <c r="T660" i="1"/>
  <c r="T115" i="1"/>
  <c r="T535" i="1"/>
  <c r="T823" i="1"/>
  <c r="T1130" i="1"/>
  <c r="T371" i="1"/>
  <c r="T671" i="1"/>
  <c r="T731" i="1"/>
  <c r="T791" i="1"/>
  <c r="T1019" i="1"/>
  <c r="T1139" i="1"/>
  <c r="T1199" i="1"/>
  <c r="T1259" i="1"/>
  <c r="T818" i="1"/>
  <c r="T996" i="1"/>
  <c r="T205" i="1"/>
  <c r="T553" i="1"/>
  <c r="T613" i="1"/>
  <c r="T228" i="1"/>
  <c r="T26" i="1"/>
  <c r="T578" i="1"/>
  <c r="T1058" i="1"/>
  <c r="T1106" i="1"/>
  <c r="T1286" i="1"/>
  <c r="T448" i="1"/>
  <c r="M1205" i="1"/>
  <c r="W1205" i="1"/>
  <c r="T555" i="1"/>
  <c r="M1217" i="1"/>
  <c r="W1217" i="1"/>
  <c r="T22" i="1"/>
  <c r="M1160" i="1"/>
  <c r="W1160" i="1"/>
  <c r="M1228" i="1"/>
  <c r="W1228" i="1"/>
  <c r="T257" i="1"/>
  <c r="T594" i="1"/>
  <c r="T702" i="1"/>
  <c r="T810" i="1"/>
  <c r="T930" i="1"/>
  <c r="T321" i="1"/>
  <c r="T597" i="1"/>
  <c r="T825" i="1"/>
  <c r="T993" i="1"/>
  <c r="T214" i="1"/>
  <c r="T334" i="1"/>
  <c r="T514" i="1"/>
  <c r="T646" i="1"/>
  <c r="T970" i="1"/>
  <c r="T1246" i="1"/>
  <c r="T589" i="1"/>
  <c r="T307" i="1"/>
  <c r="T427" i="1"/>
  <c r="T775" i="1"/>
  <c r="T335" i="1"/>
  <c r="T23" i="1"/>
  <c r="T203" i="1"/>
  <c r="T911" i="1"/>
  <c r="T971" i="1"/>
  <c r="T470" i="1"/>
  <c r="T1128" i="1"/>
  <c r="T1033" i="1"/>
  <c r="T396" i="1"/>
  <c r="T648" i="1"/>
  <c r="T230" i="1"/>
  <c r="T362" i="1"/>
  <c r="M1037" i="1"/>
  <c r="W1037" i="1"/>
  <c r="T235" i="1"/>
  <c r="T103" i="1"/>
  <c r="M992" i="1"/>
  <c r="W992" i="1"/>
  <c r="M1015" i="1"/>
  <c r="W1015" i="1"/>
  <c r="T968" i="1"/>
  <c r="T176" i="1"/>
  <c r="M1028" i="1"/>
  <c r="W1028" i="1"/>
  <c r="T903" i="1"/>
  <c r="T261" i="1"/>
  <c r="T777" i="1"/>
  <c r="T1185" i="1"/>
  <c r="T106" i="1"/>
  <c r="T586" i="1"/>
  <c r="T754" i="1"/>
  <c r="T814" i="1"/>
  <c r="T862" i="1"/>
  <c r="T1030" i="1"/>
  <c r="T1198" i="1"/>
  <c r="T7" i="1"/>
  <c r="T67" i="1"/>
  <c r="T487" i="1"/>
  <c r="T1105" i="1"/>
  <c r="T83" i="1"/>
  <c r="T443" i="1"/>
  <c r="T503" i="1"/>
  <c r="T863" i="1"/>
  <c r="T1091" i="1"/>
  <c r="T504" i="1"/>
  <c r="T265" i="1"/>
  <c r="T445" i="1"/>
  <c r="T505" i="1"/>
  <c r="T685" i="1"/>
  <c r="T745" i="1"/>
  <c r="T853" i="1"/>
  <c r="T985" i="1"/>
  <c r="T1165" i="1"/>
  <c r="T900" i="1"/>
  <c r="T1008" i="1"/>
  <c r="T530" i="1"/>
  <c r="T650" i="1"/>
  <c r="T830" i="1"/>
  <c r="T890" i="1"/>
  <c r="T1010" i="1"/>
  <c r="M316" i="1"/>
  <c r="W316" i="1"/>
  <c r="M1002" i="1"/>
  <c r="W1002" i="1"/>
  <c r="T512" i="1"/>
  <c r="T1084" i="1"/>
  <c r="T821" i="1"/>
  <c r="T811" i="1"/>
  <c r="T659" i="1"/>
  <c r="M532" i="1"/>
  <c r="W532" i="1"/>
  <c r="M1026" i="1"/>
  <c r="W1026" i="1"/>
  <c r="M1291" i="1"/>
  <c r="W1291" i="1"/>
  <c r="M1004" i="1"/>
  <c r="W1004" i="1"/>
  <c r="M1038" i="1"/>
  <c r="W1038" i="1"/>
  <c r="T1131" i="1"/>
  <c r="M748" i="1"/>
  <c r="W748" i="1"/>
  <c r="M1229" i="1"/>
  <c r="W1229" i="1"/>
  <c r="T843" i="1"/>
  <c r="T920" i="1"/>
  <c r="M1172" i="1"/>
  <c r="W1172" i="1"/>
  <c r="T135" i="1"/>
  <c r="T627" i="1"/>
  <c r="T1120" i="1"/>
  <c r="M88" i="1"/>
  <c r="W88" i="1"/>
  <c r="M856" i="1"/>
  <c r="W856" i="1"/>
  <c r="M1040" i="1"/>
  <c r="W1040" i="1"/>
  <c r="M1184" i="1"/>
  <c r="W1184" i="1"/>
  <c r="M965" i="1"/>
  <c r="W965" i="1"/>
  <c r="M1109" i="1"/>
  <c r="W1109" i="1"/>
  <c r="M1253" i="1"/>
  <c r="W1253" i="1"/>
  <c r="M1074" i="1"/>
  <c r="W1074" i="1"/>
  <c r="M1218" i="1"/>
  <c r="W1218" i="1"/>
  <c r="M1051" i="1"/>
  <c r="W1051" i="1"/>
  <c r="M1195" i="1"/>
  <c r="W1195" i="1"/>
  <c r="T363" i="1"/>
  <c r="T747" i="1"/>
  <c r="T1143" i="1"/>
  <c r="M1275" i="1"/>
  <c r="W1275" i="1"/>
  <c r="T68" i="1"/>
  <c r="T536" i="1"/>
  <c r="T644" i="1"/>
  <c r="T268" i="1"/>
  <c r="T544" i="1"/>
  <c r="T880" i="1"/>
  <c r="T928" i="1"/>
  <c r="T1060" i="1"/>
  <c r="M1252" i="1"/>
  <c r="W1252" i="1"/>
  <c r="T317" i="1"/>
  <c r="T485" i="1"/>
  <c r="T905" i="1"/>
  <c r="T126" i="1"/>
  <c r="T546" i="1"/>
  <c r="T81" i="1"/>
  <c r="T441" i="1"/>
  <c r="T549" i="1"/>
  <c r="T897" i="1"/>
  <c r="T945" i="1"/>
  <c r="T1137" i="1"/>
  <c r="T1293" i="1"/>
  <c r="T58" i="1"/>
  <c r="T466" i="1"/>
  <c r="T607" i="1"/>
  <c r="T727" i="1"/>
  <c r="T895" i="1"/>
  <c r="T635" i="1"/>
  <c r="T1031" i="1"/>
  <c r="T1271" i="1"/>
  <c r="T780" i="1"/>
  <c r="T217" i="1"/>
  <c r="T625" i="1"/>
  <c r="T805" i="1"/>
  <c r="T1225" i="1"/>
  <c r="T1297" i="1"/>
  <c r="T1224" i="1"/>
  <c r="T38" i="1"/>
  <c r="T422" i="1"/>
  <c r="T710" i="1"/>
  <c r="T1070" i="1"/>
  <c r="T1250" i="1"/>
  <c r="M1204" i="1"/>
  <c r="W1204" i="1"/>
  <c r="T839" i="1"/>
  <c r="T272" i="1"/>
  <c r="T293" i="1"/>
  <c r="T929" i="1"/>
  <c r="T738" i="1"/>
  <c r="T1269" i="1"/>
  <c r="T682" i="1"/>
  <c r="T631" i="1"/>
  <c r="T758" i="1"/>
  <c r="T576" i="1"/>
  <c r="M1061" i="1"/>
  <c r="W1061" i="1"/>
  <c r="T171" i="1"/>
  <c r="T15" i="1"/>
  <c r="T632" i="1"/>
  <c r="M1016" i="1"/>
  <c r="W1016" i="1"/>
  <c r="M1027" i="1"/>
  <c r="W1027" i="1"/>
  <c r="T459" i="1"/>
  <c r="T860" i="1"/>
  <c r="T712" i="1"/>
  <c r="T365" i="1"/>
  <c r="M28" i="1"/>
  <c r="W28" i="1"/>
  <c r="M1241" i="1"/>
  <c r="W1241" i="1"/>
  <c r="M1285" i="1"/>
  <c r="W1285" i="1"/>
  <c r="M1240" i="1"/>
  <c r="W1240" i="1"/>
  <c r="M112" i="1"/>
  <c r="W112" i="1"/>
  <c r="M1036" i="1"/>
  <c r="W1036" i="1"/>
  <c r="M1052" i="1"/>
  <c r="W1052" i="1"/>
  <c r="M1196" i="1"/>
  <c r="W1196" i="1"/>
  <c r="M977" i="1"/>
  <c r="W977" i="1"/>
  <c r="M1121" i="1"/>
  <c r="W1121" i="1"/>
  <c r="M1265" i="1"/>
  <c r="W1265" i="1"/>
  <c r="M1086" i="1"/>
  <c r="W1086" i="1"/>
  <c r="M1230" i="1"/>
  <c r="W1230" i="1"/>
  <c r="M1063" i="1"/>
  <c r="W1063" i="1"/>
  <c r="M1207" i="1"/>
  <c r="W1207" i="1"/>
  <c r="T315" i="1"/>
  <c r="T423" i="1"/>
  <c r="T471" i="1"/>
  <c r="T699" i="1"/>
  <c r="T855" i="1"/>
  <c r="T1215" i="1"/>
  <c r="T488" i="1"/>
  <c r="T932" i="1"/>
  <c r="T40" i="1"/>
  <c r="T592" i="1"/>
  <c r="M1264" i="1"/>
  <c r="W1264" i="1"/>
  <c r="T437" i="1"/>
  <c r="T545" i="1"/>
  <c r="T318" i="1"/>
  <c r="T822" i="1"/>
  <c r="T882" i="1"/>
  <c r="T942" i="1"/>
  <c r="T333" i="1"/>
  <c r="T609" i="1"/>
  <c r="T226" i="1"/>
  <c r="T658" i="1"/>
  <c r="T1090" i="1"/>
  <c r="T319" i="1"/>
  <c r="T667" i="1"/>
  <c r="T35" i="1"/>
  <c r="T983" i="1"/>
  <c r="T456" i="1"/>
  <c r="T912" i="1"/>
  <c r="T1117" i="1"/>
  <c r="T1045" i="1"/>
  <c r="T360" i="1"/>
  <c r="T420" i="1"/>
  <c r="T564" i="1"/>
  <c r="T242" i="1"/>
  <c r="T482" i="1"/>
  <c r="T962" i="1"/>
  <c r="M1256" i="1"/>
  <c r="W1256" i="1"/>
  <c r="T219" i="1"/>
  <c r="T568" i="1"/>
  <c r="T525" i="1"/>
  <c r="T921" i="1"/>
  <c r="T719" i="1"/>
  <c r="T442" i="1"/>
  <c r="M1073" i="1"/>
  <c r="W1073" i="1"/>
  <c r="T351" i="1"/>
  <c r="T524" i="1"/>
  <c r="M1050" i="1"/>
  <c r="W1050" i="1"/>
  <c r="T411" i="1"/>
  <c r="T800" i="1"/>
  <c r="T412" i="1"/>
  <c r="M953" i="1"/>
  <c r="W953" i="1"/>
  <c r="M1039" i="1"/>
  <c r="W1039" i="1"/>
  <c r="T356" i="1"/>
  <c r="T762" i="1"/>
  <c r="T717" i="1"/>
  <c r="M124" i="1"/>
  <c r="W124" i="1"/>
  <c r="M1096" i="1"/>
  <c r="W1096" i="1"/>
  <c r="M1064" i="1"/>
  <c r="W1064" i="1"/>
  <c r="M1208" i="1"/>
  <c r="W1208" i="1"/>
  <c r="M989" i="1"/>
  <c r="W989" i="1"/>
  <c r="M1133" i="1"/>
  <c r="W1133" i="1"/>
  <c r="M1277" i="1"/>
  <c r="W1277" i="1"/>
  <c r="M1098" i="1"/>
  <c r="W1098" i="1"/>
  <c r="M1242" i="1"/>
  <c r="W1242" i="1"/>
  <c r="M1075" i="1"/>
  <c r="W1075" i="1"/>
  <c r="M1219" i="1"/>
  <c r="W1219" i="1"/>
  <c r="T969" i="1"/>
  <c r="T39" i="1"/>
  <c r="T99" i="1"/>
  <c r="T147" i="1"/>
  <c r="T807" i="1"/>
  <c r="T915" i="1"/>
  <c r="T1035" i="1"/>
  <c r="T1095" i="1"/>
  <c r="T140" i="1"/>
  <c r="T368" i="1"/>
  <c r="T704" i="1"/>
  <c r="T1077" i="1"/>
  <c r="T136" i="1"/>
  <c r="T1144" i="1"/>
  <c r="M1276" i="1"/>
  <c r="W1276" i="1"/>
  <c r="T113" i="1"/>
  <c r="T161" i="1"/>
  <c r="T78" i="1"/>
  <c r="T198" i="1"/>
  <c r="T258" i="1"/>
  <c r="T378" i="1"/>
  <c r="T774" i="1"/>
  <c r="T33" i="1"/>
  <c r="T213" i="1"/>
  <c r="T178" i="1"/>
  <c r="T298" i="1"/>
  <c r="T718" i="1"/>
  <c r="T826" i="1"/>
  <c r="T934" i="1"/>
  <c r="T1042" i="1"/>
  <c r="T1210" i="1"/>
  <c r="T139" i="1"/>
  <c r="T271" i="1"/>
  <c r="T938" i="1"/>
  <c r="T287" i="1"/>
  <c r="T455" i="1"/>
  <c r="T755" i="1"/>
  <c r="T815" i="1"/>
  <c r="T875" i="1"/>
  <c r="T1163" i="1"/>
  <c r="T1223" i="1"/>
  <c r="T852" i="1"/>
  <c r="T337" i="1"/>
  <c r="T457" i="1"/>
  <c r="T577" i="1"/>
  <c r="T757" i="1"/>
  <c r="T997" i="1"/>
  <c r="T1177" i="1"/>
  <c r="T72" i="1"/>
  <c r="T132" i="1"/>
  <c r="T312" i="1"/>
  <c r="T816" i="1"/>
  <c r="T1152" i="1"/>
  <c r="T374" i="1"/>
  <c r="T722" i="1"/>
  <c r="T1022" i="1"/>
  <c r="T1202" i="1"/>
  <c r="M1112" i="1"/>
  <c r="W1112" i="1"/>
  <c r="M1123" i="1"/>
  <c r="W1123" i="1"/>
  <c r="T212" i="1"/>
  <c r="T772" i="1"/>
  <c r="T785" i="1"/>
  <c r="T569" i="1"/>
  <c r="T523" i="1"/>
  <c r="T1127" i="1"/>
  <c r="M1136" i="1"/>
  <c r="W1136" i="1"/>
  <c r="M1147" i="1"/>
  <c r="W1147" i="1"/>
  <c r="T783" i="1"/>
  <c r="M1148" i="1"/>
  <c r="W1148" i="1"/>
  <c r="M1159" i="1"/>
  <c r="W1159" i="1"/>
  <c r="T328" i="1"/>
  <c r="M3" i="1"/>
  <c r="M1171" i="1"/>
  <c r="W1171" i="1"/>
  <c r="T951" i="1"/>
  <c r="T184" i="1"/>
  <c r="M1062" i="1"/>
  <c r="W1062" i="1"/>
  <c r="M1263" i="1"/>
  <c r="W1263" i="1"/>
  <c r="T584" i="1"/>
  <c r="T66" i="1"/>
  <c r="M172" i="1"/>
  <c r="W172" i="1"/>
  <c r="M1132" i="1"/>
  <c r="W1132" i="1"/>
  <c r="M1076" i="1"/>
  <c r="W1076" i="1"/>
  <c r="M1220" i="1"/>
  <c r="W1220" i="1"/>
  <c r="M1001" i="1"/>
  <c r="W1001" i="1"/>
  <c r="M1145" i="1"/>
  <c r="W1145" i="1"/>
  <c r="M1289" i="1"/>
  <c r="W1289" i="1"/>
  <c r="M1110" i="1"/>
  <c r="W1110" i="1"/>
  <c r="M1254" i="1"/>
  <c r="W1254" i="1"/>
  <c r="M1087" i="1"/>
  <c r="W1087" i="1"/>
  <c r="M1231" i="1"/>
  <c r="W1231" i="1"/>
  <c r="T973" i="1"/>
  <c r="T207" i="1"/>
  <c r="T531" i="1"/>
  <c r="T591" i="1"/>
  <c r="T759" i="1"/>
  <c r="T20" i="1"/>
  <c r="T200" i="1"/>
  <c r="T548" i="1"/>
  <c r="T656" i="1"/>
  <c r="T700" i="1"/>
  <c r="T52" i="1"/>
  <c r="T292" i="1"/>
  <c r="T556" i="1"/>
  <c r="T604" i="1"/>
  <c r="T736" i="1"/>
  <c r="T892" i="1"/>
  <c r="T940" i="1"/>
  <c r="T1072" i="1"/>
  <c r="T60" i="1"/>
  <c r="T281" i="1"/>
  <c r="T389" i="1"/>
  <c r="T677" i="1"/>
  <c r="T809" i="1"/>
  <c r="T917" i="1"/>
  <c r="T498" i="1"/>
  <c r="T618" i="1"/>
  <c r="T726" i="1"/>
  <c r="T453" i="1"/>
  <c r="T513" i="1"/>
  <c r="T909" i="1"/>
  <c r="T957" i="1"/>
  <c r="T1089" i="1"/>
  <c r="T70" i="1"/>
  <c r="T358" i="1"/>
  <c r="T478" i="1"/>
  <c r="T994" i="1"/>
  <c r="T451" i="1"/>
  <c r="T619" i="1"/>
  <c r="T799" i="1"/>
  <c r="T967" i="1"/>
  <c r="T277" i="1"/>
  <c r="T347" i="1"/>
  <c r="T587" i="1"/>
  <c r="T647" i="1"/>
  <c r="T935" i="1"/>
  <c r="T1283" i="1"/>
  <c r="T804" i="1"/>
  <c r="T288" i="1"/>
  <c r="T49" i="1"/>
  <c r="T229" i="1"/>
  <c r="T817" i="1"/>
  <c r="T696" i="1"/>
  <c r="T434" i="1"/>
  <c r="T794" i="1"/>
  <c r="T1082" i="1"/>
  <c r="M1290" i="1"/>
  <c r="W1290" i="1"/>
  <c r="T603" i="1"/>
  <c r="T668" i="1"/>
  <c r="M1280" i="1"/>
  <c r="W1280" i="1"/>
  <c r="T291" i="1"/>
  <c r="T891" i="1"/>
  <c r="M1182" i="1"/>
  <c r="W1182" i="1"/>
  <c r="T735" i="1"/>
  <c r="T284" i="1"/>
  <c r="T680" i="1"/>
  <c r="M1194" i="1"/>
  <c r="W1194" i="1"/>
  <c r="T507" i="1"/>
  <c r="T533" i="1"/>
  <c r="M1206" i="1"/>
  <c r="W1206" i="1"/>
  <c r="T795" i="1"/>
  <c r="T236" i="1"/>
  <c r="T100" i="1"/>
  <c r="T149" i="1"/>
  <c r="T6" i="1"/>
  <c r="M196" i="1"/>
  <c r="W196" i="1"/>
  <c r="M1168" i="1"/>
  <c r="W1168" i="1"/>
  <c r="M1088" i="1"/>
  <c r="W1088" i="1"/>
  <c r="M1232" i="1"/>
  <c r="W1232" i="1"/>
  <c r="M1013" i="1"/>
  <c r="W1013" i="1"/>
  <c r="M1157" i="1"/>
  <c r="W1157" i="1"/>
  <c r="M978" i="1"/>
  <c r="W978" i="1"/>
  <c r="M1122" i="1"/>
  <c r="W1122" i="1"/>
  <c r="M1266" i="1"/>
  <c r="W1266" i="1"/>
  <c r="M1099" i="1"/>
  <c r="W1099" i="1"/>
  <c r="M1243" i="1"/>
  <c r="W1243" i="1"/>
  <c r="T340" i="1"/>
  <c r="T435" i="1"/>
  <c r="T483" i="1"/>
  <c r="T651" i="1"/>
  <c r="T1227" i="1"/>
  <c r="T440" i="1"/>
  <c r="T608" i="1"/>
  <c r="T776" i="1"/>
  <c r="T1029" i="1"/>
  <c r="T496" i="1"/>
  <c r="T1012" i="1"/>
  <c r="T473" i="1"/>
  <c r="T233" i="1"/>
  <c r="T449" i="1"/>
  <c r="T869" i="1"/>
  <c r="T330" i="1"/>
  <c r="T678" i="1"/>
  <c r="T834" i="1"/>
  <c r="T954" i="1"/>
  <c r="T165" i="1"/>
  <c r="T405" i="1"/>
  <c r="T621" i="1"/>
  <c r="T741" i="1"/>
  <c r="T801" i="1"/>
  <c r="T1209" i="1"/>
  <c r="T886" i="1"/>
  <c r="T1102" i="1"/>
  <c r="T331" i="1"/>
  <c r="T571" i="1"/>
  <c r="T859" i="1"/>
  <c r="T865" i="1"/>
  <c r="T47" i="1"/>
  <c r="T948" i="1"/>
  <c r="T1080" i="1"/>
  <c r="T1093" i="1"/>
  <c r="T289" i="1"/>
  <c r="T1057" i="1"/>
  <c r="T264" i="1"/>
  <c r="T372" i="1"/>
  <c r="T1056" i="1"/>
  <c r="T386" i="1"/>
  <c r="T674" i="1"/>
  <c r="T914" i="1"/>
  <c r="T974" i="1"/>
  <c r="T1262" i="1"/>
  <c r="M1181" i="1"/>
  <c r="W1181" i="1"/>
  <c r="T723" i="1"/>
  <c r="T956" i="1"/>
  <c r="T904" i="1"/>
  <c r="T42" i="1"/>
  <c r="T630" i="1"/>
  <c r="T979" i="1"/>
  <c r="T1007" i="1"/>
  <c r="T123" i="1"/>
  <c r="T344" i="1"/>
  <c r="M676" i="1"/>
  <c r="W676" i="1"/>
  <c r="M1292" i="1"/>
  <c r="W1292" i="1"/>
  <c r="M1284" i="1"/>
  <c r="W1284" i="1"/>
  <c r="T740" i="1"/>
  <c r="M1287" i="1"/>
  <c r="W1287" i="1"/>
  <c r="M1085" i="1"/>
  <c r="W1085" i="1"/>
  <c r="M1296" i="1"/>
  <c r="W1296" i="1"/>
  <c r="M1251" i="1"/>
  <c r="W1251" i="1"/>
  <c r="M760" i="1"/>
  <c r="W760" i="1"/>
  <c r="M1097" i="1"/>
  <c r="W1097" i="1"/>
  <c r="M1183" i="1"/>
  <c r="W1183" i="1"/>
  <c r="T243" i="1"/>
  <c r="T845" i="1"/>
  <c r="T381" i="1"/>
  <c r="M280" i="1"/>
  <c r="W280" i="1"/>
  <c r="M1180" i="1"/>
  <c r="W1180" i="1"/>
  <c r="M1100" i="1"/>
  <c r="W1100" i="1"/>
  <c r="M1244" i="1"/>
  <c r="W1244" i="1"/>
  <c r="M1025" i="1"/>
  <c r="W1025" i="1"/>
  <c r="M1169" i="1"/>
  <c r="W1169" i="1"/>
  <c r="M990" i="1"/>
  <c r="W990" i="1"/>
  <c r="M1134" i="1"/>
  <c r="W1134" i="1"/>
  <c r="M1278" i="1"/>
  <c r="W1278" i="1"/>
  <c r="M1111" i="1"/>
  <c r="W1111" i="1"/>
  <c r="M1255" i="1"/>
  <c r="W1255" i="1"/>
  <c r="T294" i="1"/>
  <c r="T51" i="1"/>
  <c r="T111" i="1"/>
  <c r="T159" i="1"/>
  <c r="T387" i="1"/>
  <c r="T1047" i="1"/>
  <c r="T92" i="1"/>
  <c r="T152" i="1"/>
  <c r="T836" i="1"/>
  <c r="T444" i="1"/>
  <c r="T688" i="1"/>
  <c r="T832" i="1"/>
  <c r="T1156" i="1"/>
  <c r="T246" i="1"/>
  <c r="T125" i="1"/>
  <c r="T173" i="1"/>
  <c r="T341" i="1"/>
  <c r="T629" i="1"/>
  <c r="T90" i="1"/>
  <c r="T210" i="1"/>
  <c r="T390" i="1"/>
  <c r="T450" i="1"/>
  <c r="T786" i="1"/>
  <c r="T1161" i="1"/>
  <c r="T190" i="1"/>
  <c r="T730" i="1"/>
  <c r="T838" i="1"/>
  <c r="T946" i="1"/>
  <c r="T1054" i="1"/>
  <c r="T1174" i="1"/>
  <c r="T283" i="1"/>
  <c r="T403" i="1"/>
  <c r="T751" i="1"/>
  <c r="T919" i="1"/>
  <c r="T323" i="1"/>
  <c r="T179" i="1"/>
  <c r="T299" i="1"/>
  <c r="T887" i="1"/>
  <c r="T708" i="1"/>
  <c r="T1188" i="1"/>
  <c r="T121" i="1"/>
  <c r="T349" i="1"/>
  <c r="T1009" i="1"/>
  <c r="T24" i="1"/>
  <c r="T84" i="1"/>
  <c r="T144" i="1"/>
  <c r="T324" i="1"/>
  <c r="T1214" i="1"/>
  <c r="T1245" i="1" l="1"/>
  <c r="T1173" i="1"/>
  <c r="T1233" i="1"/>
  <c r="T1272" i="1"/>
  <c r="T1282" i="1"/>
  <c r="T1258" i="1"/>
  <c r="T1212" i="1"/>
  <c r="T1159" i="1"/>
  <c r="T1219" i="1"/>
  <c r="T1016" i="1"/>
  <c r="T1025" i="1"/>
  <c r="T978" i="1"/>
  <c r="T1145" i="1"/>
  <c r="T1121" i="1"/>
  <c r="T992" i="1"/>
  <c r="T991" i="1"/>
  <c r="T1243" i="1"/>
  <c r="T1073" i="1"/>
  <c r="T1004" i="1"/>
  <c r="T1267" i="1"/>
  <c r="T1268" i="1"/>
  <c r="T1251" i="1"/>
  <c r="T1157" i="1"/>
  <c r="T1206" i="1"/>
  <c r="T1001" i="1"/>
  <c r="T977" i="1"/>
  <c r="T1240" i="1"/>
  <c r="T1229" i="1"/>
  <c r="T1028" i="1"/>
  <c r="T1205" i="1"/>
  <c r="T1254" i="1"/>
  <c r="T1171" i="1"/>
  <c r="T1208" i="1"/>
  <c r="T1256" i="1"/>
  <c r="T1291" i="1"/>
  <c r="T1170" i="1"/>
  <c r="T1099" i="1"/>
  <c r="T1014" i="1"/>
  <c r="T1063" i="1"/>
  <c r="T1100" i="1"/>
  <c r="T1013" i="1"/>
  <c r="T1290" i="1"/>
  <c r="T1220" i="1"/>
  <c r="T1147" i="1"/>
  <c r="T1098" i="1"/>
  <c r="T1050" i="1"/>
  <c r="T1160" i="1"/>
  <c r="T1183" i="1"/>
  <c r="T1266" i="1"/>
  <c r="T1110" i="1"/>
  <c r="T1263" i="1"/>
  <c r="T1064" i="1"/>
  <c r="T1086" i="1"/>
  <c r="T1275" i="1"/>
  <c r="T1026" i="1"/>
  <c r="T1037" i="1"/>
  <c r="T1279" i="1"/>
  <c r="T1207" i="1"/>
  <c r="T1052" i="1"/>
  <c r="T1241" i="1"/>
  <c r="T1061" i="1"/>
  <c r="T1172" i="1"/>
  <c r="T1146" i="1"/>
  <c r="T1231" i="1"/>
  <c r="T1112" i="1"/>
  <c r="T1244" i="1"/>
  <c r="T1169" i="1"/>
  <c r="T1287" i="1"/>
  <c r="T1136" i="1"/>
  <c r="T1277" i="1"/>
  <c r="T1181" i="1"/>
  <c r="T1038" i="1"/>
  <c r="T1002" i="1"/>
  <c r="T1216" i="1"/>
  <c r="T104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<sst xmlns="http://schemas.openxmlformats.org/spreadsheetml/2006/main" count="10716" uniqueCount="243">
  <si>
    <t>Quadrant</t>
  </si>
  <si>
    <t>Site</t>
  </si>
  <si>
    <t>metric_std</t>
  </si>
  <si>
    <t>Date</t>
  </si>
  <si>
    <t>Performance</t>
  </si>
  <si>
    <t>intervention</t>
  </si>
  <si>
    <t>Ideal_Trend</t>
  </si>
  <si>
    <t>Target</t>
  </si>
  <si>
    <t>pct_change</t>
  </si>
  <si>
    <t>intervention_n1</t>
  </si>
  <si>
    <t>Culture</t>
  </si>
  <si>
    <t>DH</t>
  </si>
  <si>
    <t>1st Year Voluntary Turnover</t>
  </si>
  <si>
    <t>DOWN</t>
  </si>
  <si>
    <t>AES Metric 1</t>
  </si>
  <si>
    <t>AES Metric 2</t>
  </si>
  <si>
    <t>AES Metric 3</t>
  </si>
  <si>
    <t>UP</t>
  </si>
  <si>
    <t>AES Metric 5</t>
  </si>
  <si>
    <t>AES Metric 6</t>
  </si>
  <si>
    <t>Quality</t>
  </si>
  <si>
    <t>CAUTI Metric 1</t>
  </si>
  <si>
    <t>CLABSI Metric 1</t>
  </si>
  <si>
    <t>Service</t>
  </si>
  <si>
    <t>Emergency Metric 1</t>
  </si>
  <si>
    <t>Inpatient Metric 1</t>
  </si>
  <si>
    <t>Inpatient Metric 2</t>
  </si>
  <si>
    <t>Inpatient Metric 3</t>
  </si>
  <si>
    <t>GMC</t>
  </si>
  <si>
    <t>MGH</t>
  </si>
  <si>
    <t>OHM</t>
  </si>
  <si>
    <t>OHS</t>
  </si>
  <si>
    <t>PMH</t>
  </si>
  <si>
    <t>RMH</t>
  </si>
  <si>
    <t>Mean</t>
  </si>
  <si>
    <t>Stdev</t>
  </si>
  <si>
    <t>Z-SCORE</t>
  </si>
  <si>
    <t>Z-score FLAG</t>
  </si>
  <si>
    <t>Distance_from_Target</t>
  </si>
  <si>
    <t>Prior Interventions</t>
  </si>
  <si>
    <t>Historical_Outcome</t>
  </si>
  <si>
    <t>Distance_Threshold</t>
  </si>
  <si>
    <t>Max_Prior_Interventions</t>
  </si>
  <si>
    <t>Decision</t>
  </si>
  <si>
    <t>Row Labels</t>
  </si>
  <si>
    <t>Decision_Code</t>
  </si>
  <si>
    <t>Max of Decision_Code</t>
  </si>
  <si>
    <t>New_Intervention</t>
  </si>
  <si>
    <t>Sum of New_Intervention</t>
  </si>
  <si>
    <t>Average of Distance_from_Target</t>
  </si>
  <si>
    <t>Z Threshold</t>
  </si>
  <si>
    <t>Intervene</t>
  </si>
  <si>
    <t>Monitor</t>
  </si>
  <si>
    <t>Grand Total</t>
  </si>
  <si>
    <t>Count of Decision</t>
  </si>
  <si>
    <t>How much improvement is good enough?</t>
  </si>
  <si>
    <t>How far from target is considered a real problem?”</t>
  </si>
  <si>
    <t>How many times can we try before giving up?</t>
  </si>
  <si>
    <t>How sensitive should we be to unusual changes?</t>
  </si>
  <si>
    <t>Improvement_Check</t>
  </si>
  <si>
    <t>Distance_check</t>
  </si>
  <si>
    <t>z_check</t>
  </si>
  <si>
    <t>intervention_check</t>
  </si>
  <si>
    <t>Column Labels</t>
  </si>
  <si>
    <t>Improved Enough</t>
  </si>
  <si>
    <t>Not Improved Enough</t>
  </si>
  <si>
    <t>Count of Improvement_Check</t>
  </si>
  <si>
    <t>Sum of Performance</t>
  </si>
  <si>
    <t>Trend</t>
  </si>
  <si>
    <t>Sum of intervention</t>
  </si>
  <si>
    <t>3. Top Risk Metrics(Distance-based)</t>
  </si>
  <si>
    <t>1. Decision Distribution</t>
  </si>
  <si>
    <t>Close</t>
  </si>
  <si>
    <t>Far</t>
  </si>
  <si>
    <t>If Far + Not Improving is high - keep distance threshold strict</t>
  </si>
  <si>
    <t>If Far + Improving is high - threshold too aggressive</t>
  </si>
  <si>
    <t>Average of pct_change</t>
  </si>
  <si>
    <t>Improvement_Threshold</t>
  </si>
  <si>
    <t>Improvement Threshold</t>
  </si>
  <si>
    <t>Distance Threshold</t>
  </si>
  <si>
    <t>Max Prior Interventions</t>
  </si>
  <si>
    <t>SET THE THRESHOLDS</t>
  </si>
  <si>
    <t>What it controls</t>
  </si>
  <si>
    <t>Minimum improvement required to consider performance “good”</t>
  </si>
  <si>
    <t>How far from target triggers concern</t>
  </si>
  <si>
    <t>Number of attempts before escalation</t>
  </si>
  <si>
    <t>Sensitivity to unusual changes</t>
  </si>
  <si>
    <t>Adjust this</t>
  </si>
  <si>
    <t>Fewer interventions</t>
  </si>
  <si>
    <t>Increase all thresholds</t>
  </si>
  <si>
    <t>Catch issues early</t>
  </si>
  <si>
    <t>Lower Distance &amp; Z</t>
  </si>
  <si>
    <t>Reduce noise</t>
  </si>
  <si>
    <t>Increase Improvement</t>
  </si>
  <si>
    <t>Escalate faster</t>
  </si>
  <si>
    <t>Lower Max Interventions</t>
  </si>
  <si>
    <t>If you want</t>
  </si>
  <si>
    <t>THRESHOLDS</t>
  </si>
  <si>
    <t>Decision Control Panel</t>
  </si>
  <si>
    <t>Threshold Guide</t>
  </si>
  <si>
    <t>Value</t>
  </si>
  <si>
    <t>Meaning</t>
  </si>
  <si>
    <t>Color</t>
  </si>
  <si>
    <t>Intervention / Action Taken</t>
  </si>
  <si>
    <t>Monitor / No Action Needed</t>
  </si>
  <si>
    <t>Escalate / Bigger Fix Needed</t>
  </si>
  <si>
    <t>Red</t>
  </si>
  <si>
    <t>Orange</t>
  </si>
  <si>
    <t>Decision Heatmap - Legend</t>
  </si>
  <si>
    <t>Green</t>
  </si>
  <si>
    <t>Meets or exceeds target</t>
  </si>
  <si>
    <t>Below target</t>
  </si>
  <si>
    <t>Heatmap Legend</t>
  </si>
  <si>
    <t>2. Intervention vs Improvement Outcome</t>
  </si>
  <si>
    <t>6. Distance from Target vs Improvement Outcome</t>
  </si>
  <si>
    <t>4. Site Comparison</t>
  </si>
  <si>
    <t>5. Interventions by Metric( New Interventions vs Old Interventions)</t>
  </si>
  <si>
    <t>Metrics</t>
  </si>
  <si>
    <t>New Interventions</t>
  </si>
  <si>
    <t>Old Interventions</t>
  </si>
  <si>
    <t>Purpose</t>
  </si>
  <si>
    <t>This tool helps identify when performance changes require action and when variation is likely normal.</t>
  </si>
  <si>
    <t>It improves decision-making by distinguishing between:</t>
  </si>
  <si>
    <t>normal variation (monitor)</t>
  </si>
  <si>
    <t>meaningful decline (intervene)</t>
  </si>
  <si>
    <t>repeated unresolved issues (escalate)</t>
  </si>
  <si>
    <t>The goal is to reduce unnecessary interventions and focus effort on high-priority issues.</t>
  </si>
  <si>
    <t>Decision Definitions</t>
  </si>
  <si>
    <t>Performance variation appears normal.</t>
  </si>
  <si>
    <t>No immediate action is needed. Continue observing future periods.</t>
  </si>
  <si>
    <t>Performance shows meaningful decline and action is recommended.</t>
  </si>
  <si>
    <t>This indicates the issue is large enough and persistent enough to justify intervention.</t>
  </si>
  <si>
    <t>Escalate</t>
  </si>
  <si>
    <t>Performance remains concerning despite prior interventions.</t>
  </si>
  <si>
    <t>Leadership review or stronger corrective action may be needed.</t>
  </si>
  <si>
    <t>Logic Definitions</t>
  </si>
  <si>
    <t>Distance from Target</t>
  </si>
  <si>
    <t>Measures how far current performance is from the expected target.</t>
  </si>
  <si>
    <r>
      <t>Close</t>
    </r>
    <r>
      <rPr>
        <sz val="11"/>
        <color theme="1"/>
        <rFont val="Calibri"/>
        <family val="2"/>
        <scheme val="minor"/>
      </rPr>
      <t xml:space="preserve"> = near target, lower urgency</t>
    </r>
  </si>
  <si>
    <r>
      <t>Far</t>
    </r>
    <r>
      <rPr>
        <sz val="11"/>
        <color theme="1"/>
        <rFont val="Calibri"/>
        <family val="2"/>
        <scheme val="minor"/>
      </rPr>
      <t xml:space="preserve"> = meaningfully below target, higher concern</t>
    </r>
  </si>
  <si>
    <t>Z-Score</t>
  </si>
  <si>
    <t>Measures whether current performance is outside normal variation.</t>
  </si>
  <si>
    <r>
      <t>Normal</t>
    </r>
    <r>
      <rPr>
        <sz val="11"/>
        <color theme="1"/>
        <rFont val="Calibri"/>
        <family val="2"/>
        <scheme val="minor"/>
      </rPr>
      <t xml:space="preserve"> = likely routine fluctuation</t>
    </r>
  </si>
  <si>
    <r>
      <t>Abnormal</t>
    </r>
    <r>
      <rPr>
        <sz val="11"/>
        <color theme="1"/>
        <rFont val="Calibri"/>
        <family val="2"/>
        <scheme val="minor"/>
      </rPr>
      <t xml:space="preserve"> = unusual change, may require action</t>
    </r>
  </si>
  <si>
    <t>Improvement Check</t>
  </si>
  <si>
    <t>Compares current improvement to expected improvement threshold.</t>
  </si>
  <si>
    <r>
      <t>Improved Enough</t>
    </r>
    <r>
      <rPr>
        <sz val="11"/>
        <color theme="1"/>
        <rFont val="Calibri"/>
        <family val="2"/>
        <scheme val="minor"/>
      </rPr>
      <t xml:space="preserve"> = acceptable recovery</t>
    </r>
  </si>
  <si>
    <r>
      <t>Not Improved Enough</t>
    </r>
    <r>
      <rPr>
        <sz val="11"/>
        <color theme="1"/>
        <rFont val="Calibri"/>
        <family val="2"/>
        <scheme val="minor"/>
      </rPr>
      <t xml:space="preserve"> = recovery is insufficient</t>
    </r>
  </si>
  <si>
    <t>Intervention Check</t>
  </si>
  <si>
    <t>Determines whether another intervention is allowed.</t>
  </si>
  <si>
    <r>
      <t>Allowed</t>
    </r>
    <r>
      <rPr>
        <sz val="11"/>
        <color theme="1"/>
        <rFont val="Calibri"/>
        <family val="2"/>
        <scheme val="minor"/>
      </rPr>
      <t xml:space="preserve"> = intervention can be triggered</t>
    </r>
  </si>
  <si>
    <r>
      <t>Maxed Out</t>
    </r>
    <r>
      <rPr>
        <sz val="11"/>
        <color theme="1"/>
        <rFont val="Calibri"/>
        <family val="2"/>
        <scheme val="minor"/>
      </rPr>
      <t xml:space="preserve"> = prior intervention limit reached</t>
    </r>
  </si>
  <si>
    <t>Threshold Settings</t>
  </si>
  <si>
    <t>Users can adjust thresholds to make the tool more or less sensitive.</t>
  </si>
  <si>
    <t>Higher = stricter definition of acceptable recovery</t>
  </si>
  <si>
    <t>Lower = easier to classify as improved</t>
  </si>
  <si>
    <t>Higher = fewer interventions</t>
  </si>
  <si>
    <t>Lower = more interventions</t>
  </si>
  <si>
    <t>Higher = allows repeated interventions before escalation</t>
  </si>
  <si>
    <t>Lower = escalates repeated issues faster</t>
  </si>
  <si>
    <t>Higher = ignores more variation</t>
  </si>
  <si>
    <t>Lower = flags unusual behavior faster</t>
  </si>
  <si>
    <t>How to Use</t>
  </si>
  <si>
    <t>1. Select a site</t>
  </si>
  <si>
    <t>2. Review performance heatmap</t>
  </si>
  <si>
    <t>3. Check decision heatmap</t>
  </si>
  <si>
    <r>
      <t xml:space="preserve">4. Focus on rows flagged as </t>
    </r>
    <r>
      <rPr>
        <b/>
        <sz val="11"/>
        <color theme="1"/>
        <rFont val="Calibri"/>
        <family val="2"/>
        <scheme val="minor"/>
      </rPr>
      <t>Intervene</t>
    </r>
    <r>
      <rPr>
        <sz val="11"/>
        <color theme="1"/>
        <rFont val="Calibri"/>
        <family val="2"/>
        <scheme val="minor"/>
      </rPr>
      <t xml:space="preserve"> or </t>
    </r>
    <r>
      <rPr>
        <b/>
        <sz val="11"/>
        <color theme="1"/>
        <rFont val="Calibri"/>
        <family val="2"/>
        <scheme val="minor"/>
      </rPr>
      <t>Escalate</t>
    </r>
  </si>
  <si>
    <t>5. Adjust thresholds to test stricter or looser intervention logic</t>
  </si>
  <si>
    <t>Recommended Interpretation</t>
  </si>
  <si>
    <r>
      <t xml:space="preserve">Use </t>
    </r>
    <r>
      <rPr>
        <b/>
        <sz val="11"/>
        <color theme="1"/>
        <rFont val="Calibri"/>
        <family val="2"/>
        <scheme val="minor"/>
      </rPr>
      <t>Monitor</t>
    </r>
    <r>
      <rPr>
        <sz val="11"/>
        <color theme="1"/>
        <rFont val="Calibri"/>
        <family val="2"/>
        <scheme val="minor"/>
      </rPr>
      <t xml:space="preserve"> for normal fluctuation</t>
    </r>
  </si>
  <si>
    <r>
      <t xml:space="preserve">Use </t>
    </r>
    <r>
      <rPr>
        <b/>
        <sz val="11"/>
        <color theme="1"/>
        <rFont val="Calibri"/>
        <family val="2"/>
        <scheme val="minor"/>
      </rPr>
      <t>Intervene</t>
    </r>
    <r>
      <rPr>
        <sz val="11"/>
        <color theme="1"/>
        <rFont val="Calibri"/>
        <family val="2"/>
        <scheme val="minor"/>
      </rPr>
      <t xml:space="preserve"> for meaningful performance deterioration</t>
    </r>
  </si>
  <si>
    <r>
      <t xml:space="preserve">Use </t>
    </r>
    <r>
      <rPr>
        <b/>
        <sz val="11"/>
        <color theme="1"/>
        <rFont val="Calibri"/>
        <family val="2"/>
        <scheme val="minor"/>
      </rPr>
      <t>Escalate</t>
    </r>
    <r>
      <rPr>
        <sz val="11"/>
        <color theme="1"/>
        <rFont val="Calibri"/>
        <family val="2"/>
        <scheme val="minor"/>
      </rPr>
      <t xml:space="preserve"> for repeated or unresolved issues</t>
    </r>
  </si>
  <si>
    <t>This tool is intended to support decision-making, not replace leadership judgment.</t>
  </si>
  <si>
    <t>PCT_CHANGE</t>
  </si>
  <si>
    <t>What this tab does</t>
  </si>
  <si>
    <t>Converts raw monthly performance into normalized percent change.</t>
  </si>
  <si>
    <t>This standardizes all metrics so they can be interpreted consistently across the control panel.</t>
  </si>
  <si>
    <t>How PCT_CHANGE works</t>
  </si>
  <si>
    <t>PCT_CHANGE compares the current month to the prior month and adjusts direction based on Ideal Trend.</t>
  </si>
  <si>
    <r>
      <t>Positive value</t>
    </r>
    <r>
      <rPr>
        <sz val="11"/>
        <color theme="1"/>
        <rFont val="Calibri"/>
        <family val="2"/>
        <scheme val="minor"/>
      </rPr>
      <t xml:space="preserve"> = performance improved</t>
    </r>
  </si>
  <si>
    <r>
      <t>Negative value</t>
    </r>
    <r>
      <rPr>
        <sz val="11"/>
        <color theme="1"/>
        <rFont val="Calibri"/>
        <family val="2"/>
        <scheme val="minor"/>
      </rPr>
      <t xml:space="preserve"> = performance declined</t>
    </r>
  </si>
  <si>
    <r>
      <t>0</t>
    </r>
    <r>
      <rPr>
        <sz val="11"/>
        <color theme="1"/>
        <rFont val="Calibri"/>
        <family val="2"/>
        <scheme val="minor"/>
      </rPr>
      <t xml:space="preserve"> = no meaningful change</t>
    </r>
  </si>
  <si>
    <t>This rule is standardized across all metrics.</t>
  </si>
  <si>
    <t>How trend affects interpretation</t>
  </si>
  <si>
    <t>UP metrics</t>
  </si>
  <si>
    <t>Higher values are better</t>
  </si>
  <si>
    <t>DOWN metrics</t>
  </si>
  <si>
    <t>Lower values are better</t>
  </si>
  <si>
    <t>To keep interpretation consistent, DOWN metrics are direction-adjusted so improvement is still positive.</t>
  </si>
  <si>
    <t>Example: 0.70 -&gt; 0.75 = improvement</t>
  </si>
  <si>
    <t>Example: 0.30 -&gt; 0.27 = improvement</t>
  </si>
  <si>
    <t>Escalate / Bigger Fix</t>
  </si>
  <si>
    <t>OhioHealth Control Panel - User Guide</t>
  </si>
  <si>
    <t>7. Observed Performance Change by Action Type</t>
  </si>
  <si>
    <t>Improvement</t>
  </si>
  <si>
    <t>Distance</t>
  </si>
  <si>
    <t>If new data is pasted beyond the pre-filled formula range (for example, beyond row 1296), formulas must be dragged down manually to extend calculations.</t>
  </si>
  <si>
    <t>If additional metrics, sites, or categories are added beyond the current model structure, supporting pivot tables and summary ranges may need to be expanded manually.</t>
  </si>
  <si>
    <t>If column names, metric labels, or field order are changed, formulas and pivot table references may need to be updated.</t>
  </si>
  <si>
    <t>Pivot tables may require refresh after new data is added to ensure summaries update correctly.</t>
  </si>
  <si>
    <t>This workbook is built for structured monthly updates and works best when the source format remains consistent.</t>
  </si>
  <si>
    <r>
      <t xml:space="preserve">Any new data added must follow the same </t>
    </r>
    <r>
      <rPr>
        <b/>
        <sz val="11"/>
        <color theme="1"/>
        <rFont val="Calibri"/>
        <family val="2"/>
        <scheme val="minor"/>
      </rPr>
      <t>top-down stacked format</t>
    </r>
    <r>
      <rPr>
        <sz val="11"/>
        <color theme="1"/>
        <rFont val="Calibri"/>
        <family val="2"/>
        <scheme val="minor"/>
      </rPr>
      <t xml:space="preserve"> used in the current file (one row per Site-Metric-Month observation).</t>
    </r>
  </si>
  <si>
    <t>File Maintenance Limitations</t>
  </si>
  <si>
    <t>=AVERAGEIF($C:$C,C2,$I:$I)</t>
  </si>
  <si>
    <t>=STDEV.S(IF($C:$C=C2,$I:$I))</t>
  </si>
  <si>
    <t>=IFERROR((I2-J2)/K2,0)</t>
  </si>
  <si>
    <t>=IF(L2&lt;=-$Z$4,1,IF(L2&gt;=$Z$4,-1,0))</t>
  </si>
  <si>
    <t>=IFERROR(IF(G2="DOWN",(E2-H2)/H2,(H2-E2)/H2),0)</t>
  </si>
  <si>
    <t>=COUNTIFS($B$2:B2,B2,$C$2:C2,C2,$D$2:D2,"&lt;"&amp;D2,$F$2:F2,1)</t>
  </si>
  <si>
    <t>=IF(F2=1,IF(I2&gt;=$Z$1,1,-1),0)</t>
  </si>
  <si>
    <t>=IF(I2&gt;=$Z$1,"Monitor",IF(AND(N2&gt;=$Z$2,L2&lt;=-$Z$4),IF(O2&lt;$Z$3,"Intervene","Escalate / Bigger Fix"),"Monitor"))</t>
  </si>
  <si>
    <t>=IF(Q2="Intervene",1,IF(Q2="Escalate / Bigger Fix",-1,0))</t>
  </si>
  <si>
    <t>=IF(Q2="Intervene",1,0)</t>
  </si>
  <si>
    <t>=IF(I2&gt;=$Z$1,"Improved Enough","Not Improved Enough")</t>
  </si>
  <si>
    <t>=IF(N2&gt;=$Z$2,"Far","Close")</t>
  </si>
  <si>
    <t>=IF(L2&lt;=-$Z$4,"Abnormal","Normal")</t>
  </si>
  <si>
    <t>=IF(O2&lt;$Z$3,"Allowed","Maxed Out")</t>
  </si>
  <si>
    <t>How Decision Logic Works</t>
  </si>
  <si>
    <t>Recommendations are not based on a single metric or one formula alone.</t>
  </si>
  <si>
    <t>The final decision is generated only after multiple rule checks are evaluated together.</t>
  </si>
  <si>
    <t>Each row is assessed using a sequence of calculated checks:</t>
  </si>
  <si>
    <r>
      <t>Mean / Stdev</t>
    </r>
    <r>
      <rPr>
        <sz val="11"/>
        <color theme="1"/>
        <rFont val="Calibri"/>
        <family val="2"/>
        <scheme val="minor"/>
      </rPr>
      <t xml:space="preserve"> establish the historical baseline for that metric</t>
    </r>
  </si>
  <si>
    <r>
      <t>Z-Score</t>
    </r>
    <r>
      <rPr>
        <sz val="11"/>
        <color theme="1"/>
        <rFont val="Calibri"/>
        <family val="2"/>
        <scheme val="minor"/>
      </rPr>
      <t xml:space="preserve"> measures how abnormal the current performance is compared to its normal behavior</t>
    </r>
  </si>
  <si>
    <r>
      <t>Z-score Flag</t>
    </r>
    <r>
      <rPr>
        <sz val="11"/>
        <color theme="1"/>
        <rFont val="Calibri"/>
        <family val="2"/>
        <scheme val="minor"/>
      </rPr>
      <t xml:space="preserve"> identifies whether the variation is statistically abnormal</t>
    </r>
  </si>
  <si>
    <r>
      <t>Distance from Target</t>
    </r>
    <r>
      <rPr>
        <sz val="11"/>
        <color theme="1"/>
        <rFont val="Calibri"/>
        <family val="2"/>
        <scheme val="minor"/>
      </rPr>
      <t xml:space="preserve"> checks how far the current performance is from the expected goal</t>
    </r>
  </si>
  <si>
    <r>
      <t>Prior Interventions</t>
    </r>
    <r>
      <rPr>
        <sz val="11"/>
        <color theme="1"/>
        <rFont val="Calibri"/>
        <family val="2"/>
        <scheme val="minor"/>
      </rPr>
      <t xml:space="preserve"> counts how many times intervention has already occurred for that same metric</t>
    </r>
  </si>
  <si>
    <r>
      <t>Historical Outcome</t>
    </r>
    <r>
      <rPr>
        <sz val="11"/>
        <color theme="1"/>
        <rFont val="Calibri"/>
        <family val="2"/>
        <scheme val="minor"/>
      </rPr>
      <t xml:space="preserve"> checks whether prior intervention periods historically improved performance</t>
    </r>
  </si>
  <si>
    <r>
      <t>Improvement Check</t>
    </r>
    <r>
      <rPr>
        <sz val="11"/>
        <color theme="1"/>
        <rFont val="Calibri"/>
        <family val="2"/>
        <scheme val="minor"/>
      </rPr>
      <t xml:space="preserve"> confirms whether current performance improved enough</t>
    </r>
  </si>
  <si>
    <r>
      <t>Distance Check</t>
    </r>
    <r>
      <rPr>
        <sz val="11"/>
        <color theme="1"/>
        <rFont val="Calibri"/>
        <family val="2"/>
        <scheme val="minor"/>
      </rPr>
      <t xml:space="preserve"> confirms whether the metric is meaningfully far from target</t>
    </r>
  </si>
  <si>
    <r>
      <t>Z Check</t>
    </r>
    <r>
      <rPr>
        <sz val="11"/>
        <color theme="1"/>
        <rFont val="Calibri"/>
        <family val="2"/>
        <scheme val="minor"/>
      </rPr>
      <t xml:space="preserve"> confirms whether the current signal is abnormal</t>
    </r>
  </si>
  <si>
    <r>
      <t>Intervention Check</t>
    </r>
    <r>
      <rPr>
        <sz val="11"/>
        <color theme="1"/>
        <rFont val="Calibri"/>
        <family val="2"/>
        <scheme val="minor"/>
      </rPr>
      <t xml:space="preserve"> ensures the metric has not already exceeded the intervention threshold</t>
    </r>
  </si>
  <si>
    <t>The final recommendation is only assigned after these checks are evaluated together.</t>
  </si>
  <si>
    <t>This means a recommendation is not triggered by poor performance alone.</t>
  </si>
  <si>
    <t>A metric must also meet the supporting conditions (distance, abnormality, and intervention allowance) before being classified as:</t>
  </si>
  <si>
    <r>
      <t>Monitor</t>
    </r>
    <r>
      <rPr>
        <sz val="11"/>
        <color theme="1"/>
        <rFont val="Calibri"/>
        <family val="2"/>
        <scheme val="minor"/>
      </rPr>
      <t xml:space="preserve"> = performance does not yet justify intervention</t>
    </r>
  </si>
  <si>
    <r>
      <t>Intervene</t>
    </r>
    <r>
      <rPr>
        <sz val="11"/>
        <color theme="1"/>
        <rFont val="Calibri"/>
        <family val="2"/>
        <scheme val="minor"/>
      </rPr>
      <t xml:space="preserve"> = signal suggests action is warranted</t>
    </r>
  </si>
  <si>
    <r>
      <t>Escalate / Bigger Fix</t>
    </r>
    <r>
      <rPr>
        <sz val="11"/>
        <color theme="1"/>
        <rFont val="Calibri"/>
        <family val="2"/>
        <scheme val="minor"/>
      </rPr>
      <t xml:space="preserve"> = repeated intervention with continued underperformance</t>
    </r>
  </si>
  <si>
    <t>Historical Outcome (N+1 Logic)</t>
  </si>
  <si>
    <r>
      <t>Historical Outcome</t>
    </r>
    <r>
      <rPr>
        <sz val="11"/>
        <color theme="1"/>
        <rFont val="Calibri"/>
        <family val="2"/>
        <scheme val="minor"/>
      </rPr>
      <t xml:space="preserve"> evaluates whether a prior intervention showed immediate short-term improvement.</t>
    </r>
  </si>
  <si>
    <r>
      <t xml:space="preserve">This check is based only on the </t>
    </r>
    <r>
      <rPr>
        <b/>
        <sz val="11"/>
        <color theme="1"/>
        <rFont val="Calibri"/>
        <family val="2"/>
        <scheme val="minor"/>
      </rPr>
      <t>next observed period (N+1)</t>
    </r>
    <r>
      <rPr>
        <sz val="11"/>
        <color theme="1"/>
        <rFont val="Calibri"/>
        <family val="2"/>
        <scheme val="minor"/>
      </rPr>
      <t xml:space="preserve"> following an intervention.</t>
    </r>
  </si>
  <si>
    <t>If performance improved enough in the next period, the historical outcome is marked positive.</t>
  </si>
  <si>
    <t>If performance did not improve enough in the next period, the historical outcome is marked negative.</t>
  </si>
  <si>
    <t>This is used as a short-term historical signal to indicate whether past intervention attempts were followed by immediate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</si>
</sst>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00"/>
    <numFmt numFmtId="166" formatCode="0.0%"/>
  </numFmts>
  <fonts count="28" x14ac:knownFonts="1">
    <font>
      <sz val="11"/>
      <color theme="1"/>
      <name val="Calibri"/>
      <family val="2"/>
      <scheme val="minor"/>
    </font>
    <font>
      <sz val="11"/>
      <color theme="1"/>
      <name val="Calibri"/>
      <family val="2"/>
      <scheme val="minor"/>
    </font>
    <font>
      <b/>
      <sz val="11"/>
      <color theme="1"/>
      <name val="Calibri"/>
      <family val="2"/>
      <scheme val="minor"/>
    </font>
    <font>
      <b/>
      <sz val="26"/>
      <color theme="1"/>
      <name val="Calibri"/>
      <family val="2"/>
      <scheme val="minor"/>
    </font>
    <font>
      <b/>
      <sz val="36"/>
      <color theme="1"/>
      <name val="Calibri"/>
      <family val="2"/>
      <scheme val="minor"/>
    </font>
    <font>
      <sz val="26"/>
      <color theme="0"/>
      <name val="Calibri"/>
      <family val="2"/>
      <scheme val="minor"/>
    </font>
    <font>
      <sz val="26"/>
      <color theme="1"/>
      <name val="Calibri"/>
      <family val="2"/>
      <scheme val="minor"/>
    </font>
    <font>
      <b/>
      <sz val="26"/>
      <color theme="0"/>
      <name val="Calibri"/>
      <family val="2"/>
      <scheme val="minor"/>
    </font>
    <font>
      <b/>
      <sz val="11"/>
      <color theme="0"/>
      <name val="Calibri"/>
      <family val="2"/>
      <scheme val="minor"/>
    </font>
    <font>
      <sz val="11"/>
      <color theme="0"/>
      <name val="Calibri"/>
      <family val="2"/>
      <scheme val="minor"/>
    </font>
    <font>
      <sz val="12"/>
      <color theme="1"/>
      <name val="Calibri"/>
      <family val="2"/>
      <scheme val="minor"/>
    </font>
    <font>
      <b/>
      <sz val="12"/>
      <color theme="1"/>
      <name val="Calibri"/>
      <family val="2"/>
      <scheme val="minor"/>
    </font>
    <font>
      <b/>
      <sz val="28"/>
      <color theme="1"/>
      <name val="Calibri"/>
      <family val="2"/>
      <scheme val="minor"/>
    </font>
    <font>
      <sz val="28"/>
      <color theme="1"/>
      <name val="Calibri"/>
      <family val="2"/>
      <scheme val="minor"/>
    </font>
    <font>
      <sz val="22"/>
      <color theme="1"/>
      <name val="Calibri"/>
      <family val="2"/>
      <scheme val="minor"/>
    </font>
    <font>
      <b/>
      <sz val="18"/>
      <color theme="0"/>
      <name val="Calibri"/>
      <family val="2"/>
      <scheme val="minor"/>
    </font>
    <font>
      <b/>
      <sz val="36"/>
      <color theme="0"/>
      <name val="Calibri"/>
      <family val="2"/>
      <scheme val="minor"/>
    </font>
    <font>
      <sz val="8"/>
      <color theme="1"/>
      <name val="Calibri"/>
      <family val="2"/>
      <scheme val="minor"/>
    </font>
    <font>
      <b/>
      <sz val="8"/>
      <color theme="0"/>
      <name val="Calibri"/>
      <family val="2"/>
      <scheme val="minor"/>
    </font>
    <font>
      <b/>
      <sz val="8"/>
      <color theme="1"/>
      <name val="Calibri"/>
      <family val="2"/>
      <scheme val="minor"/>
    </font>
    <font>
      <sz val="8"/>
      <color theme="0"/>
      <name val="Calibri"/>
      <family val="2"/>
      <scheme val="minor"/>
    </font>
    <font>
      <b/>
      <sz val="12"/>
      <color theme="0"/>
      <name val="Calibri"/>
      <family val="2"/>
      <scheme val="minor"/>
    </font>
    <font>
      <b/>
      <sz val="36"/>
      <name val="Calibri"/>
      <family val="2"/>
      <scheme val="minor"/>
    </font>
    <font>
      <b/>
      <sz val="18"/>
      <color theme="1"/>
      <name val="Calibri"/>
      <family val="2"/>
      <scheme val="minor"/>
    </font>
    <font>
      <b/>
      <sz val="13.5"/>
      <color theme="1"/>
      <name val="Calibri"/>
      <family val="2"/>
      <scheme val="minor"/>
    </font>
    <font>
      <b/>
      <sz val="14"/>
      <color theme="1"/>
      <name val="Calibri"/>
      <family val="2"/>
      <scheme val="minor"/>
    </font>
    <font>
      <b/>
      <sz val="11"/>
      <color rgb="FF333F4F"/>
      <name val="Calibri"/>
      <family val="2"/>
      <scheme val="minor"/>
    </font>
    <font>
      <b/>
      <sz val="11"/>
      <color rgb="FF0070C0"/>
      <name val="Calibri"/>
      <family val="2"/>
      <scheme val="minor"/>
    </font>
  </fonts>
  <fills count="8">
    <fill>
      <patternFill patternType="none"/>
    </fill>
    <fill>
      <patternFill patternType="gray125"/>
    </fill>
    <fill>
      <patternFill patternType="solid">
        <fgColor rgb="FF333F4F"/>
        <bgColor indexed="64"/>
      </patternFill>
    </fill>
    <fill>
      <patternFill patternType="solid">
        <fgColor rgb="FFFFC7CE"/>
        <bgColor indexed="64"/>
      </patternFill>
    </fill>
    <fill>
      <patternFill patternType="solid">
        <fgColor rgb="FFF9B883"/>
        <bgColor indexed="64"/>
      </patternFill>
    </fill>
    <fill>
      <patternFill patternType="solid">
        <fgColor auto="1"/>
        <bgColor indexed="64"/>
      </patternFill>
    </fill>
    <fill>
      <patternFill patternType="solid">
        <fgColor rgb="FF00B0F0"/>
        <bgColor indexed="64"/>
      </patternFill>
    </fill>
    <fill>
      <patternFill patternType="solid">
        <fgColor rgb="FFD0EBB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126">
    <xf numFmtId="0" fontId="0" fillId="0" borderId="0" xfId="0"/>
    <xf numFmtId="0" fontId="2" fillId="0" borderId="0" xfId="0" applyFont="1" applyAlignment="1">
      <alignment horizontal="center"/>
    </xf>
    <xf numFmtId="0" fontId="2" fillId="0" borderId="0" xfId="0" applyFont="1"/>
    <xf numFmtId="164" fontId="0" fillId="0" borderId="0" xfId="0" applyNumberFormat="1"/>
    <xf numFmtId="9" fontId="0" fillId="0" borderId="0" xfId="1" applyFont="1"/>
    <xf numFmtId="165" fontId="0" fillId="0" borderId="0" xfId="0" applyNumberFormat="1"/>
    <xf numFmtId="2" fontId="0" fillId="0" borderId="0" xfId="0" applyNumberFormat="1"/>
    <xf numFmtId="2" fontId="0" fillId="0" borderId="0" xfId="1" applyNumberFormat="1" applyFont="1"/>
    <xf numFmtId="165" fontId="0" fillId="0" borderId="0" xfId="1" applyNumberFormat="1" applyFont="1"/>
    <xf numFmtId="2" fontId="0" fillId="0" borderId="0" xfId="1" applyNumberFormat="1" applyFont="1" applyAlignment="1">
      <alignment horizontal="left" vertical="center" indent="1"/>
    </xf>
    <xf numFmtId="0" fontId="2" fillId="0" borderId="0" xfId="0" applyFont="1" applyAlignment="1">
      <alignment horizontal="center" vertical="center"/>
    </xf>
    <xf numFmtId="0" fontId="0" fillId="2" borderId="0" xfId="0" applyFill="1"/>
    <xf numFmtId="0" fontId="2" fillId="0" borderId="1" xfId="0" applyFont="1" applyBorder="1"/>
    <xf numFmtId="9" fontId="2" fillId="0" borderId="1" xfId="1" applyFont="1" applyBorder="1" applyAlignment="1">
      <alignment horizontal="center" vertical="center"/>
    </xf>
    <xf numFmtId="0" fontId="4" fillId="0" borderId="0" xfId="0" applyFont="1"/>
    <xf numFmtId="0" fontId="6" fillId="0" borderId="0" xfId="0" applyFont="1"/>
    <xf numFmtId="0" fontId="7" fillId="2" borderId="1" xfId="0" applyFont="1" applyFill="1" applyBorder="1"/>
    <xf numFmtId="0" fontId="7" fillId="2" borderId="1" xfId="0" applyFont="1" applyFill="1" applyBorder="1" applyAlignment="1">
      <alignment horizontal="center" vertical="center"/>
    </xf>
    <xf numFmtId="0" fontId="3" fillId="0" borderId="1" xfId="0" applyFont="1" applyBorder="1"/>
    <xf numFmtId="2" fontId="3" fillId="0" borderId="1" xfId="0" applyNumberFormat="1" applyFont="1" applyBorder="1" applyAlignment="1">
      <alignment horizontal="center" vertical="center"/>
    </xf>
    <xf numFmtId="0" fontId="3" fillId="0" borderId="0" xfId="0" applyFont="1"/>
    <xf numFmtId="2" fontId="7" fillId="2" borderId="1" xfId="0" applyNumberFormat="1" applyFont="1" applyFill="1" applyBorder="1" applyAlignment="1">
      <alignment horizontal="center" vertical="center"/>
    </xf>
    <xf numFmtId="0" fontId="6" fillId="2" borderId="0" xfId="0" applyFont="1" applyFill="1"/>
    <xf numFmtId="2" fontId="3" fillId="0" borderId="0" xfId="0" applyNumberFormat="1" applyFont="1" applyAlignment="1">
      <alignment horizontal="center" vertical="center"/>
    </xf>
    <xf numFmtId="2" fontId="3" fillId="0" borderId="3" xfId="0" applyNumberFormat="1" applyFont="1" applyBorder="1" applyAlignment="1">
      <alignment horizontal="center" vertical="center"/>
    </xf>
    <xf numFmtId="0" fontId="8" fillId="0" borderId="0" xfId="0" applyFont="1"/>
    <xf numFmtId="0" fontId="9" fillId="0" borderId="0" xfId="0" applyFont="1"/>
    <xf numFmtId="0" fontId="10" fillId="0" borderId="0" xfId="0" applyFont="1"/>
    <xf numFmtId="0" fontId="12" fillId="0" borderId="0" xfId="0" applyFont="1"/>
    <xf numFmtId="0" fontId="13" fillId="0" borderId="0" xfId="0" applyFont="1"/>
    <xf numFmtId="0" fontId="3" fillId="0" borderId="0" xfId="0" applyFont="1" applyAlignment="1">
      <alignment horizontal="center" vertical="center"/>
    </xf>
    <xf numFmtId="166" fontId="6" fillId="0" borderId="0" xfId="1" applyNumberFormat="1" applyFont="1" applyAlignment="1">
      <alignment horizontal="center" vertical="center"/>
    </xf>
    <xf numFmtId="2" fontId="2" fillId="0" borderId="1" xfId="1" applyNumberFormat="1" applyFont="1" applyBorder="1" applyAlignment="1">
      <alignment horizontal="center" vertical="center"/>
    </xf>
    <xf numFmtId="0" fontId="16" fillId="2" borderId="0" xfId="0" applyFont="1" applyFill="1"/>
    <xf numFmtId="0" fontId="11" fillId="0" borderId="0" xfId="0" applyFont="1"/>
    <xf numFmtId="0" fontId="7" fillId="2" borderId="4" xfId="0" applyFont="1" applyFill="1" applyBorder="1"/>
    <xf numFmtId="0" fontId="7" fillId="2" borderId="8" xfId="0" applyFont="1" applyFill="1" applyBorder="1"/>
    <xf numFmtId="0" fontId="7" fillId="2" borderId="9" xfId="0" applyFont="1" applyFill="1" applyBorder="1"/>
    <xf numFmtId="0" fontId="12" fillId="0" borderId="10" xfId="0" applyFont="1" applyBorder="1"/>
    <xf numFmtId="0" fontId="3" fillId="3" borderId="11" xfId="0" applyFont="1" applyFill="1" applyBorder="1"/>
    <xf numFmtId="0" fontId="3" fillId="7" borderId="11" xfId="0" applyFont="1" applyFill="1" applyBorder="1"/>
    <xf numFmtId="0" fontId="12" fillId="0" borderId="12" xfId="0" applyFont="1" applyBorder="1"/>
    <xf numFmtId="0" fontId="3" fillId="0" borderId="13" xfId="0" applyFont="1" applyBorder="1"/>
    <xf numFmtId="0" fontId="3" fillId="4" borderId="14" xfId="0" applyFont="1" applyFill="1" applyBorder="1"/>
    <xf numFmtId="2" fontId="3" fillId="0" borderId="1" xfId="1" applyNumberFormat="1" applyFont="1" applyBorder="1"/>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6" fillId="7" borderId="10" xfId="0" applyFont="1" applyFill="1" applyBorder="1" applyAlignment="1">
      <alignment vertical="center" wrapText="1"/>
    </xf>
    <xf numFmtId="0" fontId="6" fillId="0" borderId="11" xfId="0" applyFont="1" applyBorder="1" applyAlignment="1">
      <alignment vertical="center" wrapText="1"/>
    </xf>
    <xf numFmtId="0" fontId="6" fillId="3" borderId="12" xfId="0" applyFont="1" applyFill="1" applyBorder="1" applyAlignment="1">
      <alignment vertical="center" wrapText="1"/>
    </xf>
    <xf numFmtId="0" fontId="6" fillId="0" borderId="14" xfId="0" applyFont="1" applyBorder="1" applyAlignment="1">
      <alignment vertical="center" wrapText="1"/>
    </xf>
    <xf numFmtId="0" fontId="16" fillId="2" borderId="1" xfId="0" applyFont="1" applyFill="1" applyBorder="1"/>
    <xf numFmtId="9" fontId="14" fillId="0" borderId="0" xfId="1" applyFont="1"/>
    <xf numFmtId="0" fontId="17" fillId="0" borderId="0" xfId="0" applyFont="1"/>
    <xf numFmtId="0" fontId="18" fillId="0" borderId="0" xfId="0" applyFont="1"/>
    <xf numFmtId="0" fontId="20" fillId="0" borderId="0" xfId="0" applyFont="1"/>
    <xf numFmtId="9" fontId="19" fillId="0" borderId="0" xfId="1" applyFont="1" applyFill="1" applyBorder="1" applyAlignment="1">
      <alignment horizontal="center"/>
    </xf>
    <xf numFmtId="9" fontId="17" fillId="0" borderId="0" xfId="1" applyFont="1"/>
    <xf numFmtId="0" fontId="17" fillId="2" borderId="0" xfId="0" applyFont="1" applyFill="1"/>
    <xf numFmtId="0" fontId="21" fillId="2" borderId="1" xfId="0" applyFont="1" applyFill="1" applyBorder="1"/>
    <xf numFmtId="0" fontId="11" fillId="0" borderId="1" xfId="0" applyFont="1" applyBorder="1" applyAlignment="1">
      <alignment horizontal="left"/>
    </xf>
    <xf numFmtId="0" fontId="21" fillId="2" borderId="1" xfId="0" applyFont="1" applyFill="1" applyBorder="1" applyAlignment="1">
      <alignment horizontal="left"/>
    </xf>
    <xf numFmtId="2" fontId="11" fillId="0" borderId="1" xfId="0" applyNumberFormat="1" applyFont="1" applyBorder="1"/>
    <xf numFmtId="2" fontId="21" fillId="2" borderId="1" xfId="0" applyNumberFormat="1" applyFont="1" applyFill="1" applyBorder="1"/>
    <xf numFmtId="165" fontId="11" fillId="0" borderId="1" xfId="0" applyNumberFormat="1" applyFont="1" applyBorder="1"/>
    <xf numFmtId="165" fontId="21" fillId="2" borderId="1" xfId="0" applyNumberFormat="1" applyFont="1" applyFill="1" applyBorder="1"/>
    <xf numFmtId="0" fontId="16" fillId="2" borderId="10" xfId="0" applyFont="1" applyFill="1" applyBorder="1" applyAlignment="1">
      <alignment horizontal="center"/>
    </xf>
    <xf numFmtId="0" fontId="16" fillId="2" borderId="11" xfId="0" applyFont="1" applyFill="1" applyBorder="1" applyAlignment="1">
      <alignment horizontal="center"/>
    </xf>
    <xf numFmtId="0" fontId="4" fillId="0" borderId="10" xfId="0" applyFont="1" applyBorder="1" applyAlignment="1">
      <alignment horizontal="center"/>
    </xf>
    <xf numFmtId="10" fontId="4" fillId="0" borderId="1" xfId="1" applyNumberFormat="1" applyFont="1" applyBorder="1" applyAlignment="1">
      <alignment horizontal="center" vertical="center"/>
    </xf>
    <xf numFmtId="0" fontId="4" fillId="0" borderId="11" xfId="0" applyFont="1" applyBorder="1" applyAlignment="1">
      <alignment horizontal="center"/>
    </xf>
    <xf numFmtId="1" fontId="4" fillId="0" borderId="1" xfId="0" applyNumberFormat="1" applyFont="1" applyBorder="1" applyAlignment="1">
      <alignment horizontal="center" vertical="center"/>
    </xf>
    <xf numFmtId="0" fontId="4" fillId="0" borderId="12" xfId="0" applyFont="1" applyBorder="1" applyAlignment="1">
      <alignment horizontal="center"/>
    </xf>
    <xf numFmtId="2" fontId="4" fillId="0" borderId="13" xfId="0" applyNumberFormat="1" applyFont="1" applyBorder="1" applyAlignment="1">
      <alignment horizontal="center"/>
    </xf>
    <xf numFmtId="0" fontId="4" fillId="0" borderId="14" xfId="0" applyFont="1" applyBorder="1" applyAlignment="1">
      <alignment horizontal="center"/>
    </xf>
    <xf numFmtId="0" fontId="16" fillId="2" borderId="8"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4" fillId="0" borderId="14" xfId="0" applyFont="1" applyBorder="1" applyAlignment="1">
      <alignment vertical="center" wrapText="1"/>
    </xf>
    <xf numFmtId="164" fontId="16" fillId="2" borderId="1" xfId="0" applyNumberFormat="1" applyFont="1" applyFill="1" applyBorder="1"/>
    <xf numFmtId="0" fontId="4" fillId="0" borderId="1" xfId="0" applyFont="1" applyBorder="1" applyAlignment="1">
      <alignment horizontal="left"/>
    </xf>
    <xf numFmtId="2" fontId="4" fillId="0" borderId="1" xfId="0" applyNumberFormat="1" applyFont="1" applyBorder="1"/>
    <xf numFmtId="0" fontId="4" fillId="0" borderId="1" xfId="0" applyFont="1" applyBorder="1" applyAlignment="1">
      <alignment horizontal="left" indent="1"/>
    </xf>
    <xf numFmtId="166" fontId="4" fillId="0" borderId="1" xfId="0" applyNumberFormat="1" applyFont="1" applyBorder="1"/>
    <xf numFmtId="0" fontId="22" fillId="0" borderId="0" xfId="0" applyFont="1" applyAlignment="1">
      <alignment horizontal="left"/>
    </xf>
    <xf numFmtId="166" fontId="16" fillId="5" borderId="0" xfId="0" applyNumberFormat="1" applyFont="1" applyFill="1"/>
    <xf numFmtId="0" fontId="4" fillId="0" borderId="0" xfId="0" applyFont="1" applyAlignment="1">
      <alignment horizontal="left"/>
    </xf>
    <xf numFmtId="166" fontId="4" fillId="0" borderId="0" xfId="0" applyNumberFormat="1" applyFont="1"/>
    <xf numFmtId="164" fontId="16" fillId="2" borderId="0" xfId="0" applyNumberFormat="1" applyFont="1" applyFill="1"/>
    <xf numFmtId="0" fontId="16" fillId="2" borderId="1" xfId="0" applyFont="1" applyFill="1" applyBorder="1" applyAlignment="1">
      <alignment horizontal="left"/>
    </xf>
    <xf numFmtId="0" fontId="0" fillId="0" borderId="0" xfId="0" quotePrefix="1"/>
    <xf numFmtId="0" fontId="23" fillId="0" borderId="0" xfId="0" applyFont="1" applyAlignment="1">
      <alignment vertical="center"/>
    </xf>
    <xf numFmtId="0" fontId="24" fillId="0" borderId="0" xfId="0" applyFont="1" applyAlignment="1">
      <alignment vertical="center"/>
    </xf>
    <xf numFmtId="0" fontId="0" fillId="0" borderId="0" xfId="0" applyAlignment="1">
      <alignment horizontal="left" vertical="center" indent="1"/>
    </xf>
    <xf numFmtId="0" fontId="25" fillId="0" borderId="0" xfId="0" applyFont="1" applyAlignment="1">
      <alignment vertical="center"/>
    </xf>
    <xf numFmtId="0" fontId="2" fillId="0" borderId="0" xfId="0" applyFont="1" applyAlignment="1">
      <alignment horizontal="left" vertical="center" indent="1"/>
    </xf>
    <xf numFmtId="0" fontId="26" fillId="0" borderId="1" xfId="0" applyFont="1" applyBorder="1" applyAlignment="1">
      <alignment horizontal="center" vertical="center"/>
    </xf>
    <xf numFmtId="0" fontId="11" fillId="0" borderId="0" xfId="0" applyFont="1" applyAlignment="1">
      <alignment vertical="center"/>
    </xf>
    <xf numFmtId="0" fontId="0" fillId="0" borderId="1" xfId="0" applyBorder="1"/>
    <xf numFmtId="165" fontId="2" fillId="0" borderId="1" xfId="0" applyNumberFormat="1" applyFont="1" applyBorder="1"/>
    <xf numFmtId="164" fontId="0" fillId="0" borderId="1" xfId="0" applyNumberFormat="1" applyBorder="1"/>
    <xf numFmtId="2" fontId="0" fillId="0" borderId="1" xfId="0" applyNumberFormat="1" applyBorder="1"/>
    <xf numFmtId="2" fontId="1" fillId="0" borderId="1" xfId="1" applyNumberFormat="1" applyFont="1" applyBorder="1"/>
    <xf numFmtId="0" fontId="27" fillId="0" borderId="1" xfId="0" applyFont="1" applyBorder="1" applyAlignment="1">
      <alignment horizontal="center" vertical="center"/>
    </xf>
    <xf numFmtId="0" fontId="2" fillId="0" borderId="1" xfId="0" applyFont="1" applyBorder="1" applyAlignment="1">
      <alignment horizontal="center" vertical="center"/>
    </xf>
    <xf numFmtId="2" fontId="0" fillId="0" borderId="1" xfId="1" applyNumberFormat="1" applyFont="1" applyBorder="1"/>
    <xf numFmtId="0" fontId="4" fillId="6" borderId="17" xfId="0" applyFont="1" applyFill="1" applyBorder="1" applyAlignment="1">
      <alignment horizontal="center"/>
    </xf>
    <xf numFmtId="0" fontId="4" fillId="6" borderId="18" xfId="0" applyFont="1" applyFill="1" applyBorder="1" applyAlignment="1">
      <alignment horizontal="center"/>
    </xf>
    <xf numFmtId="0" fontId="4" fillId="6" borderId="5" xfId="0" applyFont="1" applyFill="1" applyBorder="1" applyAlignment="1">
      <alignment horizontal="center"/>
    </xf>
    <xf numFmtId="0" fontId="4" fillId="6" borderId="6" xfId="0" applyFont="1" applyFill="1" applyBorder="1" applyAlignment="1">
      <alignment horizontal="center"/>
    </xf>
    <xf numFmtId="0" fontId="4" fillId="6" borderId="7" xfId="0" applyFont="1" applyFill="1" applyBorder="1" applyAlignment="1">
      <alignment horizontal="center"/>
    </xf>
    <xf numFmtId="0" fontId="4" fillId="6" borderId="15" xfId="0" applyFont="1" applyFill="1" applyBorder="1" applyAlignment="1">
      <alignment horizontal="center"/>
    </xf>
    <xf numFmtId="0" fontId="4" fillId="6" borderId="16" xfId="0" applyFont="1" applyFill="1" applyBorder="1" applyAlignment="1">
      <alignment horizontal="center"/>
    </xf>
    <xf numFmtId="0" fontId="4" fillId="6" borderId="17" xfId="0" applyFont="1" applyFill="1" applyBorder="1" applyAlignment="1">
      <alignment horizontal="center" vertical="center"/>
    </xf>
    <xf numFmtId="0" fontId="4" fillId="6" borderId="19" xfId="0" applyFont="1" applyFill="1" applyBorder="1" applyAlignment="1">
      <alignment horizontal="center" vertical="center"/>
    </xf>
    <xf numFmtId="0" fontId="4" fillId="6" borderId="18" xfId="0" applyFont="1" applyFill="1" applyBorder="1" applyAlignment="1">
      <alignment horizontal="center" vertical="center"/>
    </xf>
    <xf numFmtId="0" fontId="15" fillId="2" borderId="0" xfId="0" applyFont="1" applyFill="1" applyAlignment="1">
      <alignment horizontal="center"/>
    </xf>
    <xf numFmtId="0" fontId="4" fillId="0" borderId="0" xfId="0" applyNumberFormat="1" applyFont="1"/>
    <xf numFmtId="0" fontId="4" fillId="0" borderId="1" xfId="0" applyNumberFormat="1" applyFont="1" applyBorder="1"/>
    <xf numFmtId="0" fontId="4" fillId="0" borderId="2" xfId="0" applyNumberFormat="1" applyFont="1" applyBorder="1"/>
    <xf numFmtId="0" fontId="11" fillId="0" borderId="1" xfId="0" applyNumberFormat="1" applyFont="1" applyBorder="1"/>
    <xf numFmtId="0" fontId="21" fillId="2" borderId="1" xfId="0" applyNumberFormat="1" applyFont="1" applyFill="1" applyBorder="1"/>
    <xf numFmtId="0" fontId="16" fillId="2" borderId="1" xfId="0" applyNumberFormat="1" applyFont="1" applyFill="1" applyBorder="1"/>
    <xf numFmtId="0" fontId="0" fillId="0" borderId="0" xfId="0" applyAlignment="1">
      <alignment vertical="center"/>
    </xf>
  </cellXfs>
  <cellStyles count="2">
    <cellStyle name="Normal" xfId="0" builtinId="0"/>
    <cellStyle name="Percent" xfId="1" builtinId="5"/>
  </cellStyles>
  <dxfs count="373">
    <dxf>
      <fill>
        <patternFill>
          <bgColor rgb="FFC6EFCE"/>
        </patternFill>
      </fill>
    </dxf>
    <dxf>
      <fill>
        <patternFill>
          <bgColor rgb="FFF9B883"/>
        </patternFill>
      </fill>
    </dxf>
    <dxf>
      <fill>
        <patternFill>
          <bgColor rgb="FFFFC7CE"/>
        </patternFill>
      </fill>
    </dxf>
    <dxf>
      <fill>
        <patternFill>
          <bgColor rgb="FFC6EFCE"/>
        </patternFill>
      </fill>
    </dxf>
    <dxf>
      <fill>
        <patternFill>
          <bgColor rgb="FFFFC7CE"/>
        </patternFill>
      </fill>
    </dxf>
    <dxf>
      <font>
        <sz val="12"/>
      </font>
    </dxf>
    <dxf>
      <font>
        <sz val="12"/>
      </font>
    </dxf>
    <dxf>
      <font>
        <sz val="12"/>
      </font>
    </dxf>
    <dxf>
      <font>
        <sz val="12"/>
      </font>
    </dxf>
    <dxf>
      <font>
        <sz val="12"/>
      </font>
    </dxf>
    <dxf>
      <font>
        <sz val="12"/>
      </font>
    </dxf>
    <dxf>
      <font>
        <color theme="0"/>
      </font>
    </dxf>
    <dxf>
      <font>
        <color theme="0"/>
      </font>
    </dxf>
    <dxf>
      <fill>
        <patternFill patternType="solid">
          <bgColor rgb="FF333F4F"/>
        </patternFill>
      </fill>
    </dxf>
    <dxf>
      <fill>
        <patternFill patternType="solid">
          <bgColor rgb="FF333F4F"/>
        </patternFill>
      </fill>
    </dxf>
    <dxf>
      <font>
        <color theme="0"/>
      </font>
    </dxf>
    <dxf>
      <fill>
        <patternFill>
          <bgColor rgb="FF333F4F"/>
        </patternFill>
      </fill>
    </dxf>
    <dxf>
      <fill>
        <patternFill>
          <bgColor rgb="FF333F4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ill>
        <patternFill>
          <bgColor rgb="FF333F4F"/>
        </patternFill>
      </fill>
    </dxf>
    <dxf>
      <font>
        <color theme="0"/>
      </font>
    </dxf>
    <dxf>
      <font>
        <color theme="0"/>
      </font>
    </dxf>
    <dxf>
      <fill>
        <patternFill patternType="solid">
          <bgColor rgb="FF333F4F"/>
        </patternFill>
      </fill>
    </dxf>
    <dxf>
      <fill>
        <patternFill patternType="solid">
          <bgColor rgb="FF333F4F"/>
        </patternFill>
      </fill>
    </dxf>
    <dxf>
      <font>
        <sz val="26"/>
      </font>
    </dxf>
    <dxf>
      <font>
        <sz val="26"/>
      </font>
    </dxf>
    <dxf>
      <font>
        <sz val="26"/>
      </font>
    </dxf>
    <dxf>
      <font>
        <sz val="26"/>
      </font>
    </dxf>
    <dxf>
      <font>
        <sz val="12"/>
      </font>
    </dxf>
    <dxf>
      <font>
        <sz val="12"/>
      </font>
    </dxf>
    <dxf>
      <font>
        <sz val="12"/>
      </font>
    </dxf>
    <dxf>
      <font>
        <sz val="12"/>
      </font>
    </dxf>
    <dxf>
      <font>
        <sz val="12"/>
      </font>
    </dxf>
    <dxf>
      <font>
        <color theme="0"/>
      </font>
    </dxf>
    <dxf>
      <font>
        <color theme="0"/>
      </font>
    </dxf>
    <dxf>
      <fill>
        <patternFill patternType="solid">
          <bgColor rgb="FF333F4F"/>
        </patternFill>
      </fill>
    </dxf>
    <dxf>
      <fill>
        <patternFill patternType="solid">
          <bgColor rgb="FF333F4F"/>
        </patternFill>
      </fill>
    </dxf>
    <dxf>
      <font>
        <color theme="0"/>
      </font>
    </dxf>
    <dxf>
      <fill>
        <patternFill>
          <bgColor rgb="FF333F4F"/>
        </patternFill>
      </fill>
    </dxf>
    <dxf>
      <fill>
        <patternFill>
          <bgColor rgb="FF333F4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ill>
        <patternFill>
          <bgColor rgb="FF333F4F"/>
        </patternFill>
      </fill>
    </dxf>
    <dxf>
      <font>
        <color theme="0"/>
      </font>
    </dxf>
    <dxf>
      <font>
        <color theme="0"/>
      </font>
    </dxf>
    <dxf>
      <fill>
        <patternFill patternType="solid">
          <bgColor rgb="FF333F4F"/>
        </patternFill>
      </fill>
    </dxf>
    <dxf>
      <fill>
        <patternFill patternType="solid">
          <bgColor rgb="FF333F4F"/>
        </patternFill>
      </fill>
    </dxf>
    <dxf>
      <font>
        <sz val="26"/>
      </font>
    </dxf>
    <dxf>
      <font>
        <sz val="26"/>
      </font>
    </dxf>
    <dxf>
      <font>
        <sz val="26"/>
      </font>
    </dxf>
    <dxf>
      <font>
        <sz val="26"/>
      </font>
    </dxf>
    <dxf>
      <font>
        <sz val="12"/>
      </font>
    </dxf>
    <dxf>
      <font>
        <sz val="12"/>
      </font>
    </dxf>
    <dxf>
      <font>
        <sz val="12"/>
      </font>
    </dxf>
    <dxf>
      <font>
        <sz val="12"/>
      </font>
    </dxf>
    <dxf>
      <font>
        <sz val="12"/>
      </font>
    </dxf>
    <dxf>
      <font>
        <sz val="12"/>
      </font>
    </dxf>
    <dxf>
      <font>
        <color theme="0"/>
      </font>
    </dxf>
    <dxf>
      <font>
        <color theme="0"/>
      </font>
    </dxf>
    <dxf>
      <fill>
        <patternFill patternType="solid">
          <bgColor rgb="FF333F4F"/>
        </patternFill>
      </fill>
    </dxf>
    <dxf>
      <fill>
        <patternFill patternType="solid">
          <bgColor rgb="FF333F4F"/>
        </patternFill>
      </fill>
    </dxf>
    <dxf>
      <font>
        <color theme="0"/>
      </font>
    </dxf>
    <dxf>
      <fill>
        <patternFill patternType="solid">
          <bgColor rgb="FF333F4F"/>
        </patternFill>
      </fill>
    </dxf>
    <dxf>
      <font>
        <color theme="0"/>
      </font>
    </dxf>
    <dxf>
      <fill>
        <patternFill>
          <bgColor rgb="FF333F4F"/>
        </patternFill>
      </fill>
    </dxf>
    <dxf>
      <fill>
        <patternFill>
          <bgColor rgb="FF333F4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ill>
        <patternFill>
          <bgColor rgb="FF333F4F"/>
        </patternFill>
      </fill>
    </dxf>
    <dxf>
      <font>
        <color theme="0"/>
      </font>
    </dxf>
    <dxf>
      <font>
        <color theme="0"/>
      </font>
    </dxf>
    <dxf>
      <fill>
        <patternFill patternType="solid">
          <bgColor rgb="FF333F4F"/>
        </patternFill>
      </fill>
    </dxf>
    <dxf>
      <fill>
        <patternFill patternType="solid">
          <bgColor rgb="FF333F4F"/>
        </patternFill>
      </fill>
    </dxf>
    <dxf>
      <font>
        <sz val="26"/>
      </font>
    </dxf>
    <dxf>
      <font>
        <sz val="26"/>
      </font>
    </dxf>
    <dxf>
      <font>
        <sz val="26"/>
      </font>
    </dxf>
    <dxf>
      <font>
        <sz val="26"/>
      </font>
    </dxf>
    <dxf>
      <font>
        <sz val="12"/>
      </font>
    </dxf>
    <dxf>
      <font>
        <sz val="12"/>
      </font>
    </dxf>
    <dxf>
      <font>
        <sz val="12"/>
      </font>
    </dxf>
    <dxf>
      <font>
        <sz val="12"/>
      </font>
    </dxf>
    <dxf>
      <font>
        <sz val="12"/>
      </font>
    </dxf>
    <dxf>
      <font>
        <sz val="12"/>
      </font>
    </dxf>
    <dxf>
      <font>
        <color theme="0"/>
      </font>
    </dxf>
    <dxf>
      <font>
        <color theme="0"/>
      </font>
    </dxf>
    <dxf>
      <fill>
        <patternFill>
          <bgColor rgb="FF333F4F"/>
        </patternFill>
      </fill>
    </dxf>
    <dxf>
      <fill>
        <patternFill>
          <bgColor rgb="FF333F4F"/>
        </patternFill>
      </fill>
    </dxf>
    <dxf>
      <font>
        <color theme="0"/>
      </font>
    </dxf>
    <dxf>
      <font>
        <color theme="0"/>
      </font>
    </dxf>
    <dxf>
      <font>
        <color theme="0"/>
      </font>
    </dxf>
    <dxf>
      <font>
        <color theme="0"/>
      </font>
    </dxf>
    <dxf>
      <font>
        <color theme="0"/>
      </font>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ont>
        <color theme="0"/>
      </font>
    </dxf>
    <dxf>
      <fill>
        <patternFill patternType="solid">
          <bgColor rgb="FF333F4F"/>
        </patternFill>
      </fill>
    </dxf>
    <dxf>
      <font>
        <color theme="0"/>
      </font>
    </dxf>
    <dxf>
      <fill>
        <patternFill>
          <bgColor rgb="FF333F4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ill>
        <patternFill>
          <bgColor rgb="FF333F4F"/>
        </patternFill>
      </fill>
    </dxf>
    <dxf>
      <font>
        <color theme="0"/>
      </font>
    </dxf>
    <dxf>
      <font>
        <color theme="0"/>
      </font>
    </dxf>
    <dxf>
      <fill>
        <patternFill patternType="solid">
          <bgColor rgb="FF333F4F"/>
        </patternFill>
      </fill>
    </dxf>
    <dxf>
      <fill>
        <patternFill patternType="solid">
          <bgColor rgb="FF333F4F"/>
        </patternFill>
      </fill>
    </dxf>
    <dxf>
      <font>
        <sz val="26"/>
      </font>
    </dxf>
    <dxf>
      <font>
        <sz val="26"/>
      </font>
    </dxf>
    <dxf>
      <font>
        <sz val="26"/>
      </font>
    </dxf>
    <dxf>
      <font>
        <sz val="26"/>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color theme="0"/>
      </font>
    </dxf>
    <dxf>
      <font>
        <color theme="0"/>
      </font>
    </dxf>
    <dxf>
      <fill>
        <patternFill patternType="solid">
          <bgColor rgb="FF333F4F"/>
        </patternFill>
      </fill>
    </dxf>
    <dxf>
      <fill>
        <patternFill patternType="solid">
          <bgColor rgb="FF333F4F"/>
        </patternFill>
      </fill>
    </dxf>
    <dxf>
      <font>
        <color theme="0"/>
      </font>
    </dxf>
    <dxf>
      <fill>
        <patternFill patternType="solid">
          <bgColor rgb="FF333F4F"/>
        </patternFill>
      </fill>
    </dxf>
    <dxf>
      <font>
        <color theme="0"/>
      </font>
    </dxf>
    <dxf>
      <font>
        <color theme="0"/>
      </font>
    </dxf>
    <dxf>
      <font>
        <color theme="0"/>
      </font>
    </dxf>
    <dxf>
      <font>
        <color theme="0"/>
      </font>
    </dxf>
    <dxf>
      <font>
        <color theme="0"/>
      </font>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ont>
        <color theme="0"/>
      </font>
    </dxf>
    <dxf>
      <fill>
        <patternFill>
          <bgColor rgb="FF333F4F"/>
        </patternFill>
      </fill>
    </dxf>
    <dxf>
      <fill>
        <patternFill>
          <bgColor rgb="FF333F4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ill>
        <patternFill>
          <bgColor rgb="FF333F4F"/>
        </patternFill>
      </fill>
    </dxf>
    <dxf>
      <font>
        <color theme="0"/>
      </font>
    </dxf>
    <dxf>
      <font>
        <color theme="0"/>
      </font>
    </dxf>
    <dxf>
      <fill>
        <patternFill patternType="solid">
          <bgColor rgb="FF333F4F"/>
        </patternFill>
      </fill>
    </dxf>
    <dxf>
      <fill>
        <patternFill patternType="solid">
          <bgColor rgb="FF333F4F"/>
        </patternFill>
      </fill>
    </dxf>
    <dxf>
      <font>
        <sz val="26"/>
      </font>
    </dxf>
    <dxf>
      <font>
        <sz val="26"/>
      </font>
    </dxf>
    <dxf>
      <font>
        <sz val="26"/>
      </font>
    </dxf>
    <dxf>
      <font>
        <sz val="26"/>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color theme="0"/>
      </font>
    </dxf>
    <dxf>
      <font>
        <color theme="0"/>
      </font>
    </dxf>
    <dxf>
      <font>
        <color theme="0"/>
      </font>
    </dxf>
    <dxf>
      <font>
        <color theme="0"/>
      </font>
    </dxf>
    <dxf>
      <font>
        <color theme="0"/>
      </font>
    </dxf>
    <dxf>
      <font>
        <color theme="0"/>
      </font>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ill>
        <patternFill>
          <bgColor rgb="FF333F4F"/>
        </patternFill>
      </fill>
    </dxf>
    <dxf>
      <font>
        <color theme="0"/>
      </font>
    </dxf>
    <dxf>
      <fill>
        <patternFill patternType="solid">
          <bgColor rgb="FF333F4F"/>
        </patternFill>
      </fill>
    </dxf>
    <dxf>
      <font>
        <color theme="0"/>
      </font>
    </dxf>
    <dxf>
      <fill>
        <patternFill>
          <bgColor rgb="FF333F4F"/>
        </patternFill>
      </fill>
    </dxf>
    <dxf>
      <fill>
        <patternFill>
          <bgColor rgb="FF333F4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ill>
        <patternFill>
          <bgColor rgb="FF333F4F"/>
        </patternFill>
      </fill>
    </dxf>
    <dxf>
      <font>
        <color theme="0"/>
      </font>
    </dxf>
    <dxf>
      <font>
        <color theme="0"/>
      </font>
    </dxf>
    <dxf>
      <fill>
        <patternFill patternType="solid">
          <bgColor rgb="FF333F4F"/>
        </patternFill>
      </fill>
    </dxf>
    <dxf>
      <fill>
        <patternFill patternType="solid">
          <bgColor rgb="FF333F4F"/>
        </patternFill>
      </fill>
    </dxf>
    <dxf>
      <font>
        <sz val="26"/>
      </font>
    </dxf>
    <dxf>
      <font>
        <sz val="26"/>
      </font>
    </dxf>
    <dxf>
      <font>
        <sz val="26"/>
      </font>
    </dxf>
    <dxf>
      <font>
        <sz val="26"/>
      </font>
    </dxf>
    <dxf>
      <font>
        <sz val="12"/>
      </font>
    </dxf>
    <dxf>
      <font>
        <sz val="12"/>
      </font>
    </dxf>
    <dxf>
      <font>
        <sz val="12"/>
      </font>
    </dxf>
    <dxf>
      <font>
        <sz val="12"/>
      </font>
    </dxf>
    <dxf>
      <font>
        <sz val="12"/>
      </font>
    </dxf>
    <dxf>
      <font>
        <sz val="12"/>
      </font>
    </dxf>
    <dxf>
      <font>
        <color theme="0"/>
      </font>
    </dxf>
    <dxf>
      <fill>
        <patternFill patternType="solid">
          <bgColor rgb="FF333F4F"/>
        </patternFill>
      </fill>
    </dxf>
    <dxf>
      <font>
        <color theme="0"/>
      </font>
    </dxf>
    <dxf>
      <font>
        <color theme="0"/>
      </font>
    </dxf>
    <dxf>
      <fill>
        <patternFill>
          <bgColor rgb="FF333F4F"/>
        </patternFill>
      </fill>
    </dxf>
    <dxf>
      <fill>
        <patternFill>
          <bgColor rgb="FF333F4F"/>
        </patternFill>
      </fill>
    </dxf>
    <dxf>
      <fill>
        <patternFill>
          <bgColor rgb="FF333F4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ill>
        <patternFill>
          <bgColor rgb="FF333F4F"/>
        </patternFill>
      </fill>
    </dxf>
    <dxf>
      <font>
        <color theme="0"/>
      </font>
    </dxf>
    <dxf>
      <font>
        <color theme="0"/>
      </font>
    </dxf>
    <dxf>
      <fill>
        <patternFill patternType="solid">
          <bgColor rgb="FF333F4F"/>
        </patternFill>
      </fill>
    </dxf>
    <dxf>
      <fill>
        <patternFill patternType="solid">
          <bgColor rgb="FF333F4F"/>
        </patternFill>
      </fill>
    </dxf>
    <dxf>
      <font>
        <sz val="26"/>
      </font>
    </dxf>
    <dxf>
      <font>
        <sz val="26"/>
      </font>
    </dxf>
    <dxf>
      <font>
        <sz val="26"/>
      </font>
    </dxf>
    <dxf>
      <font>
        <sz val="26"/>
      </font>
    </dxf>
    <dxf>
      <font>
        <sz val="36"/>
      </font>
    </dxf>
    <dxf>
      <font>
        <sz val="36"/>
      </font>
    </dxf>
    <dxf>
      <font>
        <sz val="36"/>
      </font>
    </dxf>
    <dxf>
      <font>
        <sz val="36"/>
      </font>
    </dxf>
    <dxf>
      <font>
        <sz val="36"/>
      </font>
    </dxf>
    <dxf>
      <font>
        <sz val="36"/>
      </font>
    </dxf>
    <dxf>
      <font>
        <sz val="36"/>
      </font>
    </dxf>
    <dxf>
      <font>
        <sz val="36"/>
      </font>
    </dxf>
    <dxf>
      <font>
        <sz val="36"/>
      </font>
    </dxf>
    <dxf>
      <font>
        <b/>
      </font>
    </dxf>
    <dxf>
      <font>
        <b/>
      </font>
    </dxf>
    <dxf>
      <font>
        <b/>
      </font>
    </dxf>
    <dxf>
      <font>
        <b/>
      </font>
    </dxf>
    <dxf>
      <font>
        <b/>
      </font>
    </dxf>
    <dxf>
      <font>
        <b/>
      </font>
    </dxf>
    <dxf>
      <font>
        <b/>
      </font>
    </dxf>
    <dxf>
      <font>
        <b/>
      </font>
    </dxf>
    <dxf>
      <font>
        <b/>
      </font>
    </dxf>
    <dxf>
      <fill>
        <patternFill>
          <bgColor rgb="FF333F4F"/>
        </patternFill>
      </fill>
    </dxf>
    <dxf>
      <fill>
        <patternFill>
          <bgColor rgb="FF333F4F"/>
        </patternFill>
      </fill>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ill>
        <patternFill patternType="solid">
          <bgColor rgb="FF333F4F"/>
        </patternFill>
      </fill>
    </dxf>
    <dxf>
      <fill>
        <patternFill patternType="solid">
          <bgColor rgb="FF333F4F"/>
        </patternFill>
      </fill>
    </dxf>
    <dxf>
      <fill>
        <patternFill patternType="solid">
          <bgColor rgb="FF333F4F"/>
        </patternFill>
      </fill>
    </dxf>
    <dxf>
      <font>
        <sz val="26"/>
      </font>
    </dxf>
    <dxf>
      <font>
        <sz val="26"/>
      </font>
    </dxf>
    <dxf>
      <font>
        <sz val="26"/>
      </font>
    </dxf>
    <dxf>
      <font>
        <sz val="26"/>
      </font>
    </dxf>
    <dxf>
      <font>
        <sz val="26"/>
      </font>
    </dxf>
    <dxf>
      <font>
        <sz val="26"/>
      </font>
    </dxf>
    <dxf>
      <font>
        <sz val="26"/>
      </font>
    </dxf>
    <dxf>
      <font>
        <sz val="36"/>
      </font>
    </dxf>
    <dxf>
      <font>
        <sz val="36"/>
      </font>
    </dxf>
    <dxf>
      <font>
        <sz val="36"/>
      </font>
    </dxf>
    <dxf>
      <font>
        <sz val="36"/>
      </font>
    </dxf>
    <dxf>
      <font>
        <sz val="36"/>
      </font>
    </dxf>
    <dxf>
      <font>
        <sz val="36"/>
      </font>
    </dxf>
    <dxf>
      <font>
        <sz val="36"/>
      </font>
    </dxf>
    <dxf>
      <font>
        <sz val="36"/>
      </font>
    </dxf>
    <dxf>
      <font>
        <sz val="36"/>
      </font>
    </dxf>
    <dxf>
      <numFmt numFmtId="166" formatCode="0.0%"/>
    </dxf>
    <dxf>
      <numFmt numFmtId="166" formatCode="0.0%"/>
    </dxf>
    <dxf>
      <numFmt numFmtId="166" formatCode="0.0%"/>
    </dxf>
    <dxf>
      <numFmt numFmtId="166" formatCode="0.0%"/>
    </dxf>
    <dxf>
      <numFmt numFmtId="166" formatCode="0.0%"/>
    </dxf>
    <dxf>
      <font>
        <color auto="1"/>
      </font>
    </dxf>
    <dxf>
      <fill>
        <patternFill>
          <bgColor auto="1"/>
        </patternFill>
      </fill>
    </dxf>
    <dxf>
      <fill>
        <patternFill patternType="solid">
          <bgColor theme="1"/>
        </patternFill>
      </fill>
    </dxf>
    <dxf>
      <font>
        <color theme="0"/>
      </font>
    </dxf>
    <dxf>
      <font>
        <b/>
      </font>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ill>
        <patternFill>
          <bgColor rgb="FF333F4F"/>
        </patternFill>
      </fill>
    </dxf>
    <dxf>
      <fill>
        <patternFill>
          <bgColor rgb="FF333F4F"/>
        </patternFill>
      </fill>
    </dxf>
    <dxf>
      <fill>
        <patternFill>
          <bgColor rgb="FF333F4F"/>
        </patternFill>
      </fill>
    </dxf>
    <dxf>
      <fill>
        <patternFill patternType="solid">
          <bgColor rgb="FF333F4F"/>
        </patternFill>
      </fill>
    </dxf>
    <dxf>
      <font>
        <sz val="26"/>
      </font>
    </dxf>
    <dxf>
      <font>
        <sz val="26"/>
      </font>
    </dxf>
    <dxf>
      <font>
        <sz val="26"/>
      </font>
    </dxf>
    <dxf>
      <font>
        <sz val="26"/>
      </font>
    </dxf>
    <dxf>
      <font>
        <sz val="26"/>
      </font>
    </dxf>
    <dxf>
      <font>
        <sz val="26"/>
      </font>
    </dxf>
    <dxf>
      <font>
        <sz val="26"/>
      </font>
    </dxf>
    <dxf>
      <font>
        <sz val="26"/>
      </font>
    </dxf>
    <dxf>
      <font>
        <color theme="0"/>
      </font>
    </dxf>
    <dxf>
      <font>
        <color theme="0"/>
      </font>
    </dxf>
    <dxf>
      <font>
        <color theme="0"/>
      </font>
    </dxf>
    <dxf>
      <fill>
        <patternFill patternType="solid">
          <bgColor rgb="FF333F4F"/>
        </patternFill>
      </fill>
    </dxf>
    <dxf>
      <fill>
        <patternFill patternType="solid">
          <bgColor rgb="FF333F4F"/>
        </patternFill>
      </fill>
    </dxf>
    <dxf>
      <fill>
        <patternFill patternType="solid">
          <bgColor rgb="FF333F4F"/>
        </patternFill>
      </fill>
    </dxf>
    <dxf>
      <font>
        <color theme="0"/>
      </font>
    </dxf>
    <dxf>
      <fill>
        <patternFill patternType="solid">
          <bgColor rgb="FF333F4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36"/>
      </font>
    </dxf>
    <dxf>
      <font>
        <sz val="36"/>
      </font>
    </dxf>
    <dxf>
      <font>
        <sz val="36"/>
      </font>
    </dxf>
    <dxf>
      <font>
        <sz val="36"/>
      </font>
    </dxf>
    <dxf>
      <font>
        <b/>
      </font>
    </dxf>
    <dxf>
      <font>
        <b/>
      </font>
    </dxf>
    <dxf>
      <font>
        <b/>
      </font>
    </dxf>
    <dxf>
      <font>
        <b/>
      </font>
    </dxf>
    <dxf>
      <fill>
        <patternFill>
          <bgColor rgb="FF333F4F"/>
        </patternFill>
      </fill>
    </dxf>
    <dxf>
      <font>
        <color theme="0"/>
      </font>
    </dxf>
    <dxf>
      <font>
        <color theme="0"/>
      </font>
    </dxf>
    <dxf>
      <fill>
        <patternFill patternType="solid">
          <bgColor rgb="FF333F4F"/>
        </patternFill>
      </fill>
    </dxf>
    <dxf>
      <fill>
        <patternFill patternType="solid">
          <bgColor rgb="FF333F4F"/>
        </patternFill>
      </fill>
    </dxf>
    <dxf>
      <font>
        <sz val="26"/>
      </font>
    </dxf>
    <dxf>
      <font>
        <sz val="26"/>
      </font>
    </dxf>
    <dxf>
      <font>
        <sz val="26"/>
      </font>
    </dxf>
    <dxf>
      <font>
        <b/>
        <color theme="1"/>
      </font>
      <border>
        <bottom style="thin">
          <color theme="4"/>
        </bottom>
        <vertical/>
        <horizontal/>
      </border>
    </dxf>
    <dxf>
      <font>
        <sz val="36"/>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Capstone" pivot="0" table="0" count="10" xr9:uid="{2CA6B076-2215-4D45-A4E1-041C98230FDD}">
      <tableStyleElement type="wholeTable" dxfId="372"/>
      <tableStyleElement type="headerRow" dxfId="371"/>
    </tableStyle>
  </tableStyles>
  <colors>
    <mruColors>
      <color rgb="FF333F4F"/>
      <color rgb="FFFFC7CE"/>
      <color rgb="FFD0EBB3"/>
      <color rgb="FFF9B883"/>
      <color rgb="FFC6EFCE"/>
      <color rgb="FFFFE28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36"/>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apston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0</xdr:col>
      <xdr:colOff>42549</xdr:colOff>
      <xdr:row>0</xdr:row>
      <xdr:rowOff>1552574</xdr:rowOff>
    </xdr:from>
    <xdr:to>
      <xdr:col>8</xdr:col>
      <xdr:colOff>148442</xdr:colOff>
      <xdr:row>0</xdr:row>
      <xdr:rowOff>2582884</xdr:rowOff>
    </xdr:to>
    <mc:AlternateContent xmlns:mc="http://schemas.openxmlformats.org/markup-compatibility/2006" xmlns:a14="http://schemas.microsoft.com/office/drawing/2010/main">
      <mc:Choice Requires="a14">
        <xdr:graphicFrame macro="">
          <xdr:nvGraphicFramePr>
            <xdr:cNvPr id="2" name="Site 1">
              <a:extLst>
                <a:ext uri="{FF2B5EF4-FFF2-40B4-BE49-F238E27FC236}">
                  <a16:creationId xmlns:a16="http://schemas.microsoft.com/office/drawing/2014/main" id="{AF36CDC4-D35A-00D2-0446-9BC4CF773CC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ite 1"/>
            </a:graphicData>
          </a:graphic>
        </xdr:graphicFrame>
      </mc:Choice>
      <mc:Fallback xmlns="">
        <xdr:sp macro="" textlink="">
          <xdr:nvSpPr>
            <xdr:cNvPr id="0" name=""/>
            <xdr:cNvSpPr>
              <a:spLocks noTextEdit="1"/>
            </xdr:cNvSpPr>
          </xdr:nvSpPr>
          <xdr:spPr>
            <a:xfrm>
              <a:off x="42549" y="1552574"/>
              <a:ext cx="27935458" cy="1030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121920</xdr:rowOff>
    </xdr:from>
    <xdr:to>
      <xdr:col>5</xdr:col>
      <xdr:colOff>3810000</xdr:colOff>
      <xdr:row>0</xdr:row>
      <xdr:rowOff>1729154</xdr:rowOff>
    </xdr:to>
    <xdr:sp macro="" textlink="">
      <xdr:nvSpPr>
        <xdr:cNvPr id="4" name="TextBox 3">
          <a:extLst>
            <a:ext uri="{FF2B5EF4-FFF2-40B4-BE49-F238E27FC236}">
              <a16:creationId xmlns:a16="http://schemas.microsoft.com/office/drawing/2014/main" id="{BEF97E71-51D4-4BCB-957C-DC40F41DC9C3}"/>
            </a:ext>
            <a:ext uri="{147F2762-F138-4A5C-976F-8EAC2B608ADB}">
              <a16:predDERef xmlns:a16="http://schemas.microsoft.com/office/drawing/2014/main" pred="{5CD698AB-896C-4D60-952D-EA54D7433028}"/>
            </a:ext>
          </a:extLst>
        </xdr:cNvPr>
        <xdr:cNvSpPr txBox="1"/>
      </xdr:nvSpPr>
      <xdr:spPr>
        <a:xfrm flipH="1">
          <a:off x="0" y="121920"/>
          <a:ext cx="21082000" cy="1607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7200" b="1" u="none">
              <a:solidFill>
                <a:schemeClr val="bg1"/>
              </a:solidFill>
              <a:latin typeface="Arial" panose="020B0604020202020204" pitchFamily="34" charset="0"/>
              <a:cs typeface="Arial" panose="020B0604020202020204" pitchFamily="34" charset="0"/>
            </a:rPr>
            <a:t>Capstone Project</a:t>
          </a:r>
          <a:r>
            <a:rPr lang="en-US" sz="7200" b="1" u="none" baseline="0">
              <a:solidFill>
                <a:schemeClr val="bg1"/>
              </a:solidFill>
              <a:latin typeface="Arial" panose="020B0604020202020204" pitchFamily="34" charset="0"/>
              <a:cs typeface="Arial" panose="020B0604020202020204" pitchFamily="34" charset="0"/>
            </a:rPr>
            <a:t> - Ohiohealth Control Panel</a:t>
          </a:r>
          <a:endParaRPr lang="en-US" sz="7200" b="1" u="none">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509168</xdr:colOff>
      <xdr:row>0</xdr:row>
      <xdr:rowOff>405134</xdr:rowOff>
    </xdr:to>
    <xdr:sp macro="" textlink="">
      <xdr:nvSpPr>
        <xdr:cNvPr id="2" name="TextBox 1">
          <a:extLst>
            <a:ext uri="{FF2B5EF4-FFF2-40B4-BE49-F238E27FC236}">
              <a16:creationId xmlns:a16="http://schemas.microsoft.com/office/drawing/2014/main" id="{2893844F-FEB7-4AA2-A3F6-9E6C32F2D76E}"/>
            </a:ext>
            <a:ext uri="{147F2762-F138-4A5C-976F-8EAC2B608ADB}">
              <a16:predDERef xmlns:a16="http://schemas.microsoft.com/office/drawing/2014/main" pred="{5CD698AB-896C-4D60-952D-EA54D7433028}"/>
            </a:ext>
          </a:extLst>
        </xdr:cNvPr>
        <xdr:cNvSpPr txBox="1"/>
      </xdr:nvSpPr>
      <xdr:spPr>
        <a:xfrm flipH="1">
          <a:off x="0" y="0"/>
          <a:ext cx="18812408" cy="405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b="1" u="none">
              <a:solidFill>
                <a:schemeClr val="bg1"/>
              </a:solidFill>
              <a:latin typeface="Arial" panose="020B0604020202020204" pitchFamily="34" charset="0"/>
              <a:cs typeface="Arial" panose="020B0604020202020204" pitchFamily="34" charset="0"/>
            </a:rPr>
            <a:t>KPI's</a:t>
          </a:r>
        </a:p>
      </xdr:txBody>
    </xdr:sp>
    <xdr:clientData/>
  </xdr:twoCellAnchor>
  <xdr:twoCellAnchor editAs="oneCell">
    <xdr:from>
      <xdr:col>5</xdr:col>
      <xdr:colOff>220980</xdr:colOff>
      <xdr:row>0</xdr:row>
      <xdr:rowOff>53340</xdr:rowOff>
    </xdr:from>
    <xdr:to>
      <xdr:col>10</xdr:col>
      <xdr:colOff>373381</xdr:colOff>
      <xdr:row>0</xdr:row>
      <xdr:rowOff>601980</xdr:rowOff>
    </xdr:to>
    <mc:AlternateContent xmlns:mc="http://schemas.openxmlformats.org/markup-compatibility/2006" xmlns:a14="http://schemas.microsoft.com/office/drawing/2010/main">
      <mc:Choice Requires="a14">
        <xdr:graphicFrame macro="">
          <xdr:nvGraphicFramePr>
            <xdr:cNvPr id="3" name="Site 2">
              <a:extLst>
                <a:ext uri="{FF2B5EF4-FFF2-40B4-BE49-F238E27FC236}">
                  <a16:creationId xmlns:a16="http://schemas.microsoft.com/office/drawing/2014/main" id="{4BB5CA25-9A44-4C8F-ABB9-CCF3560474C1}"/>
                </a:ext>
              </a:extLst>
            </xdr:cNvPr>
            <xdr:cNvGraphicFramePr/>
          </xdr:nvGraphicFramePr>
          <xdr:xfrm>
            <a:off x="0" y="0"/>
            <a:ext cx="0" cy="0"/>
          </xdr:xfrm>
          <a:graphic>
            <a:graphicData uri="http://schemas.microsoft.com/office/drawing/2010/slicer">
              <sle:slicer xmlns:sle="http://schemas.microsoft.com/office/drawing/2010/slicer" name="Site 2"/>
            </a:graphicData>
          </a:graphic>
        </xdr:graphicFrame>
      </mc:Choice>
      <mc:Fallback xmlns="">
        <xdr:sp macro="" textlink="">
          <xdr:nvSpPr>
            <xdr:cNvPr id="0" name=""/>
            <xdr:cNvSpPr>
              <a:spLocks noTextEdit="1"/>
            </xdr:cNvSpPr>
          </xdr:nvSpPr>
          <xdr:spPr>
            <a:xfrm>
              <a:off x="7924800" y="53340"/>
              <a:ext cx="8663941" cy="548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281609</xdr:colOff>
      <xdr:row>4</xdr:row>
      <xdr:rowOff>16567</xdr:rowOff>
    </xdr:from>
    <xdr:to>
      <xdr:col>12</xdr:col>
      <xdr:colOff>347869</xdr:colOff>
      <xdr:row>7</xdr:row>
      <xdr:rowOff>207066</xdr:rowOff>
    </xdr:to>
    <xdr:sp macro="" textlink="">
      <xdr:nvSpPr>
        <xdr:cNvPr id="3" name="Arrow: Left 2">
          <a:extLst>
            <a:ext uri="{FF2B5EF4-FFF2-40B4-BE49-F238E27FC236}">
              <a16:creationId xmlns:a16="http://schemas.microsoft.com/office/drawing/2014/main" id="{6BE2966F-F78D-703C-7EA9-C77939A93DB9}"/>
            </a:ext>
          </a:extLst>
        </xdr:cNvPr>
        <xdr:cNvSpPr/>
      </xdr:nvSpPr>
      <xdr:spPr>
        <a:xfrm>
          <a:off x="8290892" y="795132"/>
          <a:ext cx="1904999" cy="737151"/>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Kumar" refreshedDate="46140.657649537039" createdVersion="8" refreshedVersion="8" minRefreshableVersion="3" recordCount="1296" xr:uid="{C7CD94DB-636B-4AD3-8970-FFC03A86F572}">
  <cacheSource type="worksheet">
    <worksheetSource ref="A1:AA1297" sheet="Data"/>
  </cacheSource>
  <cacheFields count="30">
    <cacheField name="Quadrant" numFmtId="0">
      <sharedItems count="3">
        <s v="Culture"/>
        <s v="Quality"/>
        <s v="Service"/>
      </sharedItems>
    </cacheField>
    <cacheField name="Site" numFmtId="0">
      <sharedItems count="7">
        <s v="DH"/>
        <s v="GMC"/>
        <s v="MGH"/>
        <s v="OHM"/>
        <s v="OHS"/>
        <s v="PMH"/>
        <s v="RMH"/>
      </sharedItems>
    </cacheField>
    <cacheField name="metric_std" numFmtId="0">
      <sharedItems count="12">
        <s v="1st Year Voluntary Turnover"/>
        <s v="AES Metric 1"/>
        <s v="AES Metric 2"/>
        <s v="AES Metric 3"/>
        <s v="AES Metric 5"/>
        <s v="AES Metric 6"/>
        <s v="CAUTI Metric 1"/>
        <s v="CLABSI Metric 1"/>
        <s v="Emergency Metric 1"/>
        <s v="Inpatient Metric 1"/>
        <s v="Inpatient Metric 2"/>
        <s v="Inpatient Metric 3"/>
      </sharedItems>
    </cacheField>
    <cacheField name="Date" numFmtId="164">
      <sharedItems containsSemiMixedTypes="0" containsNonDate="0" containsDate="1" containsString="0" minDate="2024-08-31T00:00:00" maxDate="2025-12-01T00:00:00" count="16">
        <d v="2024-08-31T00:00:00"/>
        <d v="2024-09-30T00:00:00"/>
        <d v="2024-10-31T00:00:00"/>
        <d v="2024-11-30T00:00:00"/>
        <d v="2024-12-31T00:00:00"/>
        <d v="2025-01-31T00:00:00"/>
        <d v="2025-02-28T00:00:00"/>
        <d v="2025-03-31T00:00:00"/>
        <d v="2025-04-30T00:00:00"/>
        <d v="2025-05-31T00:00:00"/>
        <d v="2025-06-30T00:00:00"/>
        <d v="2025-07-31T00:00:00"/>
        <d v="2025-08-31T00:00:00"/>
        <d v="2025-09-30T00:00:00"/>
        <d v="2025-10-31T00:00:00"/>
        <d v="2025-11-30T00:00:00"/>
      </sharedItems>
      <fieldGroup par="29"/>
    </cacheField>
    <cacheField name="Performance" numFmtId="2">
      <sharedItems containsSemiMixedTypes="0" containsString="0" containsNumber="1" minValue="1.063829787234043E-2" maxValue="1.76"/>
    </cacheField>
    <cacheField name="intervention" numFmtId="0">
      <sharedItems containsSemiMixedTypes="0" containsString="0" containsNumber="1" containsInteger="1" minValue="0" maxValue="1"/>
    </cacheField>
    <cacheField name="Ideal_Trend" numFmtId="0">
      <sharedItems/>
    </cacheField>
    <cacheField name="Target" numFmtId="0">
      <sharedItems containsSemiMixedTypes="0" containsString="0" containsNumber="1" minValue="5.3999999999999999E-2" maxValue="0.85"/>
    </cacheField>
    <cacheField name="pct_change" numFmtId="165">
      <sharedItems containsSemiMixedTypes="0" containsString="0" containsNumber="1" minValue="-3.843537414965986" maxValue="2.0003000300030012"/>
    </cacheField>
    <cacheField name="Mean" numFmtId="165">
      <sharedItems containsSemiMixedTypes="0" containsString="0" containsNumber="1" minValue="-4.8849805534298088E-2" maxValue="2.6472445732452773E-2"/>
    </cacheField>
    <cacheField name="Stdev" numFmtId="165">
      <sharedItems containsSemiMixedTypes="0" containsString="0" containsNumber="1" minValue="5.3924507863027986E-2" maxValue="0.44966933193859487"/>
    </cacheField>
    <cacheField name="Z-SCORE" numFmtId="2">
      <sharedItems containsSemiMixedTypes="0" containsString="0" containsNumber="1" minValue="-8.4388401429828352" maxValue="8.6800815941078433"/>
    </cacheField>
    <cacheField name="Z-score FLAG" numFmtId="0">
      <sharedItems containsSemiMixedTypes="0" containsString="0" containsNumber="1" containsInteger="1" minValue="-1" maxValue="1"/>
    </cacheField>
    <cacheField name="Distance_from_Target" numFmtId="2">
      <sharedItems containsSemiMixedTypes="0" containsString="0" containsNumber="1" minValue="-0.83881366860090267" maxValue="2.0877192982456143" count="1101">
        <n v="0.12592592592592583"/>
        <n v="0.11147672845599764"/>
        <n v="8.5069444444444378E-2"/>
        <n v="7.7354018518518461E-2"/>
        <n v="0.11827956989247286"/>
        <n v="0.11972437553832889"/>
        <n v="6.8862167334705543E-2"/>
        <n v="8.4402060725640438E-3"/>
        <n v="-5.4054054054054113E-2"/>
        <n v="-6.2548025203627178E-2"/>
        <n v="-7.6682316118936E-2"/>
        <n v="-7.7388053766006701E-2"/>
        <n v="-9.1314753965356349E-2"/>
        <n v="-5.6135121708892302E-2"/>
        <n v="-6.7005937234944815E-2"/>
        <n v="-9.6516375640691585E-2"/>
        <n v="0.45299145299145294"/>
        <n v="0.29299198344970262"/>
        <n v="0.32171387073347846"/>
        <n v="0.19286607407407402"/>
        <n v="0.22100122100122105"/>
        <n v="0.35677376519153609"/>
        <n v="0.48320949254075229"/>
        <n v="0.4003200731595794"/>
        <n v="0.64265857973212037"/>
        <n v="0.61030595813204502"/>
        <n v="0.38888888888888884"/>
        <n v="0.29295962629295952"/>
        <n v="0.25502008032128509"/>
        <n v="0.16442199775533115"/>
        <n v="4.5286323699748554E-2"/>
        <n v="0.17489090298757973"/>
        <n v="0.62956799112405448"/>
        <n v="0.71785886071600291"/>
        <n v="0.5438747666235817"/>
        <n v="0.2686675303030302"/>
        <n v="0.25664225190291529"/>
        <n v="0.50465392959619282"/>
        <n v="0.69503251695032564"/>
        <n v="0.45288501452884999"/>
        <n v="0.75865800865800903"/>
        <n v="0.46627565982404678"/>
        <n v="0.1842563566701497"/>
        <n v="0.14989177489177474"/>
        <n v="0.12107623318385653"/>
        <n v="0.17845117845117842"/>
        <n v="-0.12262941216170621"/>
        <n v="3.4115994380895351E-3"/>
        <n v="3.213317847464215E-2"/>
        <n v="4.7256097560975652E-2"/>
        <n v="3.2133176829268278E-2"/>
        <n v="3.9984006397435787E-4"/>
        <n v="1.6522423288748745E-2"/>
        <n v="-8.1825334382376089E-2"/>
        <n v="-0.21951219512195125"/>
        <n v="-0.19952019192323048"/>
        <n v="-0.23856707317073164"/>
        <n v="-0.25822686798296524"/>
        <n v="-0.2785208497246261"/>
        <n v="-0.33384146341463411"/>
        <n v="0.27691747640782993"/>
        <n v="0.28566896528693747"/>
        <n v="0.27781035302968271"/>
        <n v="0.26986570192307696"/>
        <n v="0.30410533452899147"/>
        <n v="0.25675300723040956"/>
        <n v="0.25974610020535199"/>
        <n v="0.22335886273535488"/>
        <n v="0.1732657244578702"/>
        <n v="0.1467395985873029"/>
        <n v="0.14345839797720583"/>
        <n v="0.10723015945184045"/>
        <n v="0.13584855352619615"/>
        <n v="0.1090838488667135"/>
        <n v="5.7188884414015401E-2"/>
        <n v="5.4428600120505835E-2"/>
        <n v="0.38492871690427699"/>
        <n v="0.52406417112299486"/>
        <n v="0.57377049180327899"/>
        <n v="0.54440153999999985"/>
        <n v="0.28706624605678188"/>
        <n v="0.19032858028518299"/>
        <n v="9.9572388515576926E-2"/>
        <n v="1.6333938294011002E-2"/>
        <n v="8.368452739313692E-2"/>
        <n v="3.5842293906809819E-3"/>
        <n v="0.12458654906284491"/>
        <n v="9.7932904100304918E-2"/>
        <n v="0.17408906882591099"/>
        <n v="8.6883596108687927E-2"/>
        <n v="-4.2553191489361764E-2"/>
        <n v="-6.1407888167748365E-2"/>
        <n v="-0.22372881355932195"/>
        <n v="-2.8813559322033926E-2"/>
        <n v="6.7796610169491595E-2"/>
        <n v="3.3898305084745797E-2"/>
        <n v="0"/>
        <n v="5.0847457627118689E-2"/>
        <n v="-0.15254237288135589"/>
        <n v="-5.0847457627118502E-2"/>
        <n v="-1.6949152542372899E-2"/>
        <n v="-3.3898305084745797E-2"/>
        <n v="-0.13559322033898299"/>
        <n v="-0.18644067796610167"/>
        <n v="-0.20338983050847459"/>
        <n v="0.14385964912280716"/>
        <n v="0.22105263157894739"/>
        <n v="0.44561403508771935"/>
        <n v="-0.27368421052631575"/>
        <n v="0.31578947368421062"/>
        <n v="8.94736842105264E-2"/>
        <n v="0.27543859649122815"/>
        <n v="-4.3859649122806862E-2"/>
        <n v="0.34561403508771943"/>
        <n v="0.52105263157894743"/>
        <n v="8.7719298245614127E-2"/>
        <n v="0.15789473684210542"/>
        <n v="0.17543859649122825"/>
        <n v="7.0175438596491294E-2"/>
        <n v="9.3529411764705903E-2"/>
        <n v="2.3764705882352938E-2"/>
        <n v="3.1764705882352056E-3"/>
        <n v="5.3882352941176416E-2"/>
        <n v="0.12023529411764701"/>
        <n v="8.3058823529411768E-2"/>
        <n v="4.7176470588235327E-2"/>
        <n v="5.3294117647058832E-2"/>
        <n v="5.6941176470588238E-2"/>
        <n v="6.3411764705882293E-2"/>
        <n v="-2.564705882352946E-2"/>
        <n v="2.7058823529411788E-2"/>
        <n v="9.5294117647058779E-2"/>
        <n v="-3.2941176470588265E-2"/>
        <n v="6.5882352941176406E-2"/>
        <n v="7.058823529411771E-3"/>
        <n v="-4.6153846153846191E-2"/>
        <n v="-0.1135384615384615"/>
        <n v="-7.6923076923076816E-2"/>
        <n v="-5.2615384615384626E-2"/>
        <n v="-9.2307692307692216E-2"/>
        <n v="-0.14523076923076911"/>
        <n v="-0.25184615384615378"/>
        <n v="2.2153846153846104E-2"/>
        <n v="-0.10076923076923076"/>
        <n v="-8.6923076923076908E-2"/>
        <n v="-0.18615384615384614"/>
        <n v="-7.3846153846153742E-2"/>
        <n v="-0.12769230769230763"/>
        <n v="-0.29076923076923067"/>
        <n v="-0.1267692307692308"/>
        <n v="-2.4941176470588231E-2"/>
        <n v="-2.1058823529411796E-2"/>
        <n v="-2.235294117647074E-3"/>
        <n v="7.4588235294117664E-2"/>
        <n v="-7.2705882352941273E-2"/>
        <n v="2.2823529411764673E-2"/>
        <n v="-2.941176470588238E-2"/>
        <n v="8.1176470588235506E-3"/>
        <n v="-6.9411764705882544E-3"/>
        <n v="8.7058823529411328E-3"/>
        <n v="-9.894117647058831E-2"/>
        <n v="-3.5294117647058855E-3"/>
        <n v="-6.1176470588235353E-2"/>
        <n v="4.9411764705882266E-2"/>
        <n v="-5.2941176470588283E-2"/>
        <n v="-6.9411764705882423E-2"/>
        <n v="-0.20228571428571437"/>
        <n v="-0.17642857142857152"/>
        <n v="-0.18171428571428586"/>
        <n v="-0.12385714285714286"/>
        <n v="-0.20985714285714291"/>
        <n v="-0.23814285714285727"/>
        <n v="-0.26628571428571429"/>
        <n v="-0.24285714285714294"/>
        <n v="-9.2428571428571568E-2"/>
        <n v="-0.14014285714285726"/>
        <n v="-0.15571428571428586"/>
        <n v="-0.20571428571428574"/>
        <n v="-0.2028571428571429"/>
        <n v="-0.20714285714285718"/>
        <n v="-0.15000000000000013"/>
        <n v="-0.17285714285714288"/>
        <n v="0.15829458156608209"/>
        <n v="0.16781422978263805"/>
        <n v="0.15457550890264965"/>
        <n v="5.0130437037036887E-2"/>
        <n v="2.5489326036582442E-2"/>
        <n v="8.4638933909594767E-3"/>
        <n v="1.099044450966963E-2"/>
        <n v="-2.4777166393152861E-3"/>
        <n v="3.0762828515637393E-2"/>
        <n v="1.1691720353137315E-2"/>
        <n v="-5.087319665907384E-2"/>
        <n v="-5.7181916749163383E-2"/>
        <n v="-6.8039419413746305E-2"/>
        <n v="-6.5921928744990435E-2"/>
        <n v="-8.9615931721194836E-2"/>
        <n v="-8.8809239346873778E-2"/>
        <n v="0.76308539944903575"/>
        <n v="0.73802354899512879"/>
        <n v="0.75839850474644632"/>
        <n v="0.54114675925925937"/>
        <n v="0.55447418221140843"/>
        <n v="0.61983752907791057"/>
        <n v="0.64796169992662367"/>
        <n v="0.57794450398952002"/>
        <n v="0.44713455348993614"/>
        <n v="0.47667927246533404"/>
        <n v="0.20616403830921004"/>
        <n v="0.27489000367642696"/>
        <n v="0.24723825814268399"/>
        <n v="0.11182841976902667"/>
        <n v="8.4040055579512177E-2"/>
        <n v="-7.4980955490260043E-2"/>
        <n v="0.53486538244902559"/>
        <n v="0.38511985526910891"/>
        <n v="0.65544332210998946"/>
        <n v="0.4484110151515151"/>
        <n v="0.44300144300144284"/>
        <n v="0.43363130376117381"/>
        <n v="0.52753694988027411"/>
        <n v="0.41359244620114177"/>
        <n v="0.27416763614204182"/>
        <n v="0.26610457188969572"/>
        <n v="0.16444736697901241"/>
        <n v="0.27042713097435073"/>
        <n v="0.40389913117185838"/>
        <n v="0.14072523284215044"/>
        <n v="4.0737436812369805E-2"/>
        <n v="-0.12639912639912643"/>
        <n v="5.0379848060775688E-2"/>
        <n v="0.12195121951219523"/>
        <n v="0.18379104878048783"/>
        <n v="0.19644545282662143"/>
        <n v="0.19016768292682931"/>
        <n v="0.10881801125703547"/>
        <n v="6.9074660212251324E-2"/>
        <n v="8.3073537502292072E-2"/>
        <n v="0.10329985652797688"/>
        <n v="6.5337368702154341E-2"/>
        <n v="-1.6260162601626257E-2"/>
        <n v="-4.6596286858390734E-2"/>
        <n v="-7.6040172166427403E-2"/>
        <n v="0.31019347555278748"/>
        <n v="0.30367838242200962"/>
        <n v="0.32447135740220284"/>
        <n v="0.25042041346153854"/>
        <n v="0.23664778837192593"/>
        <n v="0.25185459940652782"/>
        <n v="0.21315600287562897"/>
        <n v="0.18996765728931447"/>
        <n v="0.17925078500077024"/>
        <n v="0.21069306379563857"/>
        <n v="0.17922897099304241"/>
        <n v="0.16175156389633566"/>
        <n v="0.16270321658425202"/>
        <n v="0.16357664862707028"/>
        <n v="0.14027786236812412"/>
        <n v="0.14562461250932215"/>
        <n v="0.45454545454545386"/>
        <n v="0.43094841930116506"/>
        <n v="0.37353433835845884"/>
        <n v="0.28089888000000007"/>
        <n v="0.28414531117994885"/>
        <n v="0.28704487722269301"/>
        <n v="0.25459169256852182"/>
        <n v="0.15482592697424288"/>
        <n v="5.5019852524106905E-2"/>
        <n v="8.7818696883852909E-2"/>
        <n v="-0.17682926829268295"/>
        <n v="8.1893313298272014E-2"/>
        <n v="0.12377850162866397"/>
        <n v="0.10774206589852398"/>
        <n v="8.3032490974728895E-2"/>
        <n v="9.0836174052536939E-2"/>
        <n v="0.12372881355932215"/>
        <n v="0.18644067796610167"/>
        <n v="0.15254237288135608"/>
        <n v="0.16949152542372878"/>
        <n v="0.25423728813559326"/>
        <n v="0.33898305084745778"/>
        <n v="0.32203389830508489"/>
        <n v="0.27118644067796616"/>
        <n v="0.10169491525423738"/>
        <n v="0.39122807017543876"/>
        <n v="0.39473684210526333"/>
        <n v="0.55263157894736858"/>
        <n v="0.4701754385964913"/>
        <n v="0.45964912280701758"/>
        <n v="0.44035087719298249"/>
        <n v="0.42807017543859655"/>
        <n v="0.36140350877193"/>
        <n v="0.42631578947368426"/>
        <n v="0.47192982456140359"/>
        <n v="0.39649122807017562"/>
        <n v="0.14035087719298259"/>
        <n v="0.22807017543859651"/>
        <n v="1.7543859649122823E-2"/>
        <n v="3.647058823529415E-2"/>
        <n v="0.12317647058823532"/>
        <n v="-3.0588235294117676E-2"/>
        <n v="-3.270588235294123E-2"/>
        <n v="-3.4705882352941142E-2"/>
        <n v="7.0235294117647035E-2"/>
        <n v="0.12247058823529408"/>
        <n v="6.5176470588235308E-2"/>
        <n v="2.1294117647058831E-2"/>
        <n v="3.164705882352932E-2"/>
        <n v="8.2352941176470663E-3"/>
        <n v="0.11764705882352938"/>
        <n v="0.12352941176470586"/>
        <n v="3.2941176470588265E-2"/>
        <n v="6.7058823529411699E-2"/>
        <n v="-2.2923076923076959E-2"/>
        <n v="-3.6923076923076272E-3"/>
        <n v="1.1538461538461635E-2"/>
        <n v="6.8307692307692292E-2"/>
        <n v="-5.8461538461538854E-3"/>
        <n v="1.2153846153846182E-2"/>
        <n v="3.7384615384615363E-2"/>
        <n v="3.0615384615384659E-2"/>
        <n v="4.461538461538482E-3"/>
        <n v="-5.7692307692307654E-2"/>
        <n v="3.9692307692307763E-2"/>
        <n v="-3.0769230769230795E-2"/>
        <n v="-0.11076923076923069"/>
        <n v="-2.7692307692307717E-2"/>
        <n v="-8.1538461538461435E-2"/>
        <n v="-8.4615384615384523E-2"/>
        <n v="5.2823529411764637E-2"/>
        <n v="6.1411764705882381E-2"/>
        <n v="9.8235294117647087E-2"/>
        <n v="7.2000000000000036E-2"/>
        <n v="0.10611764705882347"/>
        <n v="6.4941176470588266E-2"/>
        <n v="6.9882352941176479E-2"/>
        <n v="3.4588235294117628E-2"/>
        <n v="6.6941176470588185E-2"/>
        <n v="8.3176470588235282E-2"/>
        <n v="7.7176470588235291E-2"/>
        <n v="7.4117647058823469E-2"/>
        <n v="0.10470588235294113"/>
        <n v="5.4117647058823451E-2"/>
        <n v="2.3000000000000007E-2"/>
        <n v="7.9999999999999117E-3"/>
        <n v="6.4999999999999988E-2"/>
        <n v="6.6857142857142796E-2"/>
        <n v="-6.8571428571428958E-3"/>
        <n v="4.2428571428571357E-2"/>
        <n v="8.399999999999995E-2"/>
        <n v="-7.2857142857142764E-3"/>
        <n v="9.0857142857142845E-2"/>
        <n v="5.1999999999999984E-2"/>
        <n v="8.5714285714276277E-4"/>
        <n v="-2.714285714285717E-2"/>
        <n v="2.5714285714285579E-2"/>
        <n v="-3.000000000000003E-2"/>
        <n v="-5.7142857142857197E-2"/>
        <n v="2.8571428571428597E-3"/>
        <n v="7.9224920284522826E-2"/>
        <n v="4.5465596887916133E-2"/>
        <n v="0.12024353120243504"/>
        <n v="8.6956522222222221E-2"/>
        <n v="0.10990469296658223"/>
        <n v="0.19990400767938543"/>
        <n v="0.10510510510510505"/>
        <n v="0.1273010733345325"/>
        <n v="0.13280308508074209"/>
        <n v="4.318292091217845E-2"/>
        <n v="9.1879148830572618E-2"/>
        <n v="6.6057490957548093E-2"/>
        <n v="-6.0481503229594911E-2"/>
        <n v="-8.3063646170442235E-2"/>
        <n v="-5.2594914663880478E-2"/>
        <n v="-4.6380580840918964E-2"/>
        <n v="0.29901516524681299"/>
        <n v="0.42678794364187617"/>
        <n v="0.17676204632726372"/>
        <n v="0.18040225925925929"/>
        <n v="0.21407714768710626"/>
        <n v="0.25705175374049549"/>
        <n v="0.19424281903343876"/>
        <n v="0.27873297590435686"/>
        <n v="0.25208681135225364"/>
        <n v="0.18668415464368249"/>
        <n v="-3.6973887783776992E-2"/>
        <n v="-0.15969051243023855"/>
        <n v="-0.28098935864250796"/>
        <n v="-5.5177626606198002E-2"/>
        <n v="-5.8921108878042361E-2"/>
        <n v="-0.13867355727820857"/>
        <n v="0.16871191251356538"/>
        <n v="0.38854855835987906"/>
        <n v="0.18173377226302015"/>
        <n v="0.10968843939393941"/>
        <n v="3.3057851239669298E-2"/>
        <n v="-0.11369967080273494"/>
        <n v="-0.10623084780388158"/>
        <n v="-0.27238486560520458"/>
        <n v="-0.17748917748917764"/>
        <n v="4.4932079414837969E-2"/>
        <n v="-0.29527836504580707"/>
        <n v="-0.32094049741108566"/>
        <n v="-0.44201218988754415"/>
        <n v="-9.9900099900102068E-4"/>
        <n v="-7.1494893221912797E-2"/>
        <n v="0.74593495934959353"/>
        <n v="0.74052932018681883"/>
        <n v="0.61890243902439024"/>
        <n v="0.62667994026879037"/>
        <n v="0.75111996017919369"/>
        <n v="0.64131994261119074"/>
        <n v="0.64821763602251403"/>
        <n v="0.63414634146341464"/>
        <n v="0.66124661246612471"/>
        <n v="-0.18927400795034521"/>
        <n v="-0.19366026219046956"/>
        <n v="-0.16958369615990124"/>
        <n v="-0.16356717307692301"/>
        <n v="-9.6675766821904582E-2"/>
        <n v="-6.4425866478979549E-2"/>
        <n v="-8.3024818318935906E-2"/>
        <n v="-8.5063447002086331E-2"/>
        <n v="-5.2054451358721998E-2"/>
        <n v="-5.2475230621269027E-2"/>
        <n v="-3.4617093257697115E-2"/>
        <n v="-1.5635699611960468E-2"/>
        <n v="-9.936183352775671E-2"/>
        <n v="-0.10561228292464778"/>
        <n v="-6.9617854148240968E-2"/>
        <n v="-5.8754447169355038E-2"/>
        <n v="0.10019646365422394"/>
        <n v="7.8998073217725895E-2"/>
        <n v="5.9936908517349979E-2"/>
        <n v="4.3478259999999991E-2"/>
        <n v="0.17575015309246794"/>
        <n v="0.23114061557030788"/>
        <n v="-1.1764705882352927E-2"/>
        <n v="5.07880910683009E-2"/>
        <n v="0.11757857974388788"/>
        <n v="-8.4468664850136238E-2"/>
        <n v="-4.7619047619047727E-2"/>
        <n v="-0.16068052930056712"/>
        <n v="-9.056460780598713E-2"/>
        <n v="-0.13538111490329921"/>
        <n v="-0.10310463779225759"/>
        <n v="0.3118644067796611"/>
        <n v="0.27966101694915263"/>
        <n v="0.20338983050847459"/>
        <n v="0.13559322033898319"/>
        <n v="-0.11864406779661009"/>
        <n v="-0.16949152542372878"/>
        <n v="0.23728813559322037"/>
        <n v="0.29649122807017553"/>
        <n v="0.28070175438596501"/>
        <n v="0.30526315789473696"/>
        <n v="0.50350877192982468"/>
        <n v="0.33333333333333348"/>
        <n v="0.39298245614035104"/>
        <n v="0.349122807017544"/>
        <n v="0.38421052631578967"/>
        <n v="0.40350877192982476"/>
        <n v="0.49122807017543868"/>
        <n v="0.21564705882352944"/>
        <n v="0.1242352941176471"/>
        <n v="2.5882352941176234E-3"/>
        <n v="-8.3529411764705821E-3"/>
        <n v="4.9294117647058752E-2"/>
        <n v="0.12082352941176472"/>
        <n v="0.22964705882352934"/>
        <n v="7.1176470588235299E-2"/>
        <n v="0.10294117647058826"/>
        <n v="0.10588235294117644"/>
        <n v="1.2941176470588248E-2"/>
        <n v="3.8823529411764743E-2"/>
        <n v="6.3529411764705807E-2"/>
        <n v="6.4705882352941099E-2"/>
        <n v="-0.15738461538461529"/>
        <n v="-0.12353846153846142"/>
        <n v="-0.13846153846153841"/>
        <n v="-0.2438461538461538"/>
        <n v="-0.21215384615384619"/>
        <n v="-0.22799999999999998"/>
        <n v="-0.16199999999999992"/>
        <n v="-3.3846153846153536E-3"/>
        <n v="-0.1538461538461538"/>
        <n v="-0.11399999999999991"/>
        <n v="-0.25876923076923081"/>
        <n v="-0.17384615384615382"/>
        <n v="-0.17692307692307691"/>
        <n v="-0.14307692307692302"/>
        <n v="-0.2461538461538462"/>
        <n v="-0.2153846153846154"/>
        <n v="3.1176470588235257E-2"/>
        <n v="1.1764705882352951E-2"/>
        <n v="-3.9647058823529487E-2"/>
        <n v="-2.0470588235294084E-2"/>
        <n v="-1.1999999999999985E-2"/>
        <n v="-2.6705882352941239E-2"/>
        <n v="1.3764705882352863E-2"/>
        <n v="5.8823529411764629E-2"/>
        <n v="-8.235294117647067E-2"/>
        <n v="-6.2352941176470646E-2"/>
        <n v="4.8235294117646973E-2"/>
        <n v="-8.2352941176470663E-3"/>
        <n v="2.3529411764705903E-2"/>
        <n v="8.1571428571428475E-2"/>
        <n v="-3.4285714285715268E-3"/>
        <n v="-4.1714285714285725E-2"/>
        <n v="-0.10757142857142862"/>
        <n v="-0.23714285714285721"/>
        <n v="3.0142857142857155E-2"/>
        <n v="-2.9142857142857265E-2"/>
        <n v="-0.22071428571428583"/>
        <n v="-8.271428571428581E-2"/>
        <n v="-0.21557142857142864"/>
        <n v="-0.18800000000000008"/>
        <n v="-0.11857142857142869"/>
        <n v="-0.10571428571428582"/>
        <n v="-0.17142857142857143"/>
        <n v="-0.1657142857142857"/>
        <n v="-8.8759939823769715E-2"/>
        <n v="-0.23400995787054782"/>
        <n v="-0.25303454715219414"/>
        <n v="-0.30687629259259269"/>
        <n v="-0.23925446937999223"/>
        <n v="-0.20301835601339599"/>
        <n v="-0.19565310400889926"/>
        <n v="-0.23849082727587406"/>
        <n v="-0.24551476071412898"/>
        <n v="-0.34195900582455196"/>
        <n v="-0.27966864757788595"/>
        <n v="-0.2148269880398064"/>
        <n v="-0.18586363215838633"/>
        <n v="-0.1460290350128097"/>
        <n v="-4.8589874277947885E-2"/>
        <n v="-5.7171265224957111E-3"/>
        <n v="-0.19723761766517112"/>
        <n v="-0.12390213986902332"/>
        <n v="-0.23542242910791772"/>
        <n v="-0.22746203703703705"/>
        <n v="9.6975345627233027E-3"/>
        <n v="-3.9449582272260156E-2"/>
        <n v="-6.7540723083035258E-3"/>
        <n v="-0.23760275788915403"/>
        <n v="-0.39577039274924469"/>
        <n v="-0.30055955235811349"/>
        <n v="-0.4967793880837359"/>
        <n v="-0.5109154773020318"/>
        <n v="-0.54886556193745739"/>
        <n v="-0.56959343133359819"/>
        <n v="-0.59863536022476427"/>
        <n v="-0.44621655147970946"/>
        <n v="-0.17952084017065972"/>
        <n v="-0.26817368677833803"/>
        <n v="-0.39061547836684946"/>
        <n v="-0.35703903030303036"/>
        <n v="-3.5812672176308687E-2"/>
        <n v="-8.2644628099173244E-3"/>
        <n v="-0.14600550964187317"/>
        <n v="-0.31129476584022031"/>
        <n v="-0.74415828074364654"/>
        <n v="-0.41937624419376246"/>
        <n v="-0.64122095269636259"/>
        <n v="-0.75562072336265884"/>
        <n v="-0.75864843121480297"/>
        <n v="-0.83881366860090267"/>
        <n v="-0.78432006901757789"/>
        <n v="-0.5956001294079587"/>
        <n v="0.43089430894308944"/>
        <n v="0.50560316413974948"/>
        <n v="0.41530237195121955"/>
        <n v="0.34080421885299944"/>
        <n v="0.35815147625160493"/>
        <n v="0.28729806778587264"/>
        <n v="0.3053411546773695"/>
        <n v="0.31402439024390244"/>
        <n v="0.32249322493224941"/>
        <n v="0.33075550267697812"/>
        <n v="0.29643527204502806"/>
        <n v="-0.15370306016067381"/>
        <n v="-0.16949946058175736"/>
        <n v="-0.14701414331787127"/>
        <n v="-0.19149919230769225"/>
        <n v="-0.1442201478496255"/>
        <n v="-0.1027257735958871"/>
        <n v="-9.1793445574208418E-2"/>
        <n v="-0.12349281062608805"/>
        <n v="-0.10606066707202659"/>
        <n v="-0.173583630923656"/>
        <n v="-0.1684643102471709"/>
        <n v="-0.17539424581678098"/>
        <n v="-0.17080263901073145"/>
        <n v="-0.19588420732585488"/>
        <n v="-0.16774108564882267"/>
        <n v="-0.1629697832091738"/>
        <n v="-9.8541758727353213E-2"/>
        <n v="-0.15789473684210534"/>
        <n v="-0.21534437663469921"/>
        <n v="-0.27241230000000005"/>
        <n v="-6.7760034527406254E-2"/>
        <n v="-1.851054670684471E-2"/>
        <n v="-2.0197679415556585E-2"/>
        <n v="3.3591731266149893E-2"/>
        <n v="0.24459809853068296"/>
        <n v="3.9861351819757002E-2"/>
        <n v="-9.9170288423548053E-2"/>
        <n v="-0.25100966833924859"/>
        <n v="-0.26775689528923619"/>
        <n v="-0.23985869167986368"/>
        <n v="-0.25628873496172083"/>
        <n v="-0.25146771037182003"/>
        <n v="0.3796610169491525"/>
        <n v="0.34576271186440694"/>
        <n v="0.66101694915254239"/>
        <n v="0.50847457627118653"/>
        <n v="0.40677966101694918"/>
        <n v="0.45762711864406785"/>
        <n v="0.28813559322033905"/>
        <n v="0.35593220338983067"/>
        <n v="0.30508474576271194"/>
        <n v="-9.2982456140350778E-2"/>
        <n v="-0.1614035087719298"/>
        <n v="-0.22105263157894728"/>
        <n v="-0.20175438596491219"/>
        <n v="0.12280701754385977"/>
        <n v="0.46140350877192987"/>
        <n v="-2.456140350877176E-2"/>
        <n v="-0.29824561403508765"/>
        <n v="0.42105263157894757"/>
        <n v="0.36842105263157909"/>
        <n v="0.45614035087719301"/>
        <n v="-2.8588235294117633E-2"/>
        <n v="-3.2470588235294202E-2"/>
        <n v="1.9647058823529337E-2"/>
        <n v="3.9764705882352876E-2"/>
        <n v="1.658823529411765E-2"/>
        <n v="1.8705882352941208E-2"/>
        <n v="3.6823529411764699E-2"/>
        <n v="2.4117647058823487E-2"/>
        <n v="-1.9176470588235274E-2"/>
        <n v="-2.5882352941176495E-2"/>
        <n v="-5.176470588235299E-2"/>
        <n v="-1.4117647058823542E-2"/>
        <n v="-5.4117647058823576E-2"/>
        <n v="-2.0307692307692291E-2"/>
        <n v="0.15076923076923074"/>
        <n v="5.2153846153846217E-2"/>
        <n v="5.9846153846153917E-2"/>
        <n v="0.10261538461538458"/>
        <n v="7.6923076923076983E-2"/>
        <n v="2.6307692307692313E-2"/>
        <n v="4.5692307692307782E-2"/>
        <n v="4.9384615384615409E-2"/>
        <n v="-5.1230769230769226E-2"/>
        <n v="-0.11538461538461531"/>
        <n v="-7.9999999999999891E-2"/>
        <n v="-5.076923076923081E-2"/>
        <n v="-6.9230769230769124E-2"/>
        <n v="-0.13076923076923072"/>
        <n v="7.6588235294117568E-2"/>
        <n v="0.12494117647058819"/>
        <n v="5.8823529411758228E-4"/>
        <n v="0.10411764705882356"/>
        <n v="-8.4705882352940996E-3"/>
        <n v="5.5294117647058744E-2"/>
        <n v="7.1764705882352869E-2"/>
        <n v="4.2235294117646982E-2"/>
        <n v="6.0235294117647088E-2"/>
        <n v="-1.1176470588235369E-2"/>
        <n v="-1.8352941176470659E-2"/>
        <n v="1.4117647058823542E-2"/>
        <n v="-2.8235294117647084E-2"/>
        <n v="-1.571428571428557E-3"/>
        <n v="0.17299999999999999"/>
        <n v="7.7857142857142847E-2"/>
        <n v="-8.4285714285714519E-3"/>
        <n v="6.0857142857142818E-2"/>
        <n v="0.12257142857142857"/>
        <n v="-4.3142857142857149E-2"/>
        <n v="-8.8000000000000148E-2"/>
        <n v="-7.1428571428571494E-2"/>
        <n v="-0.1477142857142858"/>
        <n v="-0.14142857142857157"/>
        <n v="-1.7142857142857158E-2"/>
        <n v="-0.16714285714285715"/>
        <n v="-7.5714285714285789E-2"/>
        <n v="0.58730158730158688"/>
        <n v="0.48148148148148145"/>
        <n v="0.30718954248365993"/>
        <n v="0.11111111111111099"/>
        <n v="-5.4373522458628976E-2"/>
        <n v="-0.17695473251028818"/>
        <n v="-0.25925925925925924"/>
        <n v="-0.32659932659932672"/>
        <n v="-0.37402190923317669"/>
        <n v="0.16652085156022164"/>
        <n v="0.43554407120298594"/>
        <n v="-0.11111111111111108"/>
        <n v="-0.11816577777777781"/>
        <n v="-0.10394265232974911"/>
        <n v="0.6039661708953048"/>
        <n v="0.79211469534050172"/>
        <n v="0.23456790123456789"/>
        <n v="-0.38271604938271603"/>
        <n v="-8.1726354453627276E-2"/>
        <n v="-0.53703703703703698"/>
        <n v="-0.40262843488649941"/>
        <n v="-0.54462659380692169"/>
        <n v="-0.60127591706539074"/>
        <n v="0.13636363636363627"/>
        <n v="-0.61149961149961152"/>
        <n v="0.51515151515151514"/>
        <n v="0.55400155400155449"/>
        <n v="0.19617224880382764"/>
        <n v="-0.20255183413078159"/>
        <n v="0.2285012285012285"/>
        <n v="0.26262626262626249"/>
        <n v="-0.180999180999181"/>
        <n v="-0.59049959049959044"/>
        <n v="-0.44181595874754132"/>
        <n v="-0.43949180590401959"/>
        <n v="-0.51856210548839188"/>
        <n v="-0.51789157692307686"/>
        <n v="-0.51654490760636007"/>
        <n v="-0.51417004048582993"/>
        <n v="-0.34718746599934719"/>
        <n v="-0.58996227652944067"/>
        <n v="-0.58908612754766587"/>
        <n v="-0.50549450549450547"/>
        <n v="-0.5040775843068106"/>
        <n v="-0.66962171686581129"/>
        <n v="-0.66985803895675156"/>
        <n v="-0.67009402320338696"/>
        <n v="-0.50478705843512706"/>
        <n v="0.57894736842105299"/>
        <n v="0.59468438538205992"/>
        <n v="0.20401337792642096"/>
        <n v="0.2080536899999999"/>
        <n v="0.21212121212121196"/>
        <n v="0.22033898305084801"/>
        <n v="0.22448979591836699"/>
        <n v="-0.17808219178082188"/>
        <n v="0.22866894197952195"/>
        <n v="-0.27492447129909364"/>
        <n v="-0.66339410939691446"/>
        <n v="-0.66292134831460681"/>
        <n v="-0.6619718309859155"/>
        <n v="-0.31034482758620696"/>
        <n v="-0.75084745762711858"/>
        <n v="0.20677966101694917"/>
        <n v="8.4745762711864486E-2"/>
        <n v="-0.44067796610169485"/>
        <n v="1.6644067796610171"/>
        <n v="-0.49152542372881353"/>
        <n v="1.5087719298245614"/>
        <n v="2.0877192982456143"/>
        <n v="-0.38596491228070173"/>
        <n v="-9.8000000000000045E-2"/>
        <n v="-5.8823529411764761E-2"/>
        <n v="-5.0470588235294177E-2"/>
        <n v="9.294117647058845E-3"/>
        <n v="-9.2470588235294124E-2"/>
        <n v="-0.1072941176470589"/>
        <n v="-0.17647058823529416"/>
        <n v="-1.6000000000000066E-2"/>
        <n v="-0.1145882352941177"/>
        <n v="-4.5764705882352999E-2"/>
        <n v="8.4941176470588159E-2"/>
        <n v="-5.5294117647058875E-2"/>
        <n v="-0.11999999999999998"/>
        <n v="-2.5692307692307594E-2"/>
        <n v="0.23076923076923078"/>
        <n v="0.34061538461538465"/>
        <n v="-0.53846153846153844"/>
        <n v="0.38461538461538458"/>
        <n v="0.48723076923076925"/>
        <n v="-2.6153846153846177E-2"/>
        <n v="0.60788235294117643"/>
        <n v="0.15964705882352934"/>
        <n v="0.29411764705882354"/>
        <n v="-0.42857142857142866"/>
        <n v="4.757142857142857E-2"/>
        <n v="0.14285714285714282"/>
        <n v="-2.042857142857156E-2"/>
        <n v="0.5238571428571428"/>
        <n v="-0.22442857142857148"/>
        <n v="0.42857142857142849"/>
        <n v="0.28571428571428564"/>
        <n v="0.52428571428571424"/>
        <n v="-0.36422788456762517"/>
        <n v="-0.36767981605231004"/>
        <n v="-0.34954613853696415"/>
        <n v="-0.33218708888888898"/>
        <n v="-0.34064801936846451"/>
        <n v="-0.35665460394049076"/>
        <n v="-0.38052598975052077"/>
        <n v="-0.40422996723264815"/>
        <n v="-0.41537190607822599"/>
        <n v="-0.42950285248573788"/>
        <n v="-0.38475060426279928"/>
        <n v="-0.3677888414730523"/>
        <n v="-0.35636856368563674"/>
        <n v="-0.33638238722984487"/>
        <n v="-0.29892532632258673"/>
        <n v="-0.29814577701901634"/>
        <n v="0.39837788165727755"/>
        <n v="0.42146410803127232"/>
        <n v="0.14384885417899262"/>
        <n v="9.0470074074074064E-2"/>
        <n v="9.3920925144553857E-2"/>
        <n v="9.6111688011999416E-2"/>
        <n v="0.21807316051920372"/>
        <n v="0.21184579262288886"/>
        <n v="0.2570828173665054"/>
        <n v="-6.7412736477484553E-2"/>
        <n v="-0.1677070328755722"/>
        <n v="-0.13954358398802827"/>
        <n v="0.10558319513543393"/>
        <n v="-1.7536054573091639E-2"/>
        <n v="6.8730421964252761E-2"/>
        <n v="2.0705745115193932E-2"/>
        <n v="4.9653158086892996E-2"/>
        <n v="0.50654269972451771"/>
        <n v="0.19169220292815789"/>
        <n v="-0.10623084848484854"/>
        <n v="9.4276094276094125E-2"/>
        <n v="-5.5596616572226386E-2"/>
        <n v="7.4145712443584129E-3"/>
        <n v="4.2167708834375393E-2"/>
        <n v="-3.0303030303030328E-2"/>
        <n v="-0.34656538430123335"/>
        <n v="-0.26686217008797658"/>
        <n v="-0.27466150870406203"/>
        <n v="0.31752305665349134"/>
        <n v="0.20435120435120421"/>
        <n v="0.11238971998465667"/>
        <n v="1.0101010101010039E-2"/>
        <n v="-9.4434021263289508E-2"/>
        <n v="-6.707317073170721E-2"/>
        <n v="-4.1046995835812221E-2"/>
        <n v="-4.1046993902439044E-2"/>
        <n v="-0.16144018583042979"/>
        <n v="8.4220884968082763E-2"/>
        <n v="0.12721417069243185"/>
        <n v="0.10807772603179715"/>
        <n v="0.10720230769230769"/>
        <n v="7.4581336948650989E-2"/>
        <n v="3.3159500147594299E-2"/>
        <n v="6.8465565847769206E-3"/>
        <n v="-2.7781869604925957E-2"/>
        <n v="-7.053712019595261E-2"/>
        <n v="-1.4824544942766346E-2"/>
        <n v="8.9445438282645187E-3"/>
        <n v="1.1025499127325053E-2"/>
        <n v="2.7937481967307992E-3"/>
        <n v="-3.6104184565094191E-2"/>
        <n v="-1.0691474590391331E-2"/>
        <n v="5.2369042848654139E-3"/>
        <n v="-0.52569169960474316"/>
        <n v="-0.46700507614213199"/>
        <n v="-0.47663551401869164"/>
        <n v="-0.33497537000000005"/>
        <n v="-0.26695174098961522"/>
        <n v="-0.34545454545454546"/>
        <n v="-0.34664246823956452"/>
        <n v="-0.42168674698795194"/>
        <n v="-0.56912028725314179"/>
        <n v="-0.28400954653937949"/>
        <n v="-0.26174496644295303"/>
        <n v="3.2443090159526983E-2"/>
        <n v="4.3848748446653901E-2"/>
        <n v="-2.8340080971659964E-2"/>
        <n v="7.6976906927919697E-3"/>
        <n v="7.6517150395777889E-2"/>
        <n v="-0.2711864406779661"/>
        <n v="-8.4745762711864292E-2"/>
        <n v="0.37288135593220356"/>
        <n v="1.6949152542372899E-2"/>
        <n v="-0.2807017543859649"/>
        <n v="3.5087719298245647E-2"/>
        <n v="-0.22807017543859642"/>
        <n v="2.5529411764705814E-2"/>
        <n v="4.4823529411764734E-2"/>
        <n v="2.941176470588238E-2"/>
        <n v="6.1294117647058735E-2"/>
        <n v="7.9999999999999946E-2"/>
        <n v="0.12905882352941178"/>
        <n v="0.13317647058823526"/>
        <n v="8.3647058823529338E-2"/>
        <n v="0.13411764705882351"/>
        <n v="7.0588235294117577E-2"/>
        <n v="0.10117647058823526"/>
        <n v="0.13176470588235292"/>
        <n v="0.12470588235294117"/>
        <n v="-5.9538461538461471E-2"/>
        <n v="-7.6923076923068445E-4"/>
        <n v="-0.13553846153846147"/>
        <n v="3.5846153846153826E-2"/>
        <n v="-0.1189230769230768"/>
        <n v="-8.0153846153846034E-2"/>
        <n v="-0.19661538461538464"/>
        <n v="9.3076923076923071E-2"/>
        <n v="-5.9846153846153743E-2"/>
        <n v="-3.0153846153846076E-2"/>
        <n v="-0.28923076923076912"/>
        <n v="-0.16615384615384612"/>
        <n v="-0.18923076923076923"/>
        <n v="-0.23384615384615387"/>
        <n v="-5.0823529411764726E-2"/>
        <n v="4.470588235294148E-3"/>
        <n v="-6.2352941176470255E-3"/>
        <n v="3.1882352941176487E-2"/>
        <n v="-2.2588235294117642E-2"/>
        <n v="8.7882352941176453E-2"/>
        <n v="-2.6352941176470562E-2"/>
        <n v="5.6823529411764717E-2"/>
        <n v="-6.4705882352941238E-2"/>
        <n v="-0.10588235294117644"/>
        <n v="-2.0000000000000018E-2"/>
        <n v="-1.2941176470588248E-2"/>
        <n v="-1.7647058823529429E-2"/>
        <n v="-2.8571428571428598E-2"/>
        <n v="-2.2428571428571499E-2"/>
        <n v="8.9285714285714288E-2"/>
        <n v="0.1219999999999999"/>
        <n v="5.428571428571418E-2"/>
        <n v="-5.285714285714338E-3"/>
        <n v="-1.1857142857142979E-2"/>
        <n v="-1.2857142857143028E-3"/>
        <n v="9.7142857142855973E-3"/>
        <n v="-9.2857142857143745E-3"/>
        <n v="3.9142857142857118E-2"/>
        <n v="-0.13000000000000012"/>
        <n v="-9.5714285714285807E-2"/>
        <n v="0.10142857142857137"/>
        <n v="9.2857142857142791E-2"/>
        <n v="-4.7142857142857188E-2"/>
        <n v="0.18649668411062656"/>
        <n v="0.16553811777672114"/>
        <n v="0.17571579905405579"/>
        <n v="0.16150197407407396"/>
        <n v="0.15939476658007878"/>
        <n v="0.14682094488073513"/>
        <n v="9.8156980509921873E-2"/>
        <n v="7.4337972520032436E-2"/>
        <n v="5.7987582094905073E-2"/>
        <n v="7.5195952203474012E-2"/>
        <n v="3.4157617787510947E-2"/>
        <n v="6.9516617011939402E-3"/>
        <n v="-2.9771698083635588E-4"/>
        <n v="-1.0003752405132018E-2"/>
        <n v="-4.0090802221411551E-2"/>
        <n v="-6.1797891514209016E-2"/>
        <n v="0.52297394315638324"/>
        <n v="0.50676992782255947"/>
        <n v="0.35587856566053377"/>
        <n v="0.37436803703703708"/>
        <n v="0.41634588199473693"/>
        <n v="0.39573204112937754"/>
        <n v="0.47070707070707074"/>
        <n v="0.47848166361328071"/>
        <n v="0.31137986303365883"/>
        <n v="0.15723762489201829"/>
        <n v="-7.0393814983834013E-2"/>
        <n v="-0.11933791715212479"/>
        <n v="-0.11399881866509141"/>
        <n v="-8.1703834499596714E-2"/>
        <n v="-0.18409731493843653"/>
        <n v="-0.14876323535872782"/>
        <n v="0.91303922647206215"/>
        <n v="0.88330781754999843"/>
        <n v="0.76492860894311954"/>
        <n v="0.7749963333333334"/>
        <n v="0.87204850417285606"/>
        <n v="0.8894407255452379"/>
        <n v="1.0155147765356591"/>
        <n v="1.0337215365896062"/>
        <n v="0.73580464842600757"/>
        <n v="0.42609574698534192"/>
        <n v="8.7400571936654278E-2"/>
        <n v="-5.7107276285358492E-2"/>
        <n v="-4.1638738961207025E-2"/>
        <n v="-0.14481522110949913"/>
        <n v="-0.26570671251522315"/>
        <n v="-0.29388673464502857"/>
        <n v="-5.7238394964595006E-2"/>
        <n v="-3.6344355538417111E-2"/>
        <n v="-4.8780487804877919E-2"/>
        <n v="-3.2651457317073168E-2"/>
        <n v="-3.2651455546813417E-2"/>
        <n v="-2.8504260946223804E-2"/>
        <n v="-7.0184171229466977E-2"/>
        <n v="-0.11996017919362868"/>
        <n v="-0.15904051602499511"/>
        <n v="-0.14807633431982861"/>
        <n v="-0.15290018446402925"/>
        <n v="-0.11324764699929146"/>
        <n v="0.33959268122959635"/>
        <n v="0.34098258572269707"/>
        <n v="0.32917422170318766"/>
        <n v="0.30824685576923072"/>
        <n v="0.28600534970079811"/>
        <n v="0.27556592760718862"/>
        <n v="0.21865871470301837"/>
        <n v="0.19206826628223569"/>
        <n v="0.15076834128645489"/>
        <n v="0.15181798551423661"/>
        <n v="0.12616811598876543"/>
        <n v="0.13883289263554713"/>
        <n v="0.12344959425953472"/>
        <n v="0.11748266391759234"/>
        <n v="0.11071369006114712"/>
        <n v="8.6702395059969323E-2"/>
        <n v="0.16473442976543601"/>
        <n v="0.14701130856219699"/>
        <n v="0.13085621970920794"/>
        <n v="4.9092129999999956E-2"/>
        <n v="3.1149301825993958E-2"/>
        <n v="-3.5498995311453591E-2"/>
        <n v="-0.11776500467851891"/>
        <n v="-0.13415285943345803"/>
        <n v="-0.18203688853247801"/>
        <n v="-0.2625250501002005"/>
        <n v="-0.19173150621298346"/>
        <n v="1.6241720352054984E-2"/>
        <n v="-9.425466770727059E-3"/>
        <n v="-9.3875726419312411E-3"/>
        <n v="1.2043914420145907E-2"/>
        <n v="1.6437139049310934E-2"/>
        <n v="0.11864406779661028"/>
        <n v="0.16779661016949149"/>
        <n v="0.22033898305084748"/>
        <n v="0.44736842105263164"/>
        <n v="0.44385964912280707"/>
        <n v="0.49824561403508782"/>
        <n v="0.48245614035087725"/>
        <n v="0.49298245614035097"/>
        <n v="0.50000000000000011"/>
        <n v="0.52456140350877201"/>
        <n v="0.44912280701754392"/>
        <n v="0.52807017543859658"/>
        <n v="0.50526315789473697"/>
        <n v="0.51228070175438611"/>
        <n v="0.24561403508771934"/>
        <n v="0.15164705882352944"/>
        <n v="0.11388235294117648"/>
        <n v="2.1176470588235314E-2"/>
        <n v="-1.4941176470588288E-2"/>
        <n v="2.9058823529411699E-2"/>
        <n v="0.14894117647058816"/>
        <n v="0.18305882352941172"/>
        <n v="6.176470588235293E-2"/>
        <n v="6.1882352941176451E-2"/>
        <n v="0.19882352941176462"/>
        <n v="0.13999999999999999"/>
        <n v="0.12823529411764706"/>
        <n v="6.153846153847184E-4"/>
        <n v="3.769230769230781E-2"/>
        <n v="2.7538461538461578E-2"/>
        <n v="1.2461538461538454E-2"/>
        <n v="1.2000000000000044E-2"/>
        <n v="-1.4923076923076817E-2"/>
        <n v="3.2307692307692336E-2"/>
        <n v="4.9230769230768929E-3"/>
        <n v="1.5384615384615398E-3"/>
        <n v="-5.538461538461441E-3"/>
        <n v="-4.9846153846153818E-2"/>
        <n v="-5.999999999999988E-2"/>
        <n v="-3.6923076923076954E-2"/>
        <n v="3.0769230769230795E-3"/>
        <n v="-6.3076923076922961E-2"/>
        <n v="1.4352941176470575E-2"/>
        <n v="2.5058823529411748E-2"/>
        <n v="2.6823529411764625E-2"/>
        <n v="3.9058823529411771E-2"/>
        <n v="1.1999999999999985E-2"/>
        <n v="1.2705882352941214E-2"/>
        <n v="2.9999999999999961E-2"/>
        <n v="8.9411764705881643E-3"/>
        <n v="2.9411764705881728E-3"/>
        <n v="-2.7058823529411396E-3"/>
        <n v="4.1176470588235335E-2"/>
        <n v="1.0588235294117657E-2"/>
        <n v="5.1764705882352859E-2"/>
        <n v="-2.3529411764705902E-3"/>
        <n v="5.9999999999999921E-2"/>
        <n v="3.7285714285714144E-2"/>
        <n v="4.5857142857142728E-2"/>
        <n v="-1.1285714285714312E-2"/>
        <n v="-3.7000000000000054E-2"/>
        <n v="-2.8571428571441286E-4"/>
        <n v="5.7142857142850848E-4"/>
        <n v="-3.6285714285714414E-2"/>
        <n v="-6.5857142857142906E-2"/>
        <n v="-7.6428571428571415E-2"/>
        <n v="-5.6714285714285814E-2"/>
        <n v="-0.11714285714285726"/>
        <n v="-7.8571428571428653E-2"/>
        <n v="-4.1428571428571467E-2"/>
        <n v="-8.2857142857142935E-2"/>
      </sharedItems>
      <fieldGroup base="13">
        <rangePr startNum="-0.83881366860090267" endNum="2.0877192982456143" groupInterval="0.1"/>
        <groupItems count="32">
          <s v="&lt;-0.838813668600903"/>
          <s v="-0.838813668600903--0.738813668600903"/>
          <s v="-0.738813668600903--0.638813668600903"/>
          <s v="-0.638813668600903--0.538813668600903"/>
          <s v="-0.538813668600903--0.438813668600903"/>
          <s v="-0.438813668600903--0.338813668600903"/>
          <s v="-0.338813668600903--0.238813668600903"/>
          <s v="-0.238813668600903--0.138813668600903"/>
          <s v="-0.138813668600903--0.0388136686009026"/>
          <s v="-0.0388136686009026-0.0611863313990974"/>
          <s v="0.0611863313990973-0.161186331399097"/>
          <s v="0.161186331399097-0.261186331399097"/>
          <s v="0.261186331399097-0.361186331399097"/>
          <s v="0.361186331399098-0.461186331399097"/>
          <s v="0.461186331399097-0.561186331399097"/>
          <s v="0.561186331399097-0.661186331399097"/>
          <s v="0.661186331399097-0.761186331399097"/>
          <s v="0.761186331399097-0.861186331399097"/>
          <s v="0.861186331399098-0.961186331399097"/>
          <s v="0.961186331399097-1.0611863313991"/>
          <s v="1.0611863313991-1.1611863313991"/>
          <s v="1.1611863313991-1.2611863313991"/>
          <s v="1.2611863313991-1.3611863313991"/>
          <s v="1.3611863313991-1.4611863313991"/>
          <s v="1.4611863313991-1.5611863313991"/>
          <s v="1.5611863313991-1.6611863313991"/>
          <s v="1.6611863313991-1.7611863313991"/>
          <s v="1.7611863313991-1.8611863313991"/>
          <s v="1.8611863313991-1.9611863313991"/>
          <s v="1.9611863313991-2.0611863313991"/>
          <s v="2.0611863313991-2.1611863313991"/>
          <s v="&gt;2.1611863313991"/>
        </groupItems>
      </fieldGroup>
    </cacheField>
    <cacheField name="Prior Interventions" numFmtId="0">
      <sharedItems containsSemiMixedTypes="0" containsString="0" containsNumber="1" containsInteger="1" minValue="0" maxValue="13"/>
    </cacheField>
    <cacheField name="Historical_Outcome" numFmtId="0">
      <sharedItems containsSemiMixedTypes="0" containsString="0" containsNumber="1" containsInteger="1" minValue="-1" maxValue="1" count="3">
        <n v="0"/>
        <n v="1"/>
        <n v="-1"/>
      </sharedItems>
    </cacheField>
    <cacheField name="Decision" numFmtId="0">
      <sharedItems count="3">
        <s v="Monitor"/>
        <s v="Intervene"/>
        <s v="Escalate / Bigger Fix"/>
      </sharedItems>
    </cacheField>
    <cacheField name="intervention_n1" numFmtId="0">
      <sharedItems containsSemiMixedTypes="0" containsString="0" containsNumber="1" containsInteger="1" minValue="0" maxValue="1"/>
    </cacheField>
    <cacheField name="Decision_Code" numFmtId="0">
      <sharedItems containsSemiMixedTypes="0" containsString="0" containsNumber="1" containsInteger="1" minValue="-1" maxValue="1"/>
    </cacheField>
    <cacheField name="New_Intervention" numFmtId="0">
      <sharedItems containsSemiMixedTypes="0" containsString="0" containsNumber="1" containsInteger="1" minValue="0" maxValue="1"/>
    </cacheField>
    <cacheField name="Improvement_Check" numFmtId="0">
      <sharedItems count="2">
        <s v="Improved Enough"/>
        <s v="Not Improved Enough"/>
      </sharedItems>
    </cacheField>
    <cacheField name="Distance_check" numFmtId="0">
      <sharedItems count="2">
        <s v="Far"/>
        <s v="Close"/>
      </sharedItems>
    </cacheField>
    <cacheField name="z_check" numFmtId="0">
      <sharedItems/>
    </cacheField>
    <cacheField name="intervention_check" numFmtId="0">
      <sharedItems/>
    </cacheField>
    <cacheField name="Improvement_Threshold" numFmtId="0">
      <sharedItems containsBlank="1"/>
    </cacheField>
    <cacheField name="1%" numFmtId="0">
      <sharedItems containsString="0" containsBlank="1" containsNumber="1" minValue="0.02" maxValue="5"/>
    </cacheField>
    <cacheField name="How much improvement is good enough?" numFmtId="0">
      <sharedItems containsBlank="1"/>
    </cacheField>
    <cacheField name="Months (Date)" numFmtId="0" databaseField="0">
      <fieldGroup base="3">
        <rangePr groupBy="months" startDate="2024-08-31T00:00:00" endDate="2025-12-01T00:00:00"/>
        <groupItems count="14">
          <s v="&lt;8/31/2024"/>
          <s v="Jan"/>
          <s v="Feb"/>
          <s v="Mar"/>
          <s v="Apr"/>
          <s v="May"/>
          <s v="Jun"/>
          <s v="Jul"/>
          <s v="Aug"/>
          <s v="Sep"/>
          <s v="Oct"/>
          <s v="Nov"/>
          <s v="Dec"/>
          <s v="&gt;12/1/2025"/>
        </groupItems>
      </fieldGroup>
    </cacheField>
    <cacheField name="Quarters (Date)" numFmtId="0" databaseField="0">
      <fieldGroup base="3">
        <rangePr groupBy="quarters" startDate="2024-08-31T00:00:00" endDate="2025-12-01T00:00:00"/>
        <groupItems count="6">
          <s v="&lt;8/31/2024"/>
          <s v="Qtr1"/>
          <s v="Qtr2"/>
          <s v="Qtr3"/>
          <s v="Qtr4"/>
          <s v="&gt;12/1/2025"/>
        </groupItems>
      </fieldGroup>
    </cacheField>
    <cacheField name="Years (Date)" numFmtId="0" databaseField="0">
      <fieldGroup base="3">
        <rangePr groupBy="years" startDate="2024-08-31T00:00:00" endDate="2025-12-01T00:00:00"/>
        <groupItems count="4">
          <s v="&lt;8/31/2024"/>
          <s v="2024"/>
          <s v="2025"/>
          <s v="&gt;12/1/2025"/>
        </groupItems>
      </fieldGroup>
    </cacheField>
  </cacheFields>
  <extLst>
    <ext xmlns:x14="http://schemas.microsoft.com/office/spreadsheetml/2009/9/main" uri="{725AE2AE-9491-48be-B2B4-4EB974FC3084}">
      <x14:pivotCacheDefinition pivotCacheId="1104071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6">
  <r>
    <x v="0"/>
    <x v="0"/>
    <x v="0"/>
    <x v="0"/>
    <n v="0.30399999999999999"/>
    <n v="0"/>
    <s v="DOWN"/>
    <n v="0.27"/>
    <n v="1.69999999999998E-2"/>
    <n v="1.2504550363164104E-2"/>
    <n v="5.3924507863027986E-2"/>
    <n v="8.3365612686803772E-2"/>
    <n v="0"/>
    <x v="0"/>
    <n v="0"/>
    <x v="0"/>
    <x v="0"/>
    <n v="0"/>
    <n v="0"/>
    <n v="0"/>
    <x v="0"/>
    <x v="0"/>
    <s v="Normal"/>
    <s v="Allowed"/>
    <s v="Distance_Threshold"/>
    <n v="0.02"/>
    <s v="How far from target is considered a real problem?”"/>
  </r>
  <r>
    <x v="0"/>
    <x v="0"/>
    <x v="0"/>
    <x v="1"/>
    <n v="0.30009871668311938"/>
    <n v="1"/>
    <s v="DOWN"/>
    <n v="0.27"/>
    <n v="1.283316880552832E-2"/>
    <n v="1.2504550363164104E-2"/>
    <n v="5.3924507863027986E-2"/>
    <n v="6.0940462024971932E-3"/>
    <n v="0"/>
    <x v="1"/>
    <n v="0"/>
    <x v="0"/>
    <x v="0"/>
    <n v="0"/>
    <n v="0"/>
    <n v="0"/>
    <x v="0"/>
    <x v="0"/>
    <s v="Normal"/>
    <s v="Allowed"/>
    <s v="Max_Prior_Interventions"/>
    <n v="5"/>
    <s v="How many times can we try before giving up?"/>
  </r>
  <r>
    <x v="0"/>
    <x v="0"/>
    <x v="0"/>
    <x v="2"/>
    <n v="0.29296875"/>
    <n v="0"/>
    <s v="DOWN"/>
    <n v="0.27"/>
    <n v="2.3758737664473471E-2"/>
    <n v="1.2504550363164104E-2"/>
    <n v="5.3924507863027986E-2"/>
    <n v="0.2087026427741499"/>
    <n v="0"/>
    <x v="2"/>
    <n v="1"/>
    <x v="1"/>
    <x v="0"/>
    <n v="1"/>
    <n v="0"/>
    <n v="0"/>
    <x v="0"/>
    <x v="0"/>
    <s v="Normal"/>
    <s v="Allowed"/>
    <s v="Z Threshold"/>
    <n v="0.5"/>
    <s v="How sensitive should we be to unusual changes?"/>
  </r>
  <r>
    <x v="0"/>
    <x v="0"/>
    <x v="0"/>
    <x v="3"/>
    <n v="0.290885585"/>
    <n v="0"/>
    <s v="DOWN"/>
    <n v="0.27"/>
    <n v="7.1105365333333261E-3"/>
    <n v="1.2504550363164104E-2"/>
    <n v="5.3924507863027986E-2"/>
    <n v="-0.1000289857727019"/>
    <n v="0"/>
    <x v="3"/>
    <n v="1"/>
    <x v="0"/>
    <x v="0"/>
    <n v="0"/>
    <n v="0"/>
    <n v="0"/>
    <x v="1"/>
    <x v="0"/>
    <s v="Normal"/>
    <s v="Allowed"/>
    <m/>
    <m/>
    <m/>
  </r>
  <r>
    <x v="0"/>
    <x v="0"/>
    <x v="0"/>
    <x v="4"/>
    <n v="0.30193548387096769"/>
    <n v="1"/>
    <s v="DOWN"/>
    <n v="0.27"/>
    <n v="-3.7987096785726558E-2"/>
    <n v="1.2504550363164104E-2"/>
    <n v="5.3924507863027986E-2"/>
    <n v="-0.93633950776413155"/>
    <n v="1"/>
    <x v="4"/>
    <n v="1"/>
    <x v="0"/>
    <x v="1"/>
    <n v="0"/>
    <n v="1"/>
    <n v="1"/>
    <x v="1"/>
    <x v="0"/>
    <s v="Abnormal"/>
    <s v="Allowed"/>
    <m/>
    <m/>
    <m/>
  </r>
  <r>
    <x v="0"/>
    <x v="0"/>
    <x v="0"/>
    <x v="5"/>
    <n v="0.30232558139534882"/>
    <n v="1"/>
    <s v="DOWN"/>
    <n v="0.27"/>
    <n v="-1.2919896640827949E-3"/>
    <n v="1.2504550363164104E-2"/>
    <n v="5.3924507863027986E-2"/>
    <n v="-0.25584915976036487"/>
    <n v="0"/>
    <x v="5"/>
    <n v="2"/>
    <x v="2"/>
    <x v="0"/>
    <n v="1"/>
    <n v="0"/>
    <n v="0"/>
    <x v="1"/>
    <x v="0"/>
    <s v="Normal"/>
    <s v="Allowed"/>
    <m/>
    <m/>
    <m/>
  </r>
  <r>
    <x v="0"/>
    <x v="0"/>
    <x v="0"/>
    <x v="6"/>
    <n v="0.28859278518037051"/>
    <n v="0"/>
    <s v="DOWN"/>
    <n v="0.27"/>
    <n v="4.5423864403389802E-2"/>
    <n v="1.2504550363164104E-2"/>
    <n v="5.3924507863027986E-2"/>
    <n v="0.61047036579069114"/>
    <n v="-1"/>
    <x v="6"/>
    <n v="3"/>
    <x v="1"/>
    <x v="0"/>
    <n v="1"/>
    <n v="0"/>
    <n v="0"/>
    <x v="0"/>
    <x v="0"/>
    <s v="Normal"/>
    <s v="Allowed"/>
    <m/>
    <m/>
    <m/>
  </r>
  <r>
    <x v="0"/>
    <x v="0"/>
    <x v="0"/>
    <x v="7"/>
    <n v="0.27227885563959231"/>
    <n v="0"/>
    <s v="DOWN"/>
    <n v="0.27"/>
    <n v="5.6529235582178518E-2"/>
    <n v="1.2504550363164104E-2"/>
    <n v="5.3924507863027986E-2"/>
    <n v="0.81641329635942506"/>
    <n v="-1"/>
    <x v="7"/>
    <n v="3"/>
    <x v="0"/>
    <x v="0"/>
    <n v="0"/>
    <n v="0"/>
    <n v="0"/>
    <x v="0"/>
    <x v="1"/>
    <s v="Normal"/>
    <s v="Allowed"/>
    <m/>
    <m/>
    <m/>
  </r>
  <r>
    <x v="0"/>
    <x v="0"/>
    <x v="0"/>
    <x v="8"/>
    <n v="0.25540540540540541"/>
    <n v="0"/>
    <s v="DOWN"/>
    <n v="0.27"/>
    <n v="6.1971210340775802E-2"/>
    <n v="1.2504550363164104E-2"/>
    <n v="5.3924507863027986E-2"/>
    <n v="0.91733169087533384"/>
    <n v="-1"/>
    <x v="8"/>
    <n v="3"/>
    <x v="0"/>
    <x v="0"/>
    <n v="0"/>
    <n v="0"/>
    <n v="0"/>
    <x v="0"/>
    <x v="1"/>
    <s v="Normal"/>
    <s v="Allowed"/>
    <m/>
    <m/>
    <m/>
  </r>
  <r>
    <x v="0"/>
    <x v="0"/>
    <x v="0"/>
    <x v="9"/>
    <n v="0.25311203319502068"/>
    <n v="0"/>
    <s v="DOWN"/>
    <n v="0.27"/>
    <n v="8.9793409295486609E-3"/>
    <n v="1.2504550363164104E-2"/>
    <n v="5.3924507863027986E-2"/>
    <n v="-6.5373047864798722E-2"/>
    <n v="0"/>
    <x v="9"/>
    <n v="3"/>
    <x v="0"/>
    <x v="0"/>
    <n v="0"/>
    <n v="0"/>
    <n v="0"/>
    <x v="1"/>
    <x v="1"/>
    <s v="Normal"/>
    <s v="Allowed"/>
    <m/>
    <m/>
    <m/>
  </r>
  <r>
    <x v="0"/>
    <x v="0"/>
    <x v="0"/>
    <x v="10"/>
    <n v="0.2492957746478873"/>
    <n v="0"/>
    <s v="DOWN"/>
    <n v="0.27"/>
    <n v="1.5077349341953211E-2"/>
    <n v="1.2504550363164104E-2"/>
    <n v="5.3924507863027986E-2"/>
    <n v="4.7711125808031399E-2"/>
    <n v="0"/>
    <x v="10"/>
    <n v="3"/>
    <x v="0"/>
    <x v="0"/>
    <n v="0"/>
    <n v="0"/>
    <n v="0"/>
    <x v="0"/>
    <x v="1"/>
    <s v="Normal"/>
    <s v="Allowed"/>
    <m/>
    <m/>
    <m/>
  </r>
  <r>
    <x v="0"/>
    <x v="0"/>
    <x v="0"/>
    <x v="11"/>
    <n v="0.24910522548317821"/>
    <n v="0"/>
    <s v="DOWN"/>
    <n v="0.27"/>
    <n v="7.6434975674268457E-4"/>
    <n v="1.2504550363164104E-2"/>
    <n v="5.3924507863027986E-2"/>
    <n v="-0.21771548914720462"/>
    <n v="0"/>
    <x v="11"/>
    <n v="3"/>
    <x v="0"/>
    <x v="0"/>
    <n v="0"/>
    <n v="0"/>
    <n v="0"/>
    <x v="1"/>
    <x v="1"/>
    <s v="Normal"/>
    <s v="Allowed"/>
    <m/>
    <m/>
    <m/>
  </r>
  <r>
    <x v="0"/>
    <x v="0"/>
    <x v="0"/>
    <x v="12"/>
    <n v="0.2453450164293538"/>
    <n v="0"/>
    <s v="DOWN"/>
    <n v="0.27"/>
    <n v="1.5094862207450269E-2"/>
    <n v="1.2504550363164104E-2"/>
    <n v="5.3924507863027986E-2"/>
    <n v="4.8035892156229554E-2"/>
    <n v="0"/>
    <x v="12"/>
    <n v="3"/>
    <x v="0"/>
    <x v="0"/>
    <n v="0"/>
    <n v="0"/>
    <n v="0"/>
    <x v="0"/>
    <x v="1"/>
    <s v="Normal"/>
    <s v="Allowed"/>
    <m/>
    <m/>
    <m/>
  </r>
  <r>
    <x v="0"/>
    <x v="0"/>
    <x v="0"/>
    <x v="13"/>
    <n v="0.2548435171385991"/>
    <n v="0"/>
    <s v="DOWN"/>
    <n v="0.27"/>
    <n v="-3.8714871194379247E-2"/>
    <n v="1.2504550363164104E-2"/>
    <n v="5.3924507863027986E-2"/>
    <n v="-0.9498356793101248"/>
    <n v="1"/>
    <x v="13"/>
    <n v="3"/>
    <x v="0"/>
    <x v="0"/>
    <n v="0"/>
    <n v="0"/>
    <n v="0"/>
    <x v="1"/>
    <x v="1"/>
    <s v="Abnormal"/>
    <s v="Allowed"/>
    <m/>
    <m/>
    <m/>
  </r>
  <r>
    <x v="0"/>
    <x v="0"/>
    <x v="0"/>
    <x v="14"/>
    <n v="0.25190839694656492"/>
    <n v="0"/>
    <s v="DOWN"/>
    <n v="0.27"/>
    <n v="1.151734297575985E-2"/>
    <n v="1.2504550363164104E-2"/>
    <n v="5.3924507863027986E-2"/>
    <n v="-1.8307211813816282E-2"/>
    <n v="0"/>
    <x v="14"/>
    <n v="3"/>
    <x v="0"/>
    <x v="0"/>
    <n v="0"/>
    <n v="0"/>
    <n v="0"/>
    <x v="0"/>
    <x v="1"/>
    <s v="Normal"/>
    <s v="Allowed"/>
    <m/>
    <m/>
    <m/>
  </r>
  <r>
    <x v="0"/>
    <x v="0"/>
    <x v="0"/>
    <x v="15"/>
    <n v="0.24394057857701329"/>
    <n v="0"/>
    <s v="DOWN"/>
    <n v="0.27"/>
    <n v="3.1629824436704937E-2"/>
    <n v="1.2504550363164104E-2"/>
    <n v="5.3924507863027986E-2"/>
    <n v="0.3546675682626601"/>
    <n v="0"/>
    <x v="15"/>
    <n v="3"/>
    <x v="0"/>
    <x v="0"/>
    <n v="0"/>
    <n v="0"/>
    <n v="0"/>
    <x v="0"/>
    <x v="1"/>
    <s v="Normal"/>
    <s v="Allowed"/>
    <m/>
    <m/>
    <m/>
  </r>
  <r>
    <x v="0"/>
    <x v="0"/>
    <x v="1"/>
    <x v="0"/>
    <n v="7.8461538461538458E-2"/>
    <n v="0"/>
    <s v="DOWN"/>
    <n v="5.3999999999999999E-2"/>
    <n v="5.8461538461538447E-2"/>
    <n v="1.0109678696460058E-2"/>
    <n v="0.17556416633612926"/>
    <n v="0.27540847756201875"/>
    <n v="0"/>
    <x v="16"/>
    <n v="0"/>
    <x v="0"/>
    <x v="0"/>
    <n v="0"/>
    <n v="0"/>
    <n v="0"/>
    <x v="0"/>
    <x v="0"/>
    <s v="Normal"/>
    <s v="Allowed"/>
    <m/>
    <m/>
    <m/>
  </r>
  <r>
    <x v="0"/>
    <x v="0"/>
    <x v="1"/>
    <x v="1"/>
    <n v="6.9821567106283941E-2"/>
    <n v="0"/>
    <s v="DOWN"/>
    <n v="5.3999999999999999E-2"/>
    <n v="0.11011728197873399"/>
    <n v="1.0109678696460058E-2"/>
    <n v="0.17556416633612926"/>
    <n v="0.56963562308496796"/>
    <n v="-1"/>
    <x v="17"/>
    <n v="0"/>
    <x v="0"/>
    <x v="0"/>
    <n v="0"/>
    <n v="0"/>
    <n v="0"/>
    <x v="0"/>
    <x v="0"/>
    <s v="Normal"/>
    <s v="Allowed"/>
    <m/>
    <m/>
    <m/>
  </r>
  <r>
    <x v="0"/>
    <x v="0"/>
    <x v="1"/>
    <x v="2"/>
    <n v="7.1372549019607837E-2"/>
    <n v="0"/>
    <s v="DOWN"/>
    <n v="5.3999999999999999E-2"/>
    <n v="-2.2213507625272241E-2"/>
    <n v="1.0109678696460058E-2"/>
    <n v="0.17556416633612926"/>
    <n v="-0.18411038537241939"/>
    <n v="0"/>
    <x v="18"/>
    <n v="0"/>
    <x v="0"/>
    <x v="0"/>
    <n v="0"/>
    <n v="0"/>
    <n v="0"/>
    <x v="1"/>
    <x v="0"/>
    <s v="Normal"/>
    <s v="Allowed"/>
    <m/>
    <m/>
    <m/>
  </r>
  <r>
    <x v="0"/>
    <x v="0"/>
    <x v="1"/>
    <x v="3"/>
    <n v="6.4414767999999997E-2"/>
    <n v="0"/>
    <s v="DOWN"/>
    <n v="5.3999999999999999E-2"/>
    <n v="9.748539340659336E-2"/>
    <n v="1.0109678696460058E-2"/>
    <n v="0.17556416633612926"/>
    <n v="0.49768535649152174"/>
    <n v="0"/>
    <x v="19"/>
    <n v="0"/>
    <x v="0"/>
    <x v="0"/>
    <n v="0"/>
    <n v="0"/>
    <n v="0"/>
    <x v="0"/>
    <x v="0"/>
    <s v="Normal"/>
    <s v="Allowed"/>
    <m/>
    <m/>
    <m/>
  </r>
  <r>
    <x v="0"/>
    <x v="0"/>
    <x v="1"/>
    <x v="4"/>
    <n v="6.5934065934065936E-2"/>
    <n v="1"/>
    <s v="DOWN"/>
    <n v="5.3999999999999999E-2"/>
    <n v="-2.3586174121840171E-2"/>
    <n v="1.0109678696460058E-2"/>
    <n v="0.17556416633612926"/>
    <n v="-0.1919289882525759"/>
    <n v="0"/>
    <x v="20"/>
    <n v="0"/>
    <x v="0"/>
    <x v="0"/>
    <n v="0"/>
    <n v="0"/>
    <n v="0"/>
    <x v="1"/>
    <x v="0"/>
    <s v="Normal"/>
    <s v="Allowed"/>
    <m/>
    <m/>
    <m/>
  </r>
  <r>
    <x v="0"/>
    <x v="0"/>
    <x v="1"/>
    <x v="5"/>
    <n v="7.3265783320342948E-2"/>
    <n v="1"/>
    <s v="DOWN"/>
    <n v="5.3999999999999999E-2"/>
    <n v="-0.111197713691868"/>
    <n v="1.0109678696460058E-2"/>
    <n v="0.17556416633612926"/>
    <n v="-0.69095758502379689"/>
    <n v="1"/>
    <x v="21"/>
    <n v="1"/>
    <x v="2"/>
    <x v="1"/>
    <n v="1"/>
    <n v="1"/>
    <n v="1"/>
    <x v="1"/>
    <x v="0"/>
    <s v="Abnormal"/>
    <s v="Allowed"/>
    <m/>
    <m/>
    <m/>
  </r>
  <r>
    <x v="0"/>
    <x v="0"/>
    <x v="1"/>
    <x v="6"/>
    <n v="8.0093312597200622E-2"/>
    <n v="1"/>
    <s v="DOWN"/>
    <n v="5.3999999999999999E-2"/>
    <n v="-9.3188511300089316E-2"/>
    <n v="1.0109678696460058E-2"/>
    <n v="0.17556416633612926"/>
    <n v="-0.58837855214017942"/>
    <n v="1"/>
    <x v="22"/>
    <n v="2"/>
    <x v="2"/>
    <x v="1"/>
    <n v="1"/>
    <n v="1"/>
    <n v="1"/>
    <x v="1"/>
    <x v="0"/>
    <s v="Abnormal"/>
    <s v="Allowed"/>
    <m/>
    <m/>
    <m/>
  </r>
  <r>
    <x v="0"/>
    <x v="0"/>
    <x v="1"/>
    <x v="7"/>
    <n v="7.5617283950617287E-2"/>
    <n v="0"/>
    <s v="DOWN"/>
    <n v="5.3999999999999999E-2"/>
    <n v="5.5885173199089033E-2"/>
    <n v="1.0109678696460058E-2"/>
    <n v="0.17556416633612926"/>
    <n v="0.26073369901115667"/>
    <n v="0"/>
    <x v="23"/>
    <n v="3"/>
    <x v="1"/>
    <x v="0"/>
    <n v="1"/>
    <n v="0"/>
    <n v="0"/>
    <x v="0"/>
    <x v="0"/>
    <s v="Normal"/>
    <s v="Allowed"/>
    <m/>
    <m/>
    <m/>
  </r>
  <r>
    <x v="0"/>
    <x v="0"/>
    <x v="1"/>
    <x v="8"/>
    <n v="8.87035633055345E-2"/>
    <n v="0"/>
    <s v="DOWN"/>
    <n v="5.3999999999999999E-2"/>
    <n v="-0.17305936779563991"/>
    <n v="1.0109678696460058E-2"/>
    <n v="0.17556416633612926"/>
    <n v="-1.0433168129617674"/>
    <n v="1"/>
    <x v="24"/>
    <n v="3"/>
    <x v="0"/>
    <x v="1"/>
    <n v="0"/>
    <n v="1"/>
    <n v="1"/>
    <x v="1"/>
    <x v="0"/>
    <s v="Abnormal"/>
    <s v="Allowed"/>
    <m/>
    <m/>
    <m/>
  </r>
  <r>
    <x v="0"/>
    <x v="0"/>
    <x v="1"/>
    <x v="9"/>
    <n v="8.6956521739130432E-2"/>
    <n v="0"/>
    <s v="DOWN"/>
    <n v="5.3999999999999999E-2"/>
    <n v="1.9695280564845801E-2"/>
    <n v="1.0109678696460058E-2"/>
    <n v="0.17556416633612926"/>
    <n v="5.4598851624616106E-2"/>
    <n v="0"/>
    <x v="25"/>
    <n v="3"/>
    <x v="0"/>
    <x v="0"/>
    <n v="0"/>
    <n v="0"/>
    <n v="0"/>
    <x v="0"/>
    <x v="0"/>
    <s v="Normal"/>
    <s v="Allowed"/>
    <m/>
    <m/>
    <m/>
  </r>
  <r>
    <x v="0"/>
    <x v="0"/>
    <x v="1"/>
    <x v="10"/>
    <n v="7.4999999999999997E-2"/>
    <n v="0"/>
    <s v="DOWN"/>
    <n v="5.3999999999999999E-2"/>
    <n v="0.13750000000000001"/>
    <n v="1.0109678696460058E-2"/>
    <n v="0.17556416633612926"/>
    <n v="0.7256054806744715"/>
    <n v="-1"/>
    <x v="26"/>
    <n v="3"/>
    <x v="0"/>
    <x v="0"/>
    <n v="0"/>
    <n v="0"/>
    <n v="0"/>
    <x v="0"/>
    <x v="0"/>
    <s v="Normal"/>
    <s v="Allowed"/>
    <m/>
    <m/>
    <m/>
  </r>
  <r>
    <x v="0"/>
    <x v="0"/>
    <x v="1"/>
    <x v="11"/>
    <n v="6.9819819819819814E-2"/>
    <n v="0"/>
    <s v="DOWN"/>
    <n v="5.3999999999999999E-2"/>
    <n v="6.9069069069069108E-2"/>
    <n v="1.0109678696460058E-2"/>
    <n v="0.17556416633612926"/>
    <n v="0.33582815675339683"/>
    <n v="0"/>
    <x v="27"/>
    <n v="3"/>
    <x v="0"/>
    <x v="0"/>
    <n v="0"/>
    <n v="0"/>
    <n v="0"/>
    <x v="0"/>
    <x v="0"/>
    <s v="Normal"/>
    <s v="Allowed"/>
    <m/>
    <m/>
    <m/>
  </r>
  <r>
    <x v="0"/>
    <x v="0"/>
    <x v="1"/>
    <x v="12"/>
    <n v="6.7771084337349394E-2"/>
    <n v="0"/>
    <s v="DOWN"/>
    <n v="5.3999999999999999E-2"/>
    <n v="2.9343179168286031E-2"/>
    <n v="1.0109678696460058E-2"/>
    <n v="0.17556416633612926"/>
    <n v="0.10955254066483111"/>
    <n v="0"/>
    <x v="28"/>
    <n v="3"/>
    <x v="0"/>
    <x v="0"/>
    <n v="0"/>
    <n v="0"/>
    <n v="0"/>
    <x v="0"/>
    <x v="0"/>
    <s v="Normal"/>
    <s v="Allowed"/>
    <m/>
    <m/>
    <m/>
  </r>
  <r>
    <x v="0"/>
    <x v="0"/>
    <x v="1"/>
    <x v="13"/>
    <n v="6.2878787878787881E-2"/>
    <n v="0"/>
    <s v="DOWN"/>
    <n v="5.3999999999999999E-2"/>
    <n v="7.2188552188552094E-2"/>
    <n v="1.0109678696460058E-2"/>
    <n v="0.17556416633612926"/>
    <n v="0.35359649288134293"/>
    <n v="0"/>
    <x v="29"/>
    <n v="3"/>
    <x v="0"/>
    <x v="0"/>
    <n v="0"/>
    <n v="0"/>
    <n v="0"/>
    <x v="0"/>
    <x v="0"/>
    <s v="Normal"/>
    <s v="Allowed"/>
    <m/>
    <m/>
    <m/>
  </r>
  <r>
    <x v="0"/>
    <x v="0"/>
    <x v="1"/>
    <x v="14"/>
    <n v="5.6445461479786421E-2"/>
    <n v="0"/>
    <s v="DOWN"/>
    <n v="5.3999999999999999E-2"/>
    <n v="0.1023131427311075"/>
    <n v="1.0109678696460058E-2"/>
    <n v="0.17556416633612926"/>
    <n v="0.52518384564944642"/>
    <n v="-1"/>
    <x v="30"/>
    <n v="3"/>
    <x v="0"/>
    <x v="0"/>
    <n v="0"/>
    <n v="0"/>
    <n v="0"/>
    <x v="0"/>
    <x v="0"/>
    <s v="Normal"/>
    <s v="Allowed"/>
    <m/>
    <m/>
    <m/>
  </r>
  <r>
    <x v="0"/>
    <x v="0"/>
    <x v="1"/>
    <x v="15"/>
    <n v="6.3444108761329304E-2"/>
    <n v="0"/>
    <s v="DOWN"/>
    <n v="5.3999999999999999E-2"/>
    <n v="-0.1239895484608476"/>
    <n v="1.0109678696460058E-2"/>
    <n v="0.17556416633612926"/>
    <n v="-0.76381889286316995"/>
    <n v="1"/>
    <x v="31"/>
    <n v="3"/>
    <x v="0"/>
    <x v="1"/>
    <n v="0"/>
    <n v="1"/>
    <n v="1"/>
    <x v="1"/>
    <x v="0"/>
    <s v="Abnormal"/>
    <s v="Allowed"/>
    <m/>
    <m/>
    <m/>
  </r>
  <r>
    <x v="0"/>
    <x v="0"/>
    <x v="2"/>
    <x v="0"/>
    <n v="0.1075514874141876"/>
    <n v="1"/>
    <s v="DOWN"/>
    <n v="6.6000000000000003E-2"/>
    <n v="-7.5514874141875965E-2"/>
    <n v="-2.475667272801203E-2"/>
    <n v="0.42334565134305008"/>
    <n v="-0.1198977744375907"/>
    <n v="0"/>
    <x v="32"/>
    <n v="0"/>
    <x v="0"/>
    <x v="0"/>
    <n v="0"/>
    <n v="0"/>
    <n v="0"/>
    <x v="1"/>
    <x v="0"/>
    <s v="Normal"/>
    <s v="Allowed"/>
    <m/>
    <m/>
    <m/>
  </r>
  <r>
    <x v="0"/>
    <x v="0"/>
    <x v="2"/>
    <x v="1"/>
    <n v="0.1133786848072562"/>
    <n v="1"/>
    <s v="DOWN"/>
    <n v="6.6000000000000003E-2"/>
    <n v="-5.4180537463212303E-2"/>
    <n v="-2.475667272801203E-2"/>
    <n v="0.42334565134305008"/>
    <n v="-6.9503169908215742E-2"/>
    <n v="0"/>
    <x v="33"/>
    <n v="1"/>
    <x v="2"/>
    <x v="0"/>
    <n v="1"/>
    <n v="0"/>
    <n v="0"/>
    <x v="1"/>
    <x v="0"/>
    <s v="Normal"/>
    <s v="Allowed"/>
    <m/>
    <m/>
    <m/>
  </r>
  <r>
    <x v="0"/>
    <x v="0"/>
    <x v="2"/>
    <x v="2"/>
    <n v="0.1018957345971564"/>
    <n v="1"/>
    <s v="DOWN"/>
    <n v="6.6000000000000003E-2"/>
    <n v="0.1012796208530803"/>
    <n v="-2.475667272801203E-2"/>
    <n v="0.42334565134305008"/>
    <n v="0.29771486533816127"/>
    <n v="0"/>
    <x v="34"/>
    <n v="2"/>
    <x v="1"/>
    <x v="0"/>
    <n v="1"/>
    <n v="0"/>
    <n v="0"/>
    <x v="0"/>
    <x v="0"/>
    <s v="Normal"/>
    <s v="Allowed"/>
    <m/>
    <m/>
    <m/>
  </r>
  <r>
    <x v="0"/>
    <x v="0"/>
    <x v="2"/>
    <x v="3"/>
    <n v="8.3732056999999999E-2"/>
    <n v="0"/>
    <s v="DOWN"/>
    <n v="6.6000000000000003E-2"/>
    <n v="0.17825748711627909"/>
    <n v="-2.475667272801203E-2"/>
    <n v="0.42334565134305008"/>
    <n v="0.47954705380871493"/>
    <n v="0"/>
    <x v="35"/>
    <n v="3"/>
    <x v="1"/>
    <x v="0"/>
    <n v="1"/>
    <n v="0"/>
    <n v="0"/>
    <x v="0"/>
    <x v="0"/>
    <s v="Normal"/>
    <s v="Allowed"/>
    <m/>
    <m/>
    <m/>
  </r>
  <r>
    <x v="0"/>
    <x v="0"/>
    <x v="2"/>
    <x v="4"/>
    <n v="8.2938388625592413E-2"/>
    <n v="0"/>
    <s v="DOWN"/>
    <n v="6.6000000000000003E-2"/>
    <n v="9.4786680614759727E-3"/>
    <n v="-2.475667272801203E-2"/>
    <n v="0.42334565134305008"/>
    <n v="8.0868530669625446E-2"/>
    <n v="0"/>
    <x v="36"/>
    <n v="3"/>
    <x v="0"/>
    <x v="0"/>
    <n v="0"/>
    <n v="0"/>
    <n v="0"/>
    <x v="1"/>
    <x v="0"/>
    <s v="Normal"/>
    <s v="Allowed"/>
    <m/>
    <m/>
    <m/>
  </r>
  <r>
    <x v="0"/>
    <x v="0"/>
    <x v="2"/>
    <x v="5"/>
    <n v="9.9307159353348731E-2"/>
    <n v="1"/>
    <s v="DOWN"/>
    <n v="6.6000000000000003E-2"/>
    <n v="-0.1973606070603762"/>
    <n v="-2.475667272801203E-2"/>
    <n v="0.42334565134305008"/>
    <n v="-0.40771396560891532"/>
    <n v="0"/>
    <x v="37"/>
    <n v="3"/>
    <x v="0"/>
    <x v="0"/>
    <n v="0"/>
    <n v="0"/>
    <n v="0"/>
    <x v="1"/>
    <x v="0"/>
    <s v="Normal"/>
    <s v="Allowed"/>
    <m/>
    <m/>
    <m/>
  </r>
  <r>
    <x v="0"/>
    <x v="0"/>
    <x v="2"/>
    <x v="6"/>
    <n v="0.1118721461187215"/>
    <n v="1"/>
    <s v="DOWN"/>
    <n v="6.6000000000000003E-2"/>
    <n v="-0.12652649463735829"/>
    <n v="-2.475667272801203E-2"/>
    <n v="0.42334565134305008"/>
    <n v="-0.24039415920887547"/>
    <n v="0"/>
    <x v="38"/>
    <n v="4"/>
    <x v="2"/>
    <x v="0"/>
    <n v="1"/>
    <n v="0"/>
    <n v="0"/>
    <x v="1"/>
    <x v="0"/>
    <s v="Normal"/>
    <s v="Allowed"/>
    <m/>
    <m/>
    <m/>
  </r>
  <r>
    <x v="0"/>
    <x v="0"/>
    <x v="2"/>
    <x v="7"/>
    <n v="9.5890410958904104E-2"/>
    <n v="0"/>
    <s v="DOWN"/>
    <n v="6.6000000000000003E-2"/>
    <n v="0.14285714285714321"/>
    <n v="-2.475667272801203E-2"/>
    <n v="0.42334565134305008"/>
    <n v="0.39592662651288835"/>
    <n v="0"/>
    <x v="39"/>
    <n v="5"/>
    <x v="1"/>
    <x v="0"/>
    <n v="1"/>
    <n v="0"/>
    <n v="0"/>
    <x v="0"/>
    <x v="0"/>
    <s v="Normal"/>
    <s v="Maxed Out"/>
    <m/>
    <m/>
    <m/>
  </r>
  <r>
    <x v="0"/>
    <x v="0"/>
    <x v="2"/>
    <x v="8"/>
    <n v="0.1160714285714286"/>
    <n v="0"/>
    <s v="DOWN"/>
    <n v="6.6000000000000003E-2"/>
    <n v="-0.2104591836734698"/>
    <n v="-2.475667272801203E-2"/>
    <n v="0.42334565134305008"/>
    <n v="-0.4386545848677616"/>
    <n v="0"/>
    <x v="40"/>
    <n v="5"/>
    <x v="0"/>
    <x v="0"/>
    <n v="0"/>
    <n v="0"/>
    <n v="0"/>
    <x v="1"/>
    <x v="0"/>
    <s v="Normal"/>
    <s v="Maxed Out"/>
    <m/>
    <m/>
    <m/>
  </r>
  <r>
    <x v="0"/>
    <x v="0"/>
    <x v="2"/>
    <x v="9"/>
    <n v="9.6774193548387094E-2"/>
    <n v="0"/>
    <s v="DOWN"/>
    <n v="6.6000000000000003E-2"/>
    <n v="0.166253101736973"/>
    <n v="-2.475667272801203E-2"/>
    <n v="0.42334565134305008"/>
    <n v="0.45119106304508577"/>
    <n v="0"/>
    <x v="41"/>
    <n v="5"/>
    <x v="0"/>
    <x v="0"/>
    <n v="0"/>
    <n v="0"/>
    <n v="0"/>
    <x v="0"/>
    <x v="0"/>
    <s v="Normal"/>
    <s v="Maxed Out"/>
    <m/>
    <m/>
    <m/>
  </r>
  <r>
    <x v="0"/>
    <x v="0"/>
    <x v="2"/>
    <x v="10"/>
    <n v="7.8160919540229884E-2"/>
    <n v="0"/>
    <s v="DOWN"/>
    <n v="6.6000000000000003E-2"/>
    <n v="0.19233716475095791"/>
    <n v="-2.475667272801203E-2"/>
    <n v="0.42334565134305008"/>
    <n v="0.51280516710221757"/>
    <n v="-1"/>
    <x v="42"/>
    <n v="5"/>
    <x v="0"/>
    <x v="0"/>
    <n v="0"/>
    <n v="0"/>
    <n v="0"/>
    <x v="0"/>
    <x v="0"/>
    <s v="Normal"/>
    <s v="Maxed Out"/>
    <m/>
    <m/>
    <m/>
  </r>
  <r>
    <x v="0"/>
    <x v="0"/>
    <x v="2"/>
    <x v="11"/>
    <n v="7.5892857142857137E-2"/>
    <n v="0"/>
    <s v="DOWN"/>
    <n v="6.6000000000000003E-2"/>
    <n v="2.901785714285721E-2"/>
    <n v="-2.475667272801203E-2"/>
    <n v="0.42334565134305008"/>
    <n v="0.12702275244890629"/>
    <n v="0"/>
    <x v="43"/>
    <n v="5"/>
    <x v="0"/>
    <x v="0"/>
    <n v="0"/>
    <n v="0"/>
    <n v="0"/>
    <x v="0"/>
    <x v="0"/>
    <s v="Normal"/>
    <s v="Maxed Out"/>
    <m/>
    <m/>
    <m/>
  </r>
  <r>
    <x v="0"/>
    <x v="0"/>
    <x v="2"/>
    <x v="12"/>
    <n v="7.3991031390134535E-2"/>
    <n v="0"/>
    <s v="DOWN"/>
    <n v="6.6000000000000003E-2"/>
    <n v="2.505935109469782E-2"/>
    <n v="-2.475667272801203E-2"/>
    <n v="0.42334565134305008"/>
    <n v="0.1176722228388792"/>
    <n v="0"/>
    <x v="44"/>
    <n v="5"/>
    <x v="0"/>
    <x v="0"/>
    <n v="0"/>
    <n v="0"/>
    <n v="0"/>
    <x v="0"/>
    <x v="0"/>
    <s v="Normal"/>
    <s v="Maxed Out"/>
    <m/>
    <m/>
    <m/>
  </r>
  <r>
    <x v="0"/>
    <x v="0"/>
    <x v="2"/>
    <x v="13"/>
    <n v="7.7777777777777779E-2"/>
    <n v="1"/>
    <s v="DOWN"/>
    <n v="6.6000000000000003E-2"/>
    <n v="-5.1178451178451108E-2"/>
    <n v="-2.475667272801203E-2"/>
    <n v="0.42334565134305008"/>
    <n v="-6.2411833844559075E-2"/>
    <n v="0"/>
    <x v="45"/>
    <n v="5"/>
    <x v="0"/>
    <x v="0"/>
    <n v="0"/>
    <n v="0"/>
    <n v="0"/>
    <x v="1"/>
    <x v="0"/>
    <s v="Normal"/>
    <s v="Maxed Out"/>
    <m/>
    <m/>
    <m/>
  </r>
  <r>
    <x v="0"/>
    <x v="0"/>
    <x v="2"/>
    <x v="14"/>
    <n v="5.7906458797327393E-2"/>
    <n v="0"/>
    <s v="DOWN"/>
    <n v="6.6000000000000003E-2"/>
    <n v="0.25548838689150488"/>
    <n v="-2.475667272801203E-2"/>
    <n v="0.42334565134305008"/>
    <n v="0.66197694184515354"/>
    <n v="-1"/>
    <x v="46"/>
    <n v="6"/>
    <x v="1"/>
    <x v="0"/>
    <n v="1"/>
    <n v="0"/>
    <n v="0"/>
    <x v="0"/>
    <x v="1"/>
    <s v="Normal"/>
    <s v="Maxed Out"/>
    <m/>
    <m/>
    <m/>
  </r>
  <r>
    <x v="0"/>
    <x v="0"/>
    <x v="2"/>
    <x v="15"/>
    <n v="6.6225165562913912E-2"/>
    <n v="0"/>
    <s v="DOWN"/>
    <n v="6.6000000000000003E-2"/>
    <n v="-0.14365766683647491"/>
    <n v="-2.475667272801203E-2"/>
    <n v="0.42334565134305008"/>
    <n v="-0.28086031764175068"/>
    <n v="0"/>
    <x v="47"/>
    <n v="6"/>
    <x v="0"/>
    <x v="0"/>
    <n v="0"/>
    <n v="0"/>
    <n v="0"/>
    <x v="1"/>
    <x v="1"/>
    <s v="Normal"/>
    <s v="Maxed Out"/>
    <m/>
    <m/>
    <m/>
  </r>
  <r>
    <x v="0"/>
    <x v="0"/>
    <x v="3"/>
    <x v="0"/>
    <n v="0.15873015873015869"/>
    <n v="0"/>
    <s v="UP"/>
    <n v="0.16400000000000001"/>
    <n v="0.1287477954144618"/>
    <n v="2.6472445732452773E-2"/>
    <n v="0.13493378643970674"/>
    <n v="0.75796694349572202"/>
    <n v="-1"/>
    <x v="48"/>
    <n v="0"/>
    <x v="0"/>
    <x v="0"/>
    <n v="0"/>
    <n v="0"/>
    <n v="0"/>
    <x v="0"/>
    <x v="0"/>
    <s v="Normal"/>
    <s v="Allowed"/>
    <m/>
    <m/>
    <m/>
  </r>
  <r>
    <x v="0"/>
    <x v="0"/>
    <x v="3"/>
    <x v="1"/>
    <n v="0.15625"/>
    <n v="0"/>
    <s v="UP"/>
    <n v="0.16400000000000001"/>
    <n v="-1.5624999999999769E-2"/>
    <n v="2.6472445732452773E-2"/>
    <n v="0.13493378643970674"/>
    <n v="-0.31198595135595036"/>
    <n v="0"/>
    <x v="49"/>
    <n v="0"/>
    <x v="0"/>
    <x v="0"/>
    <n v="0"/>
    <n v="0"/>
    <n v="0"/>
    <x v="1"/>
    <x v="0"/>
    <s v="Normal"/>
    <s v="Allowed"/>
    <m/>
    <m/>
    <m/>
  </r>
  <r>
    <x v="0"/>
    <x v="0"/>
    <x v="3"/>
    <x v="2"/>
    <n v="0.15625"/>
    <n v="0"/>
    <s v="UP"/>
    <n v="0.16400000000000001"/>
    <n v="0"/>
    <n v="2.6472445732452773E-2"/>
    <n v="0.13493378643970674"/>
    <n v="-0.19618841530309838"/>
    <n v="0"/>
    <x v="49"/>
    <n v="0"/>
    <x v="0"/>
    <x v="0"/>
    <n v="0"/>
    <n v="0"/>
    <n v="0"/>
    <x v="1"/>
    <x v="0"/>
    <s v="Normal"/>
    <s v="Allowed"/>
    <m/>
    <m/>
    <m/>
  </r>
  <r>
    <x v="0"/>
    <x v="0"/>
    <x v="3"/>
    <x v="3"/>
    <n v="0.15873015900000001"/>
    <n v="0"/>
    <s v="UP"/>
    <n v="0.16400000000000001"/>
    <n v="1.587301760000006E-2"/>
    <n v="2.6472445732452773E-2"/>
    <n v="0.13493378643970674"/>
    <n v="-7.8552810323668773E-2"/>
    <n v="0"/>
    <x v="50"/>
    <n v="0"/>
    <x v="0"/>
    <x v="0"/>
    <n v="0"/>
    <n v="0"/>
    <n v="0"/>
    <x v="0"/>
    <x v="0"/>
    <s v="Normal"/>
    <s v="Allowed"/>
    <m/>
    <m/>
    <m/>
  </r>
  <r>
    <x v="0"/>
    <x v="0"/>
    <x v="3"/>
    <x v="4"/>
    <n v="0.16393442622950821"/>
    <n v="0"/>
    <s v="UP"/>
    <n v="0.16400000000000001"/>
    <n v="3.2786883490163968E-2"/>
    <n v="2.6472445732452773E-2"/>
    <n v="0.13493378643970674"/>
    <n v="4.6796565369732007E-2"/>
    <n v="0"/>
    <x v="51"/>
    <n v="0"/>
    <x v="0"/>
    <x v="0"/>
    <n v="0"/>
    <n v="0"/>
    <n v="0"/>
    <x v="0"/>
    <x v="1"/>
    <s v="Normal"/>
    <s v="Allowed"/>
    <m/>
    <m/>
    <m/>
  </r>
  <r>
    <x v="0"/>
    <x v="0"/>
    <x v="3"/>
    <x v="5"/>
    <n v="0.16129032258064521"/>
    <n v="0"/>
    <s v="UP"/>
    <n v="0.16400000000000001"/>
    <n v="-1.6129032258064301E-2"/>
    <n v="2.6472445732452773E-2"/>
    <n v="0.13493378643970674"/>
    <n v="-0.31572135574475219"/>
    <n v="0"/>
    <x v="52"/>
    <n v="0"/>
    <x v="0"/>
    <x v="0"/>
    <n v="0"/>
    <n v="0"/>
    <n v="0"/>
    <x v="1"/>
    <x v="1"/>
    <s v="Normal"/>
    <s v="Allowed"/>
    <m/>
    <m/>
    <m/>
  </r>
  <r>
    <x v="0"/>
    <x v="0"/>
    <x v="3"/>
    <x v="6"/>
    <n v="0.16393442622950821"/>
    <n v="0"/>
    <s v="UP"/>
    <n v="0.16400000000000001"/>
    <n v="1.6393442622950598E-2"/>
    <n v="2.6472445732452773E-2"/>
    <n v="0.13493378643970674"/>
    <n v="-7.4695918460761748E-2"/>
    <n v="0"/>
    <x v="51"/>
    <n v="0"/>
    <x v="0"/>
    <x v="0"/>
    <n v="0"/>
    <n v="0"/>
    <n v="0"/>
    <x v="0"/>
    <x v="1"/>
    <s v="Normal"/>
    <s v="Allowed"/>
    <m/>
    <m/>
    <m/>
  </r>
  <r>
    <x v="0"/>
    <x v="0"/>
    <x v="3"/>
    <x v="7"/>
    <n v="0.17741935483870969"/>
    <n v="0"/>
    <s v="UP"/>
    <n v="0.16400000000000001"/>
    <n v="8.2258064516128979E-2"/>
    <n v="2.6472445732452773E-2"/>
    <n v="0.13493378643970674"/>
    <n v="0.41342958094934373"/>
    <n v="0"/>
    <x v="53"/>
    <n v="0"/>
    <x v="0"/>
    <x v="0"/>
    <n v="0"/>
    <n v="0"/>
    <n v="0"/>
    <x v="0"/>
    <x v="1"/>
    <s v="Normal"/>
    <s v="Allowed"/>
    <m/>
    <m/>
    <m/>
  </r>
  <r>
    <x v="0"/>
    <x v="0"/>
    <x v="3"/>
    <x v="8"/>
    <n v="0.17741935483870969"/>
    <n v="0"/>
    <s v="UP"/>
    <n v="0.16400000000000001"/>
    <n v="0"/>
    <n v="2.6472445732452773E-2"/>
    <n v="0.13493378643970674"/>
    <n v="-0.19618841530309838"/>
    <n v="0"/>
    <x v="53"/>
    <n v="0"/>
    <x v="0"/>
    <x v="0"/>
    <n v="0"/>
    <n v="0"/>
    <n v="0"/>
    <x v="1"/>
    <x v="1"/>
    <s v="Normal"/>
    <s v="Allowed"/>
    <m/>
    <m/>
    <m/>
  </r>
  <r>
    <x v="0"/>
    <x v="0"/>
    <x v="3"/>
    <x v="9"/>
    <n v="0.2"/>
    <n v="0"/>
    <s v="UP"/>
    <n v="0.16400000000000001"/>
    <n v="0.12727272727272729"/>
    <n v="2.6472445732452773E-2"/>
    <n v="0.13493378643970674"/>
    <n v="0.74703515109105523"/>
    <n v="-1"/>
    <x v="54"/>
    <n v="0"/>
    <x v="0"/>
    <x v="0"/>
    <n v="0"/>
    <n v="0"/>
    <n v="0"/>
    <x v="0"/>
    <x v="1"/>
    <s v="Normal"/>
    <s v="Allowed"/>
    <m/>
    <m/>
    <m/>
  </r>
  <r>
    <x v="0"/>
    <x v="0"/>
    <x v="3"/>
    <x v="10"/>
    <n v="0.2"/>
    <n v="0"/>
    <s v="UP"/>
    <n v="0.16400000000000001"/>
    <n v="0"/>
    <n v="2.6472445732452773E-2"/>
    <n v="0.13493378643970674"/>
    <n v="-0.19618841530309838"/>
    <n v="0"/>
    <x v="54"/>
    <n v="0"/>
    <x v="0"/>
    <x v="0"/>
    <n v="0"/>
    <n v="0"/>
    <n v="0"/>
    <x v="1"/>
    <x v="1"/>
    <s v="Normal"/>
    <s v="Allowed"/>
    <m/>
    <m/>
    <m/>
  </r>
  <r>
    <x v="0"/>
    <x v="0"/>
    <x v="3"/>
    <x v="11"/>
    <n v="0.1967213114754098"/>
    <n v="0"/>
    <s v="UP"/>
    <n v="0.16400000000000001"/>
    <n v="-1.6393442622951029E-2"/>
    <n v="2.6472445732452773E-2"/>
    <n v="0.13493378643970674"/>
    <n v="-0.3176809121454382"/>
    <n v="0"/>
    <x v="55"/>
    <n v="0"/>
    <x v="0"/>
    <x v="0"/>
    <n v="0"/>
    <n v="0"/>
    <n v="0"/>
    <x v="1"/>
    <x v="1"/>
    <s v="Normal"/>
    <s v="Allowed"/>
    <m/>
    <m/>
    <m/>
  </r>
  <r>
    <x v="0"/>
    <x v="0"/>
    <x v="3"/>
    <x v="12"/>
    <n v="0.203125"/>
    <n v="0"/>
    <s v="UP"/>
    <n v="0.16400000000000001"/>
    <n v="3.2552083333333502E-2"/>
    <n v="2.6472445732452773E-2"/>
    <n v="0.13493378643970674"/>
    <n v="4.5056451473681348E-2"/>
    <n v="0"/>
    <x v="56"/>
    <n v="0"/>
    <x v="0"/>
    <x v="0"/>
    <n v="0"/>
    <n v="0"/>
    <n v="0"/>
    <x v="0"/>
    <x v="1"/>
    <s v="Normal"/>
    <s v="Allowed"/>
    <m/>
    <m/>
    <m/>
  </r>
  <r>
    <x v="0"/>
    <x v="0"/>
    <x v="3"/>
    <x v="13"/>
    <n v="0.20634920634920631"/>
    <n v="0"/>
    <s v="UP"/>
    <n v="0.16400000000000001"/>
    <n v="1.5873015873015681E-2"/>
    <n v="2.6472445732452773E-2"/>
    <n v="0.13493378643970674"/>
    <n v="-7.8552823122423066E-2"/>
    <n v="0"/>
    <x v="57"/>
    <n v="0"/>
    <x v="0"/>
    <x v="0"/>
    <n v="0"/>
    <n v="0"/>
    <n v="0"/>
    <x v="0"/>
    <x v="1"/>
    <s v="Normal"/>
    <s v="Allowed"/>
    <m/>
    <m/>
    <m/>
  </r>
  <r>
    <x v="0"/>
    <x v="0"/>
    <x v="3"/>
    <x v="14"/>
    <n v="0.20967741935483869"/>
    <n v="0"/>
    <s v="UP"/>
    <n v="0.16400000000000001"/>
    <n v="1.6129032258064609E-2"/>
    <n v="2.6472445732452773E-2"/>
    <n v="0.13493378643970674"/>
    <n v="-7.6655474861442294E-2"/>
    <n v="0"/>
    <x v="58"/>
    <n v="0"/>
    <x v="0"/>
    <x v="0"/>
    <n v="0"/>
    <n v="0"/>
    <n v="0"/>
    <x v="0"/>
    <x v="1"/>
    <s v="Normal"/>
    <s v="Allowed"/>
    <m/>
    <m/>
    <m/>
  </r>
  <r>
    <x v="0"/>
    <x v="0"/>
    <x v="3"/>
    <x v="15"/>
    <n v="0.21875"/>
    <n v="0"/>
    <s v="UP"/>
    <n v="0.16400000000000001"/>
    <n v="4.3269230769230872E-2"/>
    <n v="2.6472445732452773E-2"/>
    <n v="0.13493378643970674"/>
    <n v="0.12448168453557409"/>
    <n v="0"/>
    <x v="59"/>
    <n v="0"/>
    <x v="0"/>
    <x v="0"/>
    <n v="0"/>
    <n v="0"/>
    <n v="0"/>
    <x v="0"/>
    <x v="1"/>
    <s v="Normal"/>
    <s v="Allowed"/>
    <m/>
    <m/>
    <m/>
  </r>
  <r>
    <x v="0"/>
    <x v="0"/>
    <x v="4"/>
    <x v="0"/>
    <n v="0.13279941754641431"/>
    <n v="0"/>
    <s v="DOWN"/>
    <n v="0.104"/>
    <n v="-2.6711143139454829E-2"/>
    <n v="1.7244519882342341E-3"/>
    <n v="8.3117651155014696E-2"/>
    <n v="-0.34211259260270221"/>
    <n v="0"/>
    <x v="60"/>
    <n v="0"/>
    <x v="0"/>
    <x v="0"/>
    <n v="0"/>
    <n v="0"/>
    <n v="0"/>
    <x v="1"/>
    <x v="0"/>
    <s v="Normal"/>
    <s v="Allowed"/>
    <m/>
    <m/>
    <m/>
  </r>
  <r>
    <x v="0"/>
    <x v="0"/>
    <x v="4"/>
    <x v="1"/>
    <n v="0.13370957238984149"/>
    <n v="1"/>
    <s v="DOWN"/>
    <n v="0.104"/>
    <n v="-6.8536056877589856E-3"/>
    <n v="1.7244519882342341E-3"/>
    <n v="8.3117651155014696E-2"/>
    <n v="-0.10320380276380903"/>
    <n v="0"/>
    <x v="61"/>
    <n v="0"/>
    <x v="0"/>
    <x v="0"/>
    <n v="0"/>
    <n v="0"/>
    <n v="0"/>
    <x v="1"/>
    <x v="0"/>
    <s v="Normal"/>
    <s v="Allowed"/>
    <m/>
    <m/>
    <m/>
  </r>
  <r>
    <x v="0"/>
    <x v="0"/>
    <x v="4"/>
    <x v="2"/>
    <n v="0.13289227671508699"/>
    <n v="1"/>
    <s v="DOWN"/>
    <n v="0.104"/>
    <n v="6.1124694376525554E-3"/>
    <n v="1.7244519882342341E-3"/>
    <n v="8.3117651155014696E-2"/>
    <n v="5.2792847108187095E-2"/>
    <n v="0"/>
    <x v="62"/>
    <n v="1"/>
    <x v="1"/>
    <x v="0"/>
    <n v="1"/>
    <n v="0"/>
    <n v="0"/>
    <x v="1"/>
    <x v="0"/>
    <s v="Normal"/>
    <s v="Allowed"/>
    <m/>
    <m/>
    <m/>
  </r>
  <r>
    <x v="0"/>
    <x v="0"/>
    <x v="4"/>
    <x v="3"/>
    <n v="0.132066033"/>
    <n v="0"/>
    <s v="DOWN"/>
    <n v="0.104"/>
    <n v="6.2173945357141443E-3"/>
    <n v="1.7244519882342341E-3"/>
    <n v="8.3117651155014696E-2"/>
    <n v="5.4055215529377233E-2"/>
    <n v="0"/>
    <x v="63"/>
    <n v="2"/>
    <x v="1"/>
    <x v="0"/>
    <n v="1"/>
    <n v="0"/>
    <n v="0"/>
    <x v="1"/>
    <x v="0"/>
    <s v="Normal"/>
    <s v="Allowed"/>
    <m/>
    <m/>
    <m/>
  </r>
  <r>
    <x v="0"/>
    <x v="0"/>
    <x v="4"/>
    <x v="4"/>
    <n v="0.13562695479101511"/>
    <n v="1"/>
    <s v="DOWN"/>
    <n v="0.104"/>
    <n v="-2.6963191898215871E-2"/>
    <n v="1.7244519882342341E-3"/>
    <n v="8.3117651155014696E-2"/>
    <n v="-0.34514502621046828"/>
    <n v="0"/>
    <x v="64"/>
    <n v="2"/>
    <x v="0"/>
    <x v="0"/>
    <n v="0"/>
    <n v="0"/>
    <n v="0"/>
    <x v="1"/>
    <x v="0"/>
    <s v="Normal"/>
    <s v="Allowed"/>
    <m/>
    <m/>
    <m/>
  </r>
  <r>
    <x v="0"/>
    <x v="0"/>
    <x v="4"/>
    <x v="5"/>
    <n v="0.13070231275196259"/>
    <n v="0"/>
    <s v="DOWN"/>
    <n v="0.104"/>
    <n v="3.6310201365508797E-2"/>
    <n v="1.7244519882342341E-3"/>
    <n v="8.3117651155014696E-2"/>
    <n v="0.41610595218543928"/>
    <n v="0"/>
    <x v="65"/>
    <n v="3"/>
    <x v="1"/>
    <x v="0"/>
    <n v="1"/>
    <n v="0"/>
    <n v="0"/>
    <x v="0"/>
    <x v="0"/>
    <s v="Normal"/>
    <s v="Allowed"/>
    <m/>
    <m/>
    <m/>
  </r>
  <r>
    <x v="0"/>
    <x v="0"/>
    <x v="4"/>
    <x v="6"/>
    <n v="0.1310135944213566"/>
    <n v="1"/>
    <s v="DOWN"/>
    <n v="0.104"/>
    <n v="-2.3816079672953979E-3"/>
    <n v="1.7244519882342341E-3"/>
    <n v="8.3117651155014696E-2"/>
    <n v="-4.9400577355967583E-2"/>
    <n v="0"/>
    <x v="66"/>
    <n v="3"/>
    <x v="0"/>
    <x v="0"/>
    <n v="0"/>
    <n v="0"/>
    <n v="0"/>
    <x v="1"/>
    <x v="0"/>
    <s v="Normal"/>
    <s v="Allowed"/>
    <m/>
    <m/>
    <m/>
  </r>
  <r>
    <x v="0"/>
    <x v="0"/>
    <x v="4"/>
    <x v="7"/>
    <n v="0.1272293217244769"/>
    <n v="0"/>
    <s v="DOWN"/>
    <n v="0.104"/>
    <n v="2.8884580364301662E-2"/>
    <n v="1.7244519882342341E-3"/>
    <n v="8.3117651155014696E-2"/>
    <n v="0.32676727504502862"/>
    <n v="0"/>
    <x v="67"/>
    <n v="4"/>
    <x v="1"/>
    <x v="0"/>
    <n v="1"/>
    <n v="0"/>
    <n v="0"/>
    <x v="0"/>
    <x v="0"/>
    <s v="Normal"/>
    <s v="Allowed"/>
    <m/>
    <m/>
    <m/>
  </r>
  <r>
    <x v="0"/>
    <x v="0"/>
    <x v="4"/>
    <x v="8"/>
    <n v="0.1220196353436185"/>
    <n v="0"/>
    <s v="DOWN"/>
    <n v="0.104"/>
    <n v="4.0947214920632122E-2"/>
    <n v="1.7244519882342341E-3"/>
    <n v="8.3117651155014696E-2"/>
    <n v="0.47189450600868527"/>
    <n v="0"/>
    <x v="68"/>
    <n v="4"/>
    <x v="0"/>
    <x v="0"/>
    <n v="0"/>
    <n v="0"/>
    <n v="0"/>
    <x v="0"/>
    <x v="0"/>
    <s v="Normal"/>
    <s v="Allowed"/>
    <m/>
    <m/>
    <m/>
  </r>
  <r>
    <x v="0"/>
    <x v="0"/>
    <x v="4"/>
    <x v="9"/>
    <n v="0.1192609182530795"/>
    <n v="0"/>
    <s v="DOWN"/>
    <n v="0.104"/>
    <n v="2.2608796385681699E-2"/>
    <n v="1.7244519882342341E-3"/>
    <n v="8.3117651155014696E-2"/>
    <n v="0.25126244675150999"/>
    <n v="0"/>
    <x v="69"/>
    <n v="4"/>
    <x v="0"/>
    <x v="0"/>
    <n v="0"/>
    <n v="0"/>
    <n v="0"/>
    <x v="0"/>
    <x v="0"/>
    <s v="Normal"/>
    <s v="Allowed"/>
    <m/>
    <m/>
    <m/>
  </r>
  <r>
    <x v="0"/>
    <x v="0"/>
    <x v="4"/>
    <x v="10"/>
    <n v="0.1189196733896294"/>
    <n v="0"/>
    <s v="DOWN"/>
    <n v="0.104"/>
    <n v="2.8613301695862309E-3"/>
    <n v="1.7244519882342341E-3"/>
    <n v="8.3117651155014696E-2"/>
    <n v="1.36779392289577E-2"/>
    <n v="0"/>
    <x v="70"/>
    <n v="4"/>
    <x v="0"/>
    <x v="0"/>
    <n v="0"/>
    <n v="0"/>
    <n v="0"/>
    <x v="1"/>
    <x v="0"/>
    <s v="Normal"/>
    <s v="Allowed"/>
    <m/>
    <m/>
    <m/>
  </r>
  <r>
    <x v="0"/>
    <x v="0"/>
    <x v="4"/>
    <x v="11"/>
    <n v="0.1151519365829914"/>
    <n v="0"/>
    <s v="DOWN"/>
    <n v="0.104"/>
    <n v="3.1683040318260511E-2"/>
    <n v="1.7244519882342341E-3"/>
    <n v="8.3117651155014696E-2"/>
    <n v="0.36043593525222956"/>
    <n v="0"/>
    <x v="71"/>
    <n v="4"/>
    <x v="0"/>
    <x v="0"/>
    <n v="0"/>
    <n v="0"/>
    <n v="0"/>
    <x v="0"/>
    <x v="0"/>
    <s v="Normal"/>
    <s v="Allowed"/>
    <m/>
    <m/>
    <m/>
  </r>
  <r>
    <x v="0"/>
    <x v="0"/>
    <x v="4"/>
    <x v="12"/>
    <n v="0.11812824956672439"/>
    <n v="0"/>
    <s v="DOWN"/>
    <n v="0.104"/>
    <n v="-2.5846833948710259E-2"/>
    <n v="1.7244519882342341E-3"/>
    <n v="8.3117651155014696E-2"/>
    <n v="-0.33171396873961168"/>
    <n v="0"/>
    <x v="72"/>
    <n v="4"/>
    <x v="0"/>
    <x v="0"/>
    <n v="0"/>
    <n v="0"/>
    <n v="0"/>
    <x v="1"/>
    <x v="0"/>
    <s v="Normal"/>
    <s v="Allowed"/>
    <m/>
    <m/>
    <m/>
  </r>
  <r>
    <x v="0"/>
    <x v="0"/>
    <x v="4"/>
    <x v="13"/>
    <n v="0.1153447202821382"/>
    <n v="0"/>
    <s v="DOWN"/>
    <n v="0.104"/>
    <n v="2.3563620851030441E-2"/>
    <n v="1.7244519882342341E-3"/>
    <n v="8.3117651155014696E-2"/>
    <n v="0.26275007244930543"/>
    <n v="0"/>
    <x v="73"/>
    <n v="4"/>
    <x v="0"/>
    <x v="0"/>
    <n v="0"/>
    <n v="0"/>
    <n v="0"/>
    <x v="0"/>
    <x v="0"/>
    <s v="Normal"/>
    <s v="Allowed"/>
    <m/>
    <m/>
    <m/>
  </r>
  <r>
    <x v="0"/>
    <x v="0"/>
    <x v="4"/>
    <x v="14"/>
    <n v="0.1099476439790576"/>
    <n v="0"/>
    <s v="DOWN"/>
    <n v="0.104"/>
    <n v="4.679083957964543E-2"/>
    <n v="1.7244519882342341E-3"/>
    <n v="8.3117651155014696E-2"/>
    <n v="0.54219996553273908"/>
    <n v="-1"/>
    <x v="74"/>
    <n v="4"/>
    <x v="0"/>
    <x v="0"/>
    <n v="0"/>
    <n v="0"/>
    <n v="0"/>
    <x v="0"/>
    <x v="0"/>
    <s v="Normal"/>
    <s v="Allowed"/>
    <m/>
    <m/>
    <m/>
  </r>
  <r>
    <x v="0"/>
    <x v="0"/>
    <x v="4"/>
    <x v="15"/>
    <n v="0.1096605744125326"/>
    <n v="0"/>
    <s v="DOWN"/>
    <n v="0.104"/>
    <n v="2.6109660574416159E-3"/>
    <n v="1.7244519882342341E-3"/>
    <n v="8.3117651155014696E-2"/>
    <n v="1.06657738385079E-2"/>
    <n v="0"/>
    <x v="75"/>
    <n v="4"/>
    <x v="0"/>
    <x v="0"/>
    <n v="0"/>
    <n v="0"/>
    <n v="0"/>
    <x v="1"/>
    <x v="0"/>
    <s v="Normal"/>
    <s v="Allowed"/>
    <m/>
    <m/>
    <m/>
  </r>
  <r>
    <x v="0"/>
    <x v="0"/>
    <x v="5"/>
    <x v="0"/>
    <n v="0.1384928716904277"/>
    <n v="0"/>
    <s v="DOWN"/>
    <n v="0.1"/>
    <n v="1.3577732518669519E-2"/>
    <n v="-3.0570725046180952E-3"/>
    <n v="0.17799866497296365"/>
    <n v="9.345466172914435E-2"/>
    <n v="0"/>
    <x v="76"/>
    <n v="0"/>
    <x v="0"/>
    <x v="0"/>
    <n v="0"/>
    <n v="0"/>
    <n v="0"/>
    <x v="0"/>
    <x v="0"/>
    <s v="Normal"/>
    <s v="Allowed"/>
    <m/>
    <m/>
    <m/>
  </r>
  <r>
    <x v="0"/>
    <x v="0"/>
    <x v="5"/>
    <x v="1"/>
    <n v="0.15240641711229949"/>
    <n v="1"/>
    <s v="DOWN"/>
    <n v="0.1"/>
    <n v="-0.1004639823843978"/>
    <n v="-3.0570725046180952E-3"/>
    <n v="0.17799866497296365"/>
    <n v="-0.54723393512291185"/>
    <n v="1"/>
    <x v="77"/>
    <n v="0"/>
    <x v="0"/>
    <x v="1"/>
    <n v="0"/>
    <n v="1"/>
    <n v="1"/>
    <x v="1"/>
    <x v="0"/>
    <s v="Abnormal"/>
    <s v="Allowed"/>
    <m/>
    <m/>
    <m/>
  </r>
  <r>
    <x v="0"/>
    <x v="0"/>
    <x v="5"/>
    <x v="2"/>
    <n v="0.15737704918032791"/>
    <n v="1"/>
    <s v="DOWN"/>
    <n v="0.1"/>
    <n v="-3.2614322691975943E-2"/>
    <n v="-3.0570725046180952E-3"/>
    <n v="0.17799866497296365"/>
    <n v="-0.16605321276902454"/>
    <n v="0"/>
    <x v="78"/>
    <n v="1"/>
    <x v="2"/>
    <x v="0"/>
    <n v="1"/>
    <n v="0"/>
    <n v="0"/>
    <x v="1"/>
    <x v="0"/>
    <s v="Normal"/>
    <s v="Allowed"/>
    <m/>
    <m/>
    <m/>
  </r>
  <r>
    <x v="0"/>
    <x v="0"/>
    <x v="5"/>
    <x v="3"/>
    <n v="0.154440154"/>
    <n v="0"/>
    <s v="DOWN"/>
    <n v="0.1"/>
    <n v="1.8661521458333621E-2"/>
    <n v="-3.0570725046180952E-3"/>
    <n v="0.17799866497296365"/>
    <n v="0.12201548796026403"/>
    <n v="0"/>
    <x v="79"/>
    <n v="2"/>
    <x v="1"/>
    <x v="0"/>
    <n v="1"/>
    <n v="0"/>
    <n v="0"/>
    <x v="0"/>
    <x v="0"/>
    <s v="Normal"/>
    <s v="Allowed"/>
    <m/>
    <m/>
    <m/>
  </r>
  <r>
    <x v="0"/>
    <x v="0"/>
    <x v="5"/>
    <x v="4"/>
    <n v="0.12870662460567819"/>
    <n v="0"/>
    <s v="DOWN"/>
    <n v="0.1"/>
    <n v="0.16662460330311379"/>
    <n v="-3.0570725046180952E-3"/>
    <n v="0.17799866497296365"/>
    <n v="0.95327499132369875"/>
    <n v="-1"/>
    <x v="80"/>
    <n v="2"/>
    <x v="0"/>
    <x v="0"/>
    <n v="0"/>
    <n v="0"/>
    <n v="0"/>
    <x v="0"/>
    <x v="0"/>
    <s v="Normal"/>
    <s v="Allowed"/>
    <m/>
    <m/>
    <m/>
  </r>
  <r>
    <x v="0"/>
    <x v="0"/>
    <x v="5"/>
    <x v="5"/>
    <n v="0.1190328580285183"/>
    <n v="0"/>
    <s v="DOWN"/>
    <n v="0.1"/>
    <n v="7.516137267058054E-2"/>
    <n v="-3.0570725046180952E-3"/>
    <n v="0.17799866497296365"/>
    <n v="0.43943276308886525"/>
    <n v="0"/>
    <x v="81"/>
    <n v="2"/>
    <x v="0"/>
    <x v="0"/>
    <n v="0"/>
    <n v="0"/>
    <n v="0"/>
    <x v="0"/>
    <x v="0"/>
    <s v="Normal"/>
    <s v="Allowed"/>
    <m/>
    <m/>
    <m/>
  </r>
  <r>
    <x v="0"/>
    <x v="0"/>
    <x v="5"/>
    <x v="6"/>
    <n v="0.1099572388515577"/>
    <n v="0"/>
    <s v="DOWN"/>
    <n v="0.1"/>
    <n v="7.6244654856445077E-2"/>
    <n v="-3.0570725046180952E-3"/>
    <n v="0.17799866497296365"/>
    <n v="0.44551866371081134"/>
    <n v="0"/>
    <x v="82"/>
    <n v="2"/>
    <x v="0"/>
    <x v="0"/>
    <n v="0"/>
    <n v="0"/>
    <n v="0"/>
    <x v="0"/>
    <x v="0"/>
    <s v="Normal"/>
    <s v="Allowed"/>
    <m/>
    <m/>
    <m/>
  </r>
  <r>
    <x v="0"/>
    <x v="0"/>
    <x v="5"/>
    <x v="7"/>
    <n v="0.10163339382940111"/>
    <n v="0"/>
    <s v="DOWN"/>
    <n v="0.1"/>
    <n v="7.5700746118168585E-2"/>
    <n v="-3.0570725046180952E-3"/>
    <n v="0.17799866497296365"/>
    <n v="0.44246297372370325"/>
    <n v="0"/>
    <x v="83"/>
    <n v="2"/>
    <x v="0"/>
    <x v="0"/>
    <n v="0"/>
    <n v="0"/>
    <n v="0"/>
    <x v="0"/>
    <x v="1"/>
    <s v="Normal"/>
    <s v="Allowed"/>
    <m/>
    <m/>
    <m/>
  </r>
  <r>
    <x v="0"/>
    <x v="0"/>
    <x v="5"/>
    <x v="8"/>
    <n v="0.1083684527393137"/>
    <n v="0"/>
    <s v="DOWN"/>
    <n v="0.1"/>
    <n v="-6.6268168917175671E-2"/>
    <n v="-3.0570725046180952E-3"/>
    <n v="0.17799866497296365"/>
    <n v="-0.35512118263448078"/>
    <n v="0"/>
    <x v="84"/>
    <n v="2"/>
    <x v="0"/>
    <x v="0"/>
    <n v="0"/>
    <n v="0"/>
    <n v="0"/>
    <x v="1"/>
    <x v="0"/>
    <s v="Normal"/>
    <s v="Allowed"/>
    <m/>
    <m/>
    <m/>
  </r>
  <r>
    <x v="0"/>
    <x v="0"/>
    <x v="5"/>
    <x v="9"/>
    <n v="0.1003584229390681"/>
    <n v="0"/>
    <s v="DOWN"/>
    <n v="0.1"/>
    <n v="7.3914774990044035E-2"/>
    <n v="-3.0570725046180952E-3"/>
    <n v="0.17799866497296365"/>
    <n v="0.43242935280640132"/>
    <n v="0"/>
    <x v="85"/>
    <n v="2"/>
    <x v="0"/>
    <x v="0"/>
    <n v="0"/>
    <n v="0"/>
    <n v="0"/>
    <x v="0"/>
    <x v="1"/>
    <s v="Normal"/>
    <s v="Allowed"/>
    <m/>
    <m/>
    <m/>
  </r>
  <r>
    <x v="0"/>
    <x v="0"/>
    <x v="5"/>
    <x v="10"/>
    <n v="0.1124586549062845"/>
    <n v="0"/>
    <s v="DOWN"/>
    <n v="0.1"/>
    <n v="-0.1205701685304776"/>
    <n v="-3.0570725046180952E-3"/>
    <n v="0.17799866497296365"/>
    <n v="-0.66019088426145589"/>
    <n v="1"/>
    <x v="86"/>
    <n v="2"/>
    <x v="0"/>
    <x v="1"/>
    <n v="0"/>
    <n v="1"/>
    <n v="1"/>
    <x v="1"/>
    <x v="0"/>
    <s v="Abnormal"/>
    <s v="Allowed"/>
    <m/>
    <m/>
    <m/>
  </r>
  <r>
    <x v="0"/>
    <x v="0"/>
    <x v="5"/>
    <x v="11"/>
    <n v="0.1097932904100305"/>
    <n v="0"/>
    <s v="DOWN"/>
    <n v="0.1"/>
    <n v="2.370083919708213E-2"/>
    <n v="-3.0570725046180952E-3"/>
    <n v="0.17799866497296365"/>
    <n v="0.15032647411015415"/>
    <n v="0"/>
    <x v="87"/>
    <n v="2"/>
    <x v="0"/>
    <x v="0"/>
    <n v="0"/>
    <n v="0"/>
    <n v="0"/>
    <x v="0"/>
    <x v="0"/>
    <s v="Normal"/>
    <s v="Allowed"/>
    <m/>
    <m/>
    <m/>
  </r>
  <r>
    <x v="0"/>
    <x v="0"/>
    <x v="5"/>
    <x v="12"/>
    <n v="0.1174089068825911"/>
    <n v="0"/>
    <s v="DOWN"/>
    <n v="0.1"/>
    <n v="-6.9363222871994909E-2"/>
    <n v="-3.0570725046180952E-3"/>
    <n v="0.17799866497296365"/>
    <n v="-0.37250925661407691"/>
    <n v="0"/>
    <x v="88"/>
    <n v="2"/>
    <x v="0"/>
    <x v="0"/>
    <n v="0"/>
    <n v="0"/>
    <n v="0"/>
    <x v="1"/>
    <x v="0"/>
    <s v="Normal"/>
    <s v="Allowed"/>
    <m/>
    <m/>
    <m/>
  </r>
  <r>
    <x v="0"/>
    <x v="0"/>
    <x v="5"/>
    <x v="13"/>
    <n v="0.1086883596108688"/>
    <n v="0"/>
    <s v="DOWN"/>
    <n v="0.1"/>
    <n v="7.4275006072945154E-2"/>
    <n v="-3.0570725046180952E-3"/>
    <n v="0.17799866497296365"/>
    <n v="0.43445313811375647"/>
    <n v="0"/>
    <x v="89"/>
    <n v="2"/>
    <x v="0"/>
    <x v="0"/>
    <n v="0"/>
    <n v="0"/>
    <n v="0"/>
    <x v="0"/>
    <x v="0"/>
    <s v="Normal"/>
    <s v="Allowed"/>
    <m/>
    <m/>
    <m/>
  </r>
  <r>
    <x v="0"/>
    <x v="0"/>
    <x v="5"/>
    <x v="14"/>
    <n v="9.5744680851063829E-2"/>
    <n v="0"/>
    <s v="DOWN"/>
    <n v="0.1"/>
    <n v="0.1190898345153661"/>
    <n v="-3.0570725046180952E-3"/>
    <n v="0.17799866497296365"/>
    <n v="0.68622372554612798"/>
    <n v="-1"/>
    <x v="90"/>
    <n v="2"/>
    <x v="0"/>
    <x v="0"/>
    <n v="0"/>
    <n v="0"/>
    <n v="0"/>
    <x v="0"/>
    <x v="1"/>
    <s v="Normal"/>
    <s v="Allowed"/>
    <m/>
    <m/>
    <m/>
  </r>
  <r>
    <x v="0"/>
    <x v="0"/>
    <x v="5"/>
    <x v="15"/>
    <n v="9.3859211183225169E-2"/>
    <n v="0"/>
    <s v="DOWN"/>
    <n v="0.1"/>
    <n v="1.9692683197426009E-2"/>
    <n v="-3.0570725046180952E-3"/>
    <n v="0.17799866497296365"/>
    <n v="0.12780857488734301"/>
    <n v="0"/>
    <x v="91"/>
    <n v="2"/>
    <x v="0"/>
    <x v="0"/>
    <n v="0"/>
    <n v="0"/>
    <n v="0"/>
    <x v="0"/>
    <x v="1"/>
    <s v="Normal"/>
    <s v="Allowed"/>
    <m/>
    <m/>
    <m/>
  </r>
  <r>
    <x v="1"/>
    <x v="0"/>
    <x v="6"/>
    <x v="0"/>
    <n v="0.45800000000000002"/>
    <n v="0"/>
    <s v="DOWN"/>
    <n v="0.59"/>
    <n v="4.9792531120331877E-2"/>
    <n v="-4.8849805534298088E-2"/>
    <n v="0.44966933193859487"/>
    <n v="0.21936638691673147"/>
    <n v="0"/>
    <x v="92"/>
    <n v="0"/>
    <x v="0"/>
    <x v="0"/>
    <n v="0"/>
    <n v="0"/>
    <n v="0"/>
    <x v="0"/>
    <x v="1"/>
    <s v="Normal"/>
    <s v="Allowed"/>
    <m/>
    <m/>
    <m/>
  </r>
  <r>
    <x v="1"/>
    <x v="0"/>
    <x v="6"/>
    <x v="1"/>
    <n v="0.57299999999999995"/>
    <n v="0"/>
    <s v="DOWN"/>
    <n v="0.59"/>
    <n v="-0.25109170305676842"/>
    <n v="-4.8849805534298088E-2"/>
    <n v="0.44966933193859487"/>
    <n v="-0.44975692838685233"/>
    <n v="0"/>
    <x v="93"/>
    <n v="0"/>
    <x v="0"/>
    <x v="0"/>
    <n v="0"/>
    <n v="0"/>
    <n v="0"/>
    <x v="1"/>
    <x v="1"/>
    <s v="Normal"/>
    <s v="Allowed"/>
    <m/>
    <m/>
    <m/>
  </r>
  <r>
    <x v="1"/>
    <x v="0"/>
    <x v="6"/>
    <x v="2"/>
    <n v="0.63"/>
    <n v="0"/>
    <s v="DOWN"/>
    <n v="0.59"/>
    <n v="-9.9476439790576007E-2"/>
    <n v="-4.8849805534298088E-2"/>
    <n v="0.44966933193859487"/>
    <n v="-0.11258636215642853"/>
    <n v="0"/>
    <x v="94"/>
    <n v="0"/>
    <x v="0"/>
    <x v="0"/>
    <n v="0"/>
    <n v="0"/>
    <n v="0"/>
    <x v="1"/>
    <x v="0"/>
    <s v="Normal"/>
    <s v="Allowed"/>
    <m/>
    <m/>
    <m/>
  </r>
  <r>
    <x v="1"/>
    <x v="0"/>
    <x v="6"/>
    <x v="3"/>
    <n v="0.61"/>
    <n v="0"/>
    <s v="DOWN"/>
    <n v="0.59"/>
    <n v="3.1746031746031772E-2"/>
    <n v="-4.8849805534298088E-2"/>
    <n v="0.44966933193859487"/>
    <n v="0.17923356465709722"/>
    <n v="0"/>
    <x v="95"/>
    <n v="0"/>
    <x v="0"/>
    <x v="0"/>
    <n v="0"/>
    <n v="0"/>
    <n v="0"/>
    <x v="0"/>
    <x v="0"/>
    <s v="Normal"/>
    <s v="Allowed"/>
    <m/>
    <m/>
    <m/>
  </r>
  <r>
    <x v="1"/>
    <x v="0"/>
    <x v="6"/>
    <x v="4"/>
    <n v="0.59"/>
    <n v="0"/>
    <s v="DOWN"/>
    <n v="0.59"/>
    <n v="3.2786885245901669E-2"/>
    <n v="-4.8849805534298088E-2"/>
    <n v="0.44966933193859487"/>
    <n v="0.18154827332398052"/>
    <n v="0"/>
    <x v="96"/>
    <n v="0"/>
    <x v="0"/>
    <x v="0"/>
    <n v="0"/>
    <n v="0"/>
    <n v="0"/>
    <x v="0"/>
    <x v="1"/>
    <s v="Normal"/>
    <s v="Allowed"/>
    <m/>
    <m/>
    <m/>
  </r>
  <r>
    <x v="1"/>
    <x v="0"/>
    <x v="6"/>
    <x v="5"/>
    <n v="0.62"/>
    <n v="0"/>
    <s v="DOWN"/>
    <n v="0.59"/>
    <n v="-5.0847457627118689E-2"/>
    <n v="-4.8849805534298088E-2"/>
    <n v="0.44966933193859487"/>
    <n v="-4.4424912951221513E-3"/>
    <n v="0"/>
    <x v="97"/>
    <n v="0"/>
    <x v="0"/>
    <x v="0"/>
    <n v="0"/>
    <n v="0"/>
    <n v="0"/>
    <x v="1"/>
    <x v="0"/>
    <s v="Normal"/>
    <s v="Allowed"/>
    <m/>
    <m/>
    <m/>
  </r>
  <r>
    <x v="1"/>
    <x v="0"/>
    <x v="6"/>
    <x v="6"/>
    <n v="0.61"/>
    <n v="0"/>
    <s v="DOWN"/>
    <n v="0.59"/>
    <n v="1.612903225806453E-2"/>
    <n v="-4.8849805534298088E-2"/>
    <n v="0.44966933193859487"/>
    <n v="0.14450360115115851"/>
    <n v="0"/>
    <x v="95"/>
    <n v="0"/>
    <x v="0"/>
    <x v="0"/>
    <n v="0"/>
    <n v="0"/>
    <n v="0"/>
    <x v="0"/>
    <x v="0"/>
    <s v="Normal"/>
    <s v="Allowed"/>
    <m/>
    <m/>
    <m/>
  </r>
  <r>
    <x v="1"/>
    <x v="0"/>
    <x v="6"/>
    <x v="7"/>
    <n v="0.5"/>
    <n v="0"/>
    <s v="DOWN"/>
    <n v="0.59"/>
    <n v="0.18032786885245899"/>
    <n v="-4.8849805534298088E-2"/>
    <n v="0.44966933193859487"/>
    <n v="0.50965822685468953"/>
    <n v="-1"/>
    <x v="98"/>
    <n v="0"/>
    <x v="0"/>
    <x v="0"/>
    <n v="0"/>
    <n v="0"/>
    <n v="0"/>
    <x v="0"/>
    <x v="1"/>
    <s v="Normal"/>
    <s v="Allowed"/>
    <m/>
    <m/>
    <m/>
  </r>
  <r>
    <x v="1"/>
    <x v="0"/>
    <x v="6"/>
    <x v="8"/>
    <n v="0.56000000000000005"/>
    <n v="0"/>
    <s v="DOWN"/>
    <n v="0.59"/>
    <n v="-0.12000000000000011"/>
    <n v="-4.8849805534298088E-2"/>
    <n v="0.44966933193859487"/>
    <n v="-0.15822781188782076"/>
    <n v="0"/>
    <x v="99"/>
    <n v="0"/>
    <x v="0"/>
    <x v="0"/>
    <n v="0"/>
    <n v="0"/>
    <n v="0"/>
    <x v="1"/>
    <x v="1"/>
    <s v="Normal"/>
    <s v="Allowed"/>
    <m/>
    <m/>
    <m/>
  </r>
  <r>
    <x v="1"/>
    <x v="0"/>
    <x v="6"/>
    <x v="9"/>
    <n v="0.57999999999999996"/>
    <n v="0"/>
    <s v="DOWN"/>
    <n v="0.59"/>
    <n v="-3.5714285714285553E-2"/>
    <n v="-4.8849805534298088E-2"/>
    <n v="0.44966933193859487"/>
    <n v="2.9211509184723036E-2"/>
    <n v="0"/>
    <x v="100"/>
    <n v="0"/>
    <x v="0"/>
    <x v="0"/>
    <n v="0"/>
    <n v="0"/>
    <n v="0"/>
    <x v="1"/>
    <x v="1"/>
    <s v="Normal"/>
    <s v="Allowed"/>
    <m/>
    <m/>
    <m/>
  </r>
  <r>
    <x v="1"/>
    <x v="0"/>
    <x v="6"/>
    <x v="10"/>
    <n v="0.56999999999999995"/>
    <n v="0"/>
    <s v="DOWN"/>
    <n v="0.59"/>
    <n v="1.7241379310344841E-2"/>
    <n v="-4.8849805534298088E-2"/>
    <n v="0.44966933193859487"/>
    <n v="0.14697730120867591"/>
    <n v="0"/>
    <x v="101"/>
    <n v="0"/>
    <x v="0"/>
    <x v="0"/>
    <n v="0"/>
    <n v="0"/>
    <n v="0"/>
    <x v="0"/>
    <x v="1"/>
    <s v="Normal"/>
    <s v="Allowed"/>
    <m/>
    <m/>
    <m/>
  </r>
  <r>
    <x v="1"/>
    <x v="0"/>
    <x v="6"/>
    <x v="11"/>
    <n v="0.51"/>
    <n v="0"/>
    <s v="DOWN"/>
    <n v="0.59"/>
    <n v="0.10526315789473679"/>
    <n v="-4.8849805534298088E-2"/>
    <n v="0.44966933193859487"/>
    <n v="0.34272509260222345"/>
    <n v="0"/>
    <x v="102"/>
    <n v="0"/>
    <x v="0"/>
    <x v="0"/>
    <n v="0"/>
    <n v="0"/>
    <n v="0"/>
    <x v="0"/>
    <x v="1"/>
    <s v="Normal"/>
    <s v="Allowed"/>
    <m/>
    <m/>
    <m/>
  </r>
  <r>
    <x v="1"/>
    <x v="0"/>
    <x v="6"/>
    <x v="12"/>
    <n v="0.48"/>
    <n v="0"/>
    <s v="DOWN"/>
    <n v="0.59"/>
    <n v="5.8823529411764747E-2"/>
    <n v="-4.8849805534298088E-2"/>
    <n v="0.44966933193859487"/>
    <n v="0.23945002982939984"/>
    <n v="0"/>
    <x v="103"/>
    <n v="0"/>
    <x v="0"/>
    <x v="0"/>
    <n v="0"/>
    <n v="0"/>
    <n v="0"/>
    <x v="0"/>
    <x v="1"/>
    <s v="Normal"/>
    <s v="Allowed"/>
    <m/>
    <m/>
    <m/>
  </r>
  <r>
    <x v="1"/>
    <x v="0"/>
    <x v="6"/>
    <x v="13"/>
    <n v="0.51"/>
    <n v="0"/>
    <s v="DOWN"/>
    <n v="0.59"/>
    <n v="-6.2500000000000056E-2"/>
    <n v="-4.8849805534298088E-2"/>
    <n v="0.44966933193859487"/>
    <n v="-3.0356071664602614E-2"/>
    <n v="0"/>
    <x v="102"/>
    <n v="0"/>
    <x v="0"/>
    <x v="0"/>
    <n v="0"/>
    <n v="0"/>
    <n v="0"/>
    <x v="1"/>
    <x v="1"/>
    <s v="Normal"/>
    <s v="Allowed"/>
    <m/>
    <m/>
    <m/>
  </r>
  <r>
    <x v="1"/>
    <x v="0"/>
    <x v="6"/>
    <x v="14"/>
    <n v="0.47"/>
    <n v="0"/>
    <s v="DOWN"/>
    <n v="0.59"/>
    <n v="7.8431372549019676E-2"/>
    <n v="-4.8849805534298088E-2"/>
    <n v="0.44966933193859487"/>
    <n v="0.28305505633348105"/>
    <n v="0"/>
    <x v="104"/>
    <n v="0"/>
    <x v="0"/>
    <x v="0"/>
    <n v="0"/>
    <n v="0"/>
    <n v="0"/>
    <x v="0"/>
    <x v="1"/>
    <s v="Normal"/>
    <s v="Allowed"/>
    <m/>
    <m/>
    <m/>
  </r>
  <r>
    <x v="1"/>
    <x v="0"/>
    <x v="7"/>
    <x v="0"/>
    <n v="0.65200000000000002"/>
    <n v="0"/>
    <s v="DOWN"/>
    <n v="0.56999999999999995"/>
    <n v="-0.13194444444444459"/>
    <n v="-2.6703176088529658E-2"/>
    <n v="0.34089784338901952"/>
    <n v="-0.30871790595582516"/>
    <n v="0"/>
    <x v="105"/>
    <n v="0"/>
    <x v="0"/>
    <x v="0"/>
    <n v="0"/>
    <n v="0"/>
    <n v="0"/>
    <x v="1"/>
    <x v="0"/>
    <s v="Normal"/>
    <s v="Allowed"/>
    <m/>
    <m/>
    <m/>
  </r>
  <r>
    <x v="1"/>
    <x v="0"/>
    <x v="7"/>
    <x v="1"/>
    <n v="0.69599999999999995"/>
    <n v="0"/>
    <s v="DOWN"/>
    <n v="0.56999999999999995"/>
    <n v="-6.7484662576687005E-2"/>
    <n v="-2.6703176088529658E-2"/>
    <n v="0.34089784338901952"/>
    <n v="-0.1196296406064942"/>
    <n v="0"/>
    <x v="106"/>
    <n v="0"/>
    <x v="0"/>
    <x v="0"/>
    <n v="0"/>
    <n v="0"/>
    <n v="0"/>
    <x v="1"/>
    <x v="0"/>
    <s v="Normal"/>
    <s v="Allowed"/>
    <m/>
    <m/>
    <m/>
  </r>
  <r>
    <x v="1"/>
    <x v="0"/>
    <x v="7"/>
    <x v="2"/>
    <n v="0.82399999999999995"/>
    <n v="0"/>
    <s v="DOWN"/>
    <n v="0.56999999999999995"/>
    <n v="-0.18390804597701149"/>
    <n v="-2.6703176088529658E-2"/>
    <n v="0.34089784338901952"/>
    <n v="-0.46114949958508739"/>
    <n v="0"/>
    <x v="107"/>
    <n v="0"/>
    <x v="0"/>
    <x v="0"/>
    <n v="0"/>
    <n v="0"/>
    <n v="0"/>
    <x v="1"/>
    <x v="0"/>
    <s v="Normal"/>
    <s v="Allowed"/>
    <m/>
    <m/>
    <m/>
  </r>
  <r>
    <x v="1"/>
    <x v="0"/>
    <x v="7"/>
    <x v="3"/>
    <n v="0.41399999999999998"/>
    <n v="0"/>
    <s v="DOWN"/>
    <n v="0.56999999999999995"/>
    <n v="0.49757281553398058"/>
    <n v="-2.6703176088529658E-2"/>
    <n v="0.34089784338901952"/>
    <n v="1.5379269824955351"/>
    <n v="-1"/>
    <x v="108"/>
    <n v="0"/>
    <x v="0"/>
    <x v="0"/>
    <n v="0"/>
    <n v="0"/>
    <n v="0"/>
    <x v="0"/>
    <x v="1"/>
    <s v="Normal"/>
    <s v="Allowed"/>
    <m/>
    <m/>
    <m/>
  </r>
  <r>
    <x v="1"/>
    <x v="0"/>
    <x v="7"/>
    <x v="4"/>
    <n v="0.75"/>
    <n v="1"/>
    <s v="DOWN"/>
    <n v="0.56999999999999995"/>
    <n v="-0.81159420289855078"/>
    <n v="-2.6703176088529658E-2"/>
    <n v="0.34089784338901952"/>
    <n v="-2.3024229751853653"/>
    <n v="1"/>
    <x v="109"/>
    <n v="0"/>
    <x v="0"/>
    <x v="1"/>
    <n v="0"/>
    <n v="1"/>
    <n v="1"/>
    <x v="1"/>
    <x v="0"/>
    <s v="Abnormal"/>
    <s v="Allowed"/>
    <m/>
    <m/>
    <m/>
  </r>
  <r>
    <x v="1"/>
    <x v="0"/>
    <x v="7"/>
    <x v="5"/>
    <n v="0.621"/>
    <n v="0"/>
    <s v="DOWN"/>
    <n v="0.56999999999999995"/>
    <n v="0.17199999999999999"/>
    <n v="-2.6703176088529658E-2"/>
    <n v="0.34089784338901952"/>
    <n v="0.58288188072160141"/>
    <n v="-1"/>
    <x v="110"/>
    <n v="1"/>
    <x v="1"/>
    <x v="0"/>
    <n v="1"/>
    <n v="0"/>
    <n v="0"/>
    <x v="0"/>
    <x v="0"/>
    <s v="Normal"/>
    <s v="Allowed"/>
    <m/>
    <m/>
    <m/>
  </r>
  <r>
    <x v="1"/>
    <x v="0"/>
    <x v="7"/>
    <x v="6"/>
    <n v="0.72699999999999998"/>
    <n v="1"/>
    <s v="DOWN"/>
    <n v="0.56999999999999995"/>
    <n v="-0.17069243156199679"/>
    <n v="-2.6703176088529658E-2"/>
    <n v="0.34089784338901952"/>
    <n v="-0.42238241826937029"/>
    <n v="0"/>
    <x v="111"/>
    <n v="1"/>
    <x v="0"/>
    <x v="0"/>
    <n v="0"/>
    <n v="0"/>
    <n v="0"/>
    <x v="1"/>
    <x v="0"/>
    <s v="Normal"/>
    <s v="Allowed"/>
    <m/>
    <m/>
    <m/>
  </r>
  <r>
    <x v="1"/>
    <x v="0"/>
    <x v="7"/>
    <x v="7"/>
    <n v="0.54500000000000004"/>
    <n v="1"/>
    <s v="DOWN"/>
    <n v="0.56999999999999995"/>
    <n v="0.25034387895460791"/>
    <n v="-2.6703176088529658E-2"/>
    <n v="0.34089784338901952"/>
    <n v="0.81269817458769356"/>
    <n v="-1"/>
    <x v="112"/>
    <n v="2"/>
    <x v="1"/>
    <x v="0"/>
    <n v="1"/>
    <n v="0"/>
    <n v="0"/>
    <x v="0"/>
    <x v="1"/>
    <s v="Normal"/>
    <s v="Allowed"/>
    <m/>
    <m/>
    <m/>
  </r>
  <r>
    <x v="1"/>
    <x v="0"/>
    <x v="7"/>
    <x v="8"/>
    <n v="0.76700000000000002"/>
    <n v="0"/>
    <s v="DOWN"/>
    <n v="0.56999999999999995"/>
    <n v="-0.40733944954128432"/>
    <n v="-2.6703176088529658E-2"/>
    <n v="0.34089784338901952"/>
    <n v="-1.1165699074792537"/>
    <n v="1"/>
    <x v="113"/>
    <n v="3"/>
    <x v="2"/>
    <x v="1"/>
    <n v="1"/>
    <n v="1"/>
    <n v="1"/>
    <x v="1"/>
    <x v="0"/>
    <s v="Abnormal"/>
    <s v="Allowed"/>
    <m/>
    <m/>
    <m/>
  </r>
  <r>
    <x v="1"/>
    <x v="0"/>
    <x v="7"/>
    <x v="9"/>
    <n v="0.72699999999999998"/>
    <n v="0"/>
    <s v="DOWN"/>
    <n v="0.56999999999999995"/>
    <n v="5.2151238591916602E-2"/>
    <n v="-2.6703176088529658E-2"/>
    <n v="0.34089784338901952"/>
    <n v="0.23131391473914559"/>
    <n v="0"/>
    <x v="111"/>
    <n v="3"/>
    <x v="0"/>
    <x v="0"/>
    <n v="0"/>
    <n v="0"/>
    <n v="0"/>
    <x v="0"/>
    <x v="0"/>
    <s v="Normal"/>
    <s v="Allowed"/>
    <m/>
    <m/>
    <m/>
  </r>
  <r>
    <x v="1"/>
    <x v="0"/>
    <x v="7"/>
    <x v="10"/>
    <n v="0.86699999999999999"/>
    <n v="1"/>
    <s v="DOWN"/>
    <n v="0.56999999999999995"/>
    <n v="-0.19257221458046769"/>
    <n v="-2.6703176088529658E-2"/>
    <n v="0.34089784338901952"/>
    <n v="-0.48656523268953233"/>
    <n v="0"/>
    <x v="114"/>
    <n v="3"/>
    <x v="0"/>
    <x v="0"/>
    <n v="0"/>
    <n v="0"/>
    <n v="0"/>
    <x v="1"/>
    <x v="0"/>
    <s v="Normal"/>
    <s v="Allowed"/>
    <m/>
    <m/>
    <m/>
  </r>
  <r>
    <x v="1"/>
    <x v="0"/>
    <x v="7"/>
    <x v="11"/>
    <n v="0.62"/>
    <n v="1"/>
    <s v="DOWN"/>
    <n v="0.56999999999999995"/>
    <n v="0.28489042675893889"/>
    <n v="-2.6703176088529658E-2"/>
    <n v="0.34089784338901952"/>
    <n v="0.91403805829270068"/>
    <n v="-1"/>
    <x v="115"/>
    <n v="4"/>
    <x v="1"/>
    <x v="0"/>
    <n v="1"/>
    <n v="0"/>
    <n v="0"/>
    <x v="0"/>
    <x v="0"/>
    <s v="Normal"/>
    <s v="Allowed"/>
    <m/>
    <m/>
    <m/>
  </r>
  <r>
    <x v="1"/>
    <x v="0"/>
    <x v="7"/>
    <x v="12"/>
    <n v="0.66"/>
    <n v="0"/>
    <s v="DOWN"/>
    <n v="0.56999999999999995"/>
    <n v="-6.4516129032258118E-2"/>
    <n v="-2.6703176088529658E-2"/>
    <n v="0.34089784338901952"/>
    <n v="-0.11092165490932065"/>
    <n v="0"/>
    <x v="116"/>
    <n v="5"/>
    <x v="2"/>
    <x v="0"/>
    <n v="1"/>
    <n v="0"/>
    <n v="0"/>
    <x v="1"/>
    <x v="0"/>
    <s v="Normal"/>
    <s v="Maxed Out"/>
    <m/>
    <m/>
    <m/>
  </r>
  <r>
    <x v="1"/>
    <x v="0"/>
    <x v="7"/>
    <x v="13"/>
    <n v="0.67"/>
    <n v="1"/>
    <s v="DOWN"/>
    <n v="0.56999999999999995"/>
    <n v="-1.5151515151515161E-2"/>
    <n v="-2.6703176088529658E-2"/>
    <n v="0.34089784338901952"/>
    <n v="3.3885990073079415E-2"/>
    <n v="0"/>
    <x v="117"/>
    <n v="5"/>
    <x v="0"/>
    <x v="0"/>
    <n v="0"/>
    <n v="0"/>
    <n v="0"/>
    <x v="1"/>
    <x v="0"/>
    <s v="Normal"/>
    <s v="Maxed Out"/>
    <m/>
    <m/>
    <m/>
  </r>
  <r>
    <x v="1"/>
    <x v="0"/>
    <x v="7"/>
    <x v="14"/>
    <n v="0.61"/>
    <n v="0"/>
    <s v="DOWN"/>
    <n v="0.56999999999999995"/>
    <n v="8.9552238805970227E-2"/>
    <n v="-2.6703176088529658E-2"/>
    <n v="0.34089784338901952"/>
    <n v="0.34102713510520416"/>
    <n v="0"/>
    <x v="118"/>
    <n v="6"/>
    <x v="1"/>
    <x v="0"/>
    <n v="1"/>
    <n v="0"/>
    <n v="0"/>
    <x v="0"/>
    <x v="0"/>
    <s v="Normal"/>
    <s v="Maxed Out"/>
    <m/>
    <m/>
    <m/>
  </r>
  <r>
    <x v="2"/>
    <x v="0"/>
    <x v="8"/>
    <x v="0"/>
    <n v="0.77049999999999996"/>
    <n v="1"/>
    <s v="UP"/>
    <n v="0.85"/>
    <n v="-1.3696876600102459E-2"/>
    <n v="4.5902054585511267E-3"/>
    <n v="7.1528610508022367E-2"/>
    <n v="-0.25566108342902283"/>
    <n v="0"/>
    <x v="119"/>
    <n v="0"/>
    <x v="0"/>
    <x v="0"/>
    <n v="0"/>
    <n v="0"/>
    <n v="0"/>
    <x v="1"/>
    <x v="0"/>
    <s v="Normal"/>
    <s v="Allowed"/>
    <m/>
    <m/>
    <m/>
  </r>
  <r>
    <x v="2"/>
    <x v="0"/>
    <x v="8"/>
    <x v="1"/>
    <n v="0.82979999999999998"/>
    <n v="0"/>
    <s v="UP"/>
    <n v="0.85"/>
    <n v="7.6963011031797562E-2"/>
    <n v="4.5902054585511267E-3"/>
    <n v="7.1528610508022367E-2"/>
    <n v="1.0118022013740835"/>
    <n v="-1"/>
    <x v="120"/>
    <n v="1"/>
    <x v="1"/>
    <x v="0"/>
    <n v="1"/>
    <n v="0"/>
    <n v="0"/>
    <x v="0"/>
    <x v="0"/>
    <s v="Normal"/>
    <s v="Allowed"/>
    <m/>
    <m/>
    <m/>
  </r>
  <r>
    <x v="2"/>
    <x v="0"/>
    <x v="8"/>
    <x v="2"/>
    <n v="0.84730000000000005"/>
    <n v="0"/>
    <s v="UP"/>
    <n v="0.85"/>
    <n v="2.1089419137141571E-2"/>
    <n v="4.5902054585511267E-3"/>
    <n v="7.1528610508022367E-2"/>
    <n v="0.23066593299390259"/>
    <n v="0"/>
    <x v="121"/>
    <n v="1"/>
    <x v="0"/>
    <x v="0"/>
    <n v="0"/>
    <n v="0"/>
    <n v="0"/>
    <x v="0"/>
    <x v="1"/>
    <s v="Normal"/>
    <s v="Allowed"/>
    <m/>
    <m/>
    <m/>
  </r>
  <r>
    <x v="2"/>
    <x v="0"/>
    <x v="8"/>
    <x v="3"/>
    <n v="0.80420000000000003"/>
    <n v="1"/>
    <s v="UP"/>
    <n v="0.85"/>
    <n v="-5.086746134781072E-2"/>
    <n v="4.5902054585511267E-3"/>
    <n v="7.1528610508022367E-2"/>
    <n v="-0.7753214610556699"/>
    <n v="1"/>
    <x v="122"/>
    <n v="1"/>
    <x v="0"/>
    <x v="1"/>
    <n v="0"/>
    <n v="1"/>
    <n v="1"/>
    <x v="1"/>
    <x v="0"/>
    <s v="Abnormal"/>
    <s v="Allowed"/>
    <m/>
    <m/>
    <m/>
  </r>
  <r>
    <x v="2"/>
    <x v="0"/>
    <x v="8"/>
    <x v="4"/>
    <n v="0.74780000000000002"/>
    <n v="1"/>
    <s v="UP"/>
    <n v="0.85"/>
    <n v="-7.0131808007958221E-2"/>
    <n v="4.5902054585511267E-3"/>
    <n v="7.1528610508022367E-2"/>
    <n v="-1.0446451138335593"/>
    <n v="1"/>
    <x v="123"/>
    <n v="2"/>
    <x v="2"/>
    <x v="1"/>
    <n v="1"/>
    <n v="1"/>
    <n v="1"/>
    <x v="1"/>
    <x v="0"/>
    <s v="Abnormal"/>
    <s v="Allowed"/>
    <m/>
    <m/>
    <m/>
  </r>
  <r>
    <x v="2"/>
    <x v="0"/>
    <x v="8"/>
    <x v="5"/>
    <n v="0.77939999999999998"/>
    <n v="0"/>
    <s v="UP"/>
    <n v="0.85"/>
    <n v="4.225728804493175E-2"/>
    <n v="4.5902054585511267E-3"/>
    <n v="7.1528610508022367E-2"/>
    <n v="0.52660162582294301"/>
    <n v="-1"/>
    <x v="124"/>
    <n v="3"/>
    <x v="1"/>
    <x v="0"/>
    <n v="1"/>
    <n v="0"/>
    <n v="0"/>
    <x v="0"/>
    <x v="0"/>
    <s v="Normal"/>
    <s v="Allowed"/>
    <m/>
    <m/>
    <m/>
  </r>
  <r>
    <x v="2"/>
    <x v="0"/>
    <x v="8"/>
    <x v="6"/>
    <n v="0.80989999999999995"/>
    <n v="0"/>
    <s v="UP"/>
    <n v="0.85"/>
    <n v="3.9132666153451338E-2"/>
    <n v="4.5902054585511267E-3"/>
    <n v="7.1528610508022367E-2"/>
    <n v="0.48291810017791503"/>
    <n v="0"/>
    <x v="125"/>
    <n v="3"/>
    <x v="0"/>
    <x v="0"/>
    <n v="0"/>
    <n v="0"/>
    <n v="0"/>
    <x v="0"/>
    <x v="0"/>
    <s v="Normal"/>
    <s v="Allowed"/>
    <m/>
    <m/>
    <m/>
  </r>
  <r>
    <x v="2"/>
    <x v="0"/>
    <x v="8"/>
    <x v="7"/>
    <n v="0.80469999999999997"/>
    <n v="1"/>
    <s v="UP"/>
    <n v="0.85"/>
    <n v="-6.4205457463884213E-3"/>
    <n v="4.5902054585511267E-3"/>
    <n v="7.1528610508022367E-2"/>
    <n v="-0.15393492375620277"/>
    <n v="0"/>
    <x v="126"/>
    <n v="3"/>
    <x v="0"/>
    <x v="0"/>
    <n v="0"/>
    <n v="0"/>
    <n v="0"/>
    <x v="1"/>
    <x v="0"/>
    <s v="Normal"/>
    <s v="Allowed"/>
    <m/>
    <m/>
    <m/>
  </r>
  <r>
    <x v="2"/>
    <x v="0"/>
    <x v="8"/>
    <x v="8"/>
    <n v="0.80159999999999998"/>
    <n v="1"/>
    <s v="UP"/>
    <n v="0.85"/>
    <n v="-3.852367341866524E-3"/>
    <n v="4.5902054585511267E-3"/>
    <n v="7.1528610508022367E-2"/>
    <n v="-0.11803071163350455"/>
    <n v="0"/>
    <x v="127"/>
    <n v="4"/>
    <x v="2"/>
    <x v="0"/>
    <n v="1"/>
    <n v="0"/>
    <n v="0"/>
    <x v="1"/>
    <x v="0"/>
    <s v="Normal"/>
    <s v="Allowed"/>
    <m/>
    <m/>
    <m/>
  </r>
  <r>
    <x v="2"/>
    <x v="0"/>
    <x v="8"/>
    <x v="9"/>
    <n v="0.79610000000000003"/>
    <n v="1"/>
    <s v="UP"/>
    <n v="0.85"/>
    <n v="-6.8612774451097171E-3"/>
    <n v="4.5902054585511267E-3"/>
    <n v="7.1528610508022367E-2"/>
    <n v="-0.16009653790739428"/>
    <n v="0"/>
    <x v="128"/>
    <n v="5"/>
    <x v="2"/>
    <x v="0"/>
    <n v="1"/>
    <n v="0"/>
    <n v="0"/>
    <x v="1"/>
    <x v="0"/>
    <s v="Normal"/>
    <s v="Maxed Out"/>
    <m/>
    <m/>
    <m/>
  </r>
  <r>
    <x v="2"/>
    <x v="0"/>
    <x v="8"/>
    <x v="10"/>
    <n v="0.87180000000000002"/>
    <n v="0"/>
    <s v="UP"/>
    <n v="0.85"/>
    <n v="9.5088556713980643E-2"/>
    <n v="4.5902054585511267E-3"/>
    <n v="7.1528610508022367E-2"/>
    <n v="1.2652049384529787"/>
    <n v="-1"/>
    <x v="129"/>
    <n v="6"/>
    <x v="1"/>
    <x v="0"/>
    <n v="1"/>
    <n v="0"/>
    <n v="0"/>
    <x v="0"/>
    <x v="1"/>
    <s v="Normal"/>
    <s v="Maxed Out"/>
    <m/>
    <m/>
    <m/>
  </r>
  <r>
    <x v="2"/>
    <x v="0"/>
    <x v="8"/>
    <x v="11"/>
    <n v="0.82699999999999996"/>
    <n v="0"/>
    <s v="UP"/>
    <n v="0.85"/>
    <n v="-5.1387933012158819E-2"/>
    <n v="4.5902054585511267E-3"/>
    <n v="7.1528610508022367E-2"/>
    <n v="-0.78259787339824893"/>
    <n v="1"/>
    <x v="130"/>
    <n v="6"/>
    <x v="0"/>
    <x v="2"/>
    <n v="0"/>
    <n v="-1"/>
    <n v="0"/>
    <x v="1"/>
    <x v="0"/>
    <s v="Abnormal"/>
    <s v="Maxed Out"/>
    <m/>
    <m/>
    <m/>
  </r>
  <r>
    <x v="2"/>
    <x v="0"/>
    <x v="8"/>
    <x v="12"/>
    <n v="0.76900000000000002"/>
    <n v="1"/>
    <s v="UP"/>
    <n v="0.85"/>
    <n v="-7.0133010882708513E-2"/>
    <n v="4.5902054585511267E-3"/>
    <n v="7.1528610508022367E-2"/>
    <n v="-1.0446619305274911"/>
    <n v="1"/>
    <x v="131"/>
    <n v="6"/>
    <x v="0"/>
    <x v="2"/>
    <n v="0"/>
    <n v="-1"/>
    <n v="0"/>
    <x v="1"/>
    <x v="0"/>
    <s v="Abnormal"/>
    <s v="Maxed Out"/>
    <m/>
    <m/>
    <m/>
  </r>
  <r>
    <x v="2"/>
    <x v="0"/>
    <x v="8"/>
    <x v="13"/>
    <n v="0.878"/>
    <n v="0"/>
    <s v="UP"/>
    <n v="0.85"/>
    <n v="0.141742522756827"/>
    <n v="4.5902054585511267E-3"/>
    <n v="7.1528610508022367E-2"/>
    <n v="1.9174469673627088"/>
    <n v="-1"/>
    <x v="132"/>
    <n v="7"/>
    <x v="1"/>
    <x v="0"/>
    <n v="1"/>
    <n v="0"/>
    <n v="0"/>
    <x v="0"/>
    <x v="1"/>
    <s v="Normal"/>
    <s v="Maxed Out"/>
    <m/>
    <m/>
    <m/>
  </r>
  <r>
    <x v="2"/>
    <x v="0"/>
    <x v="8"/>
    <x v="14"/>
    <n v="0.79400000000000004"/>
    <n v="0"/>
    <s v="UP"/>
    <n v="0.85"/>
    <n v="-9.5671981776765336E-2"/>
    <n v="4.5902054585511267E-3"/>
    <n v="7.1528610508022367E-2"/>
    <n v="-1.4017074639534828"/>
    <n v="1"/>
    <x v="133"/>
    <n v="7"/>
    <x v="0"/>
    <x v="2"/>
    <n v="0"/>
    <n v="-1"/>
    <n v="0"/>
    <x v="1"/>
    <x v="0"/>
    <s v="Abnormal"/>
    <s v="Maxed Out"/>
    <m/>
    <m/>
    <m/>
  </r>
  <r>
    <x v="2"/>
    <x v="0"/>
    <x v="8"/>
    <x v="15"/>
    <n v="0.84399999999999997"/>
    <n v="0"/>
    <s v="UP"/>
    <n v="0.85"/>
    <n v="6.2972292191435686E-2"/>
    <n v="4.5902054585511267E-3"/>
    <n v="7.1528610508022367E-2"/>
    <n v="0.8162060791931175"/>
    <n v="-1"/>
    <x v="134"/>
    <n v="7"/>
    <x v="0"/>
    <x v="0"/>
    <n v="0"/>
    <n v="0"/>
    <n v="0"/>
    <x v="0"/>
    <x v="1"/>
    <s v="Normal"/>
    <s v="Maxed Out"/>
    <m/>
    <m/>
    <m/>
  </r>
  <r>
    <x v="2"/>
    <x v="0"/>
    <x v="9"/>
    <x v="0"/>
    <n v="0.68"/>
    <n v="0"/>
    <s v="UP"/>
    <n v="0.65"/>
    <n v="-0.1257392645924402"/>
    <n v="1.2057533289701232E-2"/>
    <n v="0.17981498891186962"/>
    <n v="-0.76632542546093307"/>
    <n v="1"/>
    <x v="135"/>
    <n v="0"/>
    <x v="0"/>
    <x v="0"/>
    <n v="0"/>
    <n v="0"/>
    <n v="0"/>
    <x v="1"/>
    <x v="1"/>
    <s v="Abnormal"/>
    <s v="Allowed"/>
    <m/>
    <m/>
    <m/>
  </r>
  <r>
    <x v="2"/>
    <x v="0"/>
    <x v="9"/>
    <x v="1"/>
    <n v="0.7238"/>
    <n v="0"/>
    <s v="UP"/>
    <n v="0.65"/>
    <n v="6.441176470588228E-2"/>
    <n v="1.2057533289701232E-2"/>
    <n v="0.17981498891186962"/>
    <n v="0.29115610290886679"/>
    <n v="0"/>
    <x v="136"/>
    <n v="0"/>
    <x v="0"/>
    <x v="0"/>
    <n v="0"/>
    <n v="0"/>
    <n v="0"/>
    <x v="0"/>
    <x v="1"/>
    <s v="Normal"/>
    <s v="Allowed"/>
    <m/>
    <m/>
    <m/>
  </r>
  <r>
    <x v="2"/>
    <x v="0"/>
    <x v="9"/>
    <x v="2"/>
    <n v="0.7"/>
    <n v="0"/>
    <s v="UP"/>
    <n v="0.65"/>
    <n v="-3.2882011605415921E-2"/>
    <n v="1.2057533289701232E-2"/>
    <n v="0.17981498891186962"/>
    <n v="-0.24992101696896241"/>
    <n v="0"/>
    <x v="137"/>
    <n v="0"/>
    <x v="0"/>
    <x v="0"/>
    <n v="0"/>
    <n v="0"/>
    <n v="0"/>
    <x v="1"/>
    <x v="1"/>
    <s v="Normal"/>
    <s v="Allowed"/>
    <m/>
    <m/>
    <m/>
  </r>
  <r>
    <x v="2"/>
    <x v="0"/>
    <x v="9"/>
    <x v="3"/>
    <n v="0.68420000000000003"/>
    <n v="0"/>
    <s v="UP"/>
    <n v="0.65"/>
    <n v="-2.2571428571428461E-2"/>
    <n v="1.2057533289701232E-2"/>
    <n v="0.17981498891186962"/>
    <n v="-0.19258106385170115"/>
    <n v="0"/>
    <x v="138"/>
    <n v="0"/>
    <x v="0"/>
    <x v="0"/>
    <n v="0"/>
    <n v="0"/>
    <n v="0"/>
    <x v="1"/>
    <x v="1"/>
    <s v="Normal"/>
    <s v="Allowed"/>
    <m/>
    <m/>
    <m/>
  </r>
  <r>
    <x v="2"/>
    <x v="0"/>
    <x v="9"/>
    <x v="4"/>
    <n v="0.71"/>
    <n v="0"/>
    <s v="UP"/>
    <n v="0.65"/>
    <n v="3.7708272434960437E-2"/>
    <n v="1.2057533289701232E-2"/>
    <n v="0.17981498891186962"/>
    <n v="0.14265072839857121"/>
    <n v="0"/>
    <x v="139"/>
    <n v="0"/>
    <x v="0"/>
    <x v="0"/>
    <n v="0"/>
    <n v="0"/>
    <n v="0"/>
    <x v="0"/>
    <x v="1"/>
    <s v="Normal"/>
    <s v="Allowed"/>
    <m/>
    <m/>
    <m/>
  </r>
  <r>
    <x v="2"/>
    <x v="0"/>
    <x v="9"/>
    <x v="5"/>
    <n v="0.65"/>
    <n v="0"/>
    <s v="UP"/>
    <n v="0.65"/>
    <n v="-8.4507042253521056E-2"/>
    <n v="1.2057533289701232E-2"/>
    <n v="0.17981498891186962"/>
    <n v="-0.5370218363194974"/>
    <n v="1"/>
    <x v="96"/>
    <n v="0"/>
    <x v="0"/>
    <x v="0"/>
    <n v="0"/>
    <n v="0"/>
    <n v="0"/>
    <x v="1"/>
    <x v="1"/>
    <s v="Abnormal"/>
    <s v="Allowed"/>
    <m/>
    <m/>
    <m/>
  </r>
  <r>
    <x v="2"/>
    <x v="0"/>
    <x v="9"/>
    <x v="6"/>
    <n v="0.74439999999999995"/>
    <n v="0"/>
    <s v="UP"/>
    <n v="0.65"/>
    <n v="0.14523076923076911"/>
    <n v="1.2057533289701232E-2"/>
    <n v="0.17981498891186962"/>
    <n v="0.74061254151809519"/>
    <n v="-1"/>
    <x v="140"/>
    <n v="0"/>
    <x v="0"/>
    <x v="0"/>
    <n v="0"/>
    <n v="0"/>
    <n v="0"/>
    <x v="0"/>
    <x v="1"/>
    <s v="Normal"/>
    <s v="Allowed"/>
    <m/>
    <m/>
    <m/>
  </r>
  <r>
    <x v="2"/>
    <x v="0"/>
    <x v="9"/>
    <x v="7"/>
    <n v="0.81369999999999998"/>
    <n v="0"/>
    <s v="UP"/>
    <n v="0.65"/>
    <n v="9.3095110155830246E-2"/>
    <n v="1.2057533289701232E-2"/>
    <n v="0.17981498891186962"/>
    <n v="0.45067197877395476"/>
    <n v="0"/>
    <x v="141"/>
    <n v="0"/>
    <x v="0"/>
    <x v="0"/>
    <n v="0"/>
    <n v="0"/>
    <n v="0"/>
    <x v="0"/>
    <x v="1"/>
    <s v="Normal"/>
    <s v="Allowed"/>
    <m/>
    <m/>
    <m/>
  </r>
  <r>
    <x v="2"/>
    <x v="0"/>
    <x v="9"/>
    <x v="8"/>
    <n v="0.63560000000000005"/>
    <n v="0"/>
    <s v="UP"/>
    <n v="0.65"/>
    <n v="-0.21887673589775089"/>
    <n v="1.2057533289701232E-2"/>
    <n v="0.17981498891186962"/>
    <n v="-1.2842882041420749"/>
    <n v="1"/>
    <x v="142"/>
    <n v="0"/>
    <x v="0"/>
    <x v="1"/>
    <n v="0"/>
    <n v="1"/>
    <n v="1"/>
    <x v="1"/>
    <x v="0"/>
    <s v="Abnormal"/>
    <s v="Allowed"/>
    <m/>
    <m/>
    <m/>
  </r>
  <r>
    <x v="2"/>
    <x v="0"/>
    <x v="9"/>
    <x v="9"/>
    <n v="0.71550000000000002"/>
    <n v="0"/>
    <s v="UP"/>
    <n v="0.65"/>
    <n v="0.12570799244808051"/>
    <n v="1.2057533289701232E-2"/>
    <n v="0.17981498891186962"/>
    <n v="0.63204107647600671"/>
    <n v="-1"/>
    <x v="143"/>
    <n v="0"/>
    <x v="0"/>
    <x v="0"/>
    <n v="0"/>
    <n v="0"/>
    <n v="0"/>
    <x v="0"/>
    <x v="1"/>
    <s v="Normal"/>
    <s v="Allowed"/>
    <m/>
    <m/>
    <m/>
  </r>
  <r>
    <x v="2"/>
    <x v="0"/>
    <x v="9"/>
    <x v="10"/>
    <n v="0.70650000000000002"/>
    <n v="0"/>
    <s v="UP"/>
    <n v="0.65"/>
    <n v="-1.2578616352201271E-2"/>
    <n v="1.2057533289701232E-2"/>
    <n v="0.17981498891186962"/>
    <n v="-0.13700832055762102"/>
    <n v="0"/>
    <x v="144"/>
    <n v="0"/>
    <x v="0"/>
    <x v="0"/>
    <n v="0"/>
    <n v="0"/>
    <n v="0"/>
    <x v="1"/>
    <x v="1"/>
    <s v="Normal"/>
    <s v="Allowed"/>
    <m/>
    <m/>
    <m/>
  </r>
  <r>
    <x v="2"/>
    <x v="0"/>
    <x v="9"/>
    <x v="11"/>
    <n v="0.77100000000000002"/>
    <n v="0"/>
    <s v="UP"/>
    <n v="0.65"/>
    <n v="9.1295116772823773E-2"/>
    <n v="1.2057533289701232E-2"/>
    <n v="0.17981498891186962"/>
    <n v="0.44066172660366054"/>
    <n v="0"/>
    <x v="145"/>
    <n v="0"/>
    <x v="0"/>
    <x v="0"/>
    <n v="0"/>
    <n v="0"/>
    <n v="0"/>
    <x v="0"/>
    <x v="1"/>
    <s v="Normal"/>
    <s v="Allowed"/>
    <m/>
    <m/>
    <m/>
  </r>
  <r>
    <x v="2"/>
    <x v="0"/>
    <x v="9"/>
    <x v="12"/>
    <n v="0.69799999999999995"/>
    <n v="0"/>
    <s v="UP"/>
    <n v="0.65"/>
    <n v="-9.4682230869001377E-2"/>
    <n v="1.2057533289701232E-2"/>
    <n v="0.17981498891186962"/>
    <n v="-0.59360882429560746"/>
    <n v="1"/>
    <x v="146"/>
    <n v="0"/>
    <x v="0"/>
    <x v="0"/>
    <n v="0"/>
    <n v="0"/>
    <n v="0"/>
    <x v="1"/>
    <x v="1"/>
    <s v="Abnormal"/>
    <s v="Allowed"/>
    <m/>
    <m/>
    <m/>
  </r>
  <r>
    <x v="2"/>
    <x v="0"/>
    <x v="9"/>
    <x v="13"/>
    <n v="0.73299999999999998"/>
    <n v="0"/>
    <s v="UP"/>
    <n v="0.65"/>
    <n v="5.0143266475644738E-2"/>
    <n v="1.2057533289701232E-2"/>
    <n v="0.17981498891186962"/>
    <n v="0.21180510821937082"/>
    <n v="0"/>
    <x v="147"/>
    <n v="0"/>
    <x v="0"/>
    <x v="0"/>
    <n v="0"/>
    <n v="0"/>
    <n v="0"/>
    <x v="0"/>
    <x v="1"/>
    <s v="Normal"/>
    <s v="Allowed"/>
    <m/>
    <m/>
    <m/>
  </r>
  <r>
    <x v="2"/>
    <x v="0"/>
    <x v="9"/>
    <x v="14"/>
    <n v="0.83899999999999997"/>
    <n v="0"/>
    <s v="UP"/>
    <n v="0.65"/>
    <n v="0.14461118690313779"/>
    <n v="1.2057533289701232E-2"/>
    <n v="0.17981498891186962"/>
    <n v="0.73716687588487606"/>
    <n v="-1"/>
    <x v="148"/>
    <n v="0"/>
    <x v="0"/>
    <x v="0"/>
    <n v="0"/>
    <n v="0"/>
    <n v="0"/>
    <x v="0"/>
    <x v="1"/>
    <s v="Normal"/>
    <s v="Allowed"/>
    <m/>
    <m/>
    <m/>
  </r>
  <r>
    <x v="2"/>
    <x v="0"/>
    <x v="9"/>
    <x v="15"/>
    <n v="0.73240000000000005"/>
    <n v="0"/>
    <s v="UP"/>
    <n v="0.65"/>
    <n v="-0.12705601907032171"/>
    <n v="1.2057533289701232E-2"/>
    <n v="0.17981498891186962"/>
    <n v="-0.77364825480819555"/>
    <n v="1"/>
    <x v="149"/>
    <n v="0"/>
    <x v="0"/>
    <x v="0"/>
    <n v="0"/>
    <n v="0"/>
    <n v="0"/>
    <x v="1"/>
    <x v="1"/>
    <s v="Abnormal"/>
    <s v="Allowed"/>
    <m/>
    <m/>
    <m/>
  </r>
  <r>
    <x v="2"/>
    <x v="0"/>
    <x v="10"/>
    <x v="0"/>
    <n v="0.87119999999999997"/>
    <n v="0"/>
    <s v="UP"/>
    <n v="0.85"/>
    <n v="6.0046189376443213E-3"/>
    <n v="1.8209321594669165E-2"/>
    <n v="0.22834931756330515"/>
    <n v="-5.3447510976867015E-2"/>
    <n v="0"/>
    <x v="150"/>
    <n v="0"/>
    <x v="0"/>
    <x v="0"/>
    <n v="0"/>
    <n v="0"/>
    <n v="0"/>
    <x v="1"/>
    <x v="1"/>
    <s v="Normal"/>
    <s v="Allowed"/>
    <m/>
    <m/>
    <m/>
  </r>
  <r>
    <x v="2"/>
    <x v="0"/>
    <x v="10"/>
    <x v="1"/>
    <n v="0.8679"/>
    <n v="0"/>
    <s v="UP"/>
    <n v="0.85"/>
    <n v="-3.7878787878787529E-3"/>
    <n v="1.8209321594669165E-2"/>
    <n v="0.22834931756330515"/>
    <n v="-9.6331360291670887E-2"/>
    <n v="0"/>
    <x v="151"/>
    <n v="0"/>
    <x v="0"/>
    <x v="0"/>
    <n v="0"/>
    <n v="0"/>
    <n v="0"/>
    <x v="1"/>
    <x v="1"/>
    <s v="Normal"/>
    <s v="Allowed"/>
    <m/>
    <m/>
    <m/>
  </r>
  <r>
    <x v="2"/>
    <x v="0"/>
    <x v="10"/>
    <x v="2"/>
    <n v="0.85189999999999999"/>
    <n v="0"/>
    <s v="UP"/>
    <n v="0.85"/>
    <n v="-1.8435303606406279E-2"/>
    <n v="1.8209321594669165E-2"/>
    <n v="0.22834931756330515"/>
    <n v="-0.16047617567727776"/>
    <n v="0"/>
    <x v="152"/>
    <n v="0"/>
    <x v="0"/>
    <x v="0"/>
    <n v="0"/>
    <n v="0"/>
    <n v="0"/>
    <x v="1"/>
    <x v="1"/>
    <s v="Normal"/>
    <s v="Allowed"/>
    <m/>
    <m/>
    <m/>
  </r>
  <r>
    <x v="2"/>
    <x v="0"/>
    <x v="10"/>
    <x v="3"/>
    <n v="0.78659999999999997"/>
    <n v="0"/>
    <s v="UP"/>
    <n v="0.85"/>
    <n v="-7.6652189224087369E-2"/>
    <n v="1.8209321594669165E-2"/>
    <n v="0.22834931756330515"/>
    <n v="-0.4154227909722486"/>
    <n v="0"/>
    <x v="153"/>
    <n v="0"/>
    <x v="0"/>
    <x v="0"/>
    <n v="0"/>
    <n v="0"/>
    <n v="0"/>
    <x v="1"/>
    <x v="0"/>
    <s v="Normal"/>
    <s v="Allowed"/>
    <m/>
    <m/>
    <m/>
  </r>
  <r>
    <x v="2"/>
    <x v="0"/>
    <x v="10"/>
    <x v="4"/>
    <n v="0.91180000000000005"/>
    <n v="0"/>
    <s v="UP"/>
    <n v="0.85"/>
    <n v="0.15916603101957799"/>
    <n v="1.8209321594669165E-2"/>
    <n v="0.22834931756330515"/>
    <n v="0.61728544201071001"/>
    <n v="-1"/>
    <x v="154"/>
    <n v="0"/>
    <x v="0"/>
    <x v="0"/>
    <n v="0"/>
    <n v="0"/>
    <n v="0"/>
    <x v="0"/>
    <x v="1"/>
    <s v="Normal"/>
    <s v="Allowed"/>
    <m/>
    <m/>
    <m/>
  </r>
  <r>
    <x v="2"/>
    <x v="0"/>
    <x v="10"/>
    <x v="5"/>
    <n v="0.8306"/>
    <n v="0"/>
    <s v="UP"/>
    <n v="0.85"/>
    <n v="-8.9054617240622996E-2"/>
    <n v="1.8209321594669165E-2"/>
    <n v="0.22834931756330515"/>
    <n v="-0.46973619181303417"/>
    <n v="0"/>
    <x v="155"/>
    <n v="0"/>
    <x v="0"/>
    <x v="0"/>
    <n v="0"/>
    <n v="0"/>
    <n v="0"/>
    <x v="1"/>
    <x v="0"/>
    <s v="Normal"/>
    <s v="Allowed"/>
    <m/>
    <m/>
    <m/>
  </r>
  <r>
    <x v="2"/>
    <x v="0"/>
    <x v="10"/>
    <x v="6"/>
    <n v="0.875"/>
    <n v="0"/>
    <s v="UP"/>
    <n v="0.85"/>
    <n v="5.3455333493859863E-2"/>
    <n v="1.8209321594669165E-2"/>
    <n v="0.22834931756330515"/>
    <n v="0.15435129071239492"/>
    <n v="0"/>
    <x v="156"/>
    <n v="0"/>
    <x v="0"/>
    <x v="0"/>
    <n v="0"/>
    <n v="0"/>
    <n v="0"/>
    <x v="0"/>
    <x v="1"/>
    <s v="Normal"/>
    <s v="Allowed"/>
    <m/>
    <m/>
    <m/>
  </r>
  <r>
    <x v="2"/>
    <x v="0"/>
    <x v="10"/>
    <x v="7"/>
    <n v="0.84309999999999996"/>
    <n v="0"/>
    <s v="UP"/>
    <n v="0.85"/>
    <n v="-3.6457142857142903E-2"/>
    <n v="1.8209321594669165E-2"/>
    <n v="0.22834931756330515"/>
    <n v="-0.23939841395259226"/>
    <n v="0"/>
    <x v="157"/>
    <n v="0"/>
    <x v="0"/>
    <x v="0"/>
    <n v="0"/>
    <n v="0"/>
    <n v="0"/>
    <x v="1"/>
    <x v="1"/>
    <s v="Normal"/>
    <s v="Allowed"/>
    <m/>
    <m/>
    <m/>
  </r>
  <r>
    <x v="2"/>
    <x v="0"/>
    <x v="10"/>
    <x v="8"/>
    <n v="0.85589999999999999"/>
    <n v="0"/>
    <s v="UP"/>
    <n v="0.85"/>
    <n v="1.518206618431981E-2"/>
    <n v="1.8209321594669165E-2"/>
    <n v="0.22834931756330515"/>
    <n v="-1.3257124841242893E-2"/>
    <n v="0"/>
    <x v="158"/>
    <n v="0"/>
    <x v="0"/>
    <x v="0"/>
    <n v="0"/>
    <n v="0"/>
    <n v="0"/>
    <x v="0"/>
    <x v="1"/>
    <s v="Normal"/>
    <s v="Allowed"/>
    <m/>
    <m/>
    <m/>
  </r>
  <r>
    <x v="2"/>
    <x v="0"/>
    <x v="10"/>
    <x v="9"/>
    <n v="0.84260000000000002"/>
    <n v="0"/>
    <s v="UP"/>
    <n v="0.85"/>
    <n v="-1.5539198504498161E-2"/>
    <n v="1.8209321594669165E-2"/>
    <n v="0.22834931756330515"/>
    <n v="-0.14779339154281135"/>
    <n v="0"/>
    <x v="159"/>
    <n v="0"/>
    <x v="0"/>
    <x v="0"/>
    <n v="0"/>
    <n v="0"/>
    <n v="0"/>
    <x v="1"/>
    <x v="1"/>
    <s v="Normal"/>
    <s v="Allowed"/>
    <m/>
    <m/>
    <m/>
  </r>
  <r>
    <x v="2"/>
    <x v="0"/>
    <x v="10"/>
    <x v="10"/>
    <n v="0.93410000000000004"/>
    <n v="0"/>
    <s v="UP"/>
    <n v="0.85"/>
    <n v="0.10859245193448849"/>
    <n v="1.8209321594669165E-2"/>
    <n v="0.22834931756330515"/>
    <n v="0.3958108187240913"/>
    <n v="0"/>
    <x v="160"/>
    <n v="0"/>
    <x v="0"/>
    <x v="0"/>
    <n v="0"/>
    <n v="0"/>
    <n v="0"/>
    <x v="0"/>
    <x v="1"/>
    <s v="Normal"/>
    <s v="Allowed"/>
    <m/>
    <m/>
    <m/>
  </r>
  <r>
    <x v="2"/>
    <x v="0"/>
    <x v="10"/>
    <x v="11"/>
    <n v="0.85299999999999998"/>
    <n v="0"/>
    <s v="UP"/>
    <n v="0.85"/>
    <n v="-8.6821539449737778E-2"/>
    <n v="1.8209321594669165E-2"/>
    <n v="0.22834931756330515"/>
    <n v="-0.45995697366290267"/>
    <n v="0"/>
    <x v="161"/>
    <n v="0"/>
    <x v="0"/>
    <x v="0"/>
    <n v="0"/>
    <n v="0"/>
    <n v="0"/>
    <x v="1"/>
    <x v="1"/>
    <s v="Normal"/>
    <s v="Allowed"/>
    <m/>
    <m/>
    <m/>
  </r>
  <r>
    <x v="2"/>
    <x v="0"/>
    <x v="10"/>
    <x v="12"/>
    <n v="0.90200000000000002"/>
    <n v="0"/>
    <s v="UP"/>
    <n v="0.85"/>
    <n v="5.7444314185228662E-2"/>
    <n v="1.8209321594669165E-2"/>
    <n v="0.22834931756330515"/>
    <n v="0.1718200562595612"/>
    <n v="0"/>
    <x v="162"/>
    <n v="0"/>
    <x v="0"/>
    <x v="0"/>
    <n v="0"/>
    <n v="0"/>
    <n v="0"/>
    <x v="0"/>
    <x v="1"/>
    <s v="Normal"/>
    <s v="Allowed"/>
    <m/>
    <m/>
    <m/>
  </r>
  <r>
    <x v="2"/>
    <x v="0"/>
    <x v="10"/>
    <x v="13"/>
    <n v="0.80800000000000005"/>
    <n v="0"/>
    <s v="UP"/>
    <n v="0.85"/>
    <n v="-0.10421286031042119"/>
    <n v="1.8209321594669165E-2"/>
    <n v="0.22834931756330515"/>
    <n v="-0.5361180108241459"/>
    <n v="1"/>
    <x v="163"/>
    <n v="0"/>
    <x v="0"/>
    <x v="1"/>
    <n v="0"/>
    <n v="1"/>
    <n v="1"/>
    <x v="1"/>
    <x v="0"/>
    <s v="Abnormal"/>
    <s v="Allowed"/>
    <m/>
    <m/>
    <m/>
  </r>
  <r>
    <x v="2"/>
    <x v="0"/>
    <x v="10"/>
    <x v="14"/>
    <n v="0.89500000000000002"/>
    <n v="0"/>
    <s v="UP"/>
    <n v="0.85"/>
    <n v="0.1076732673267326"/>
    <n v="1.8209321594669165E-2"/>
    <n v="0.22834931756330515"/>
    <n v="0.39178547449462553"/>
    <n v="0"/>
    <x v="164"/>
    <n v="0"/>
    <x v="0"/>
    <x v="0"/>
    <n v="0"/>
    <n v="0"/>
    <n v="0"/>
    <x v="0"/>
    <x v="1"/>
    <s v="Normal"/>
    <s v="Allowed"/>
    <m/>
    <m/>
    <m/>
  </r>
  <r>
    <x v="2"/>
    <x v="0"/>
    <x v="10"/>
    <x v="15"/>
    <n v="0.90900000000000003"/>
    <n v="0"/>
    <s v="UP"/>
    <n v="0.85"/>
    <n v="1.564245810055867E-2"/>
    <n v="1.8209321594669165E-2"/>
    <n v="0.22834931756330515"/>
    <n v="-1.1240951019697638E-2"/>
    <n v="0"/>
    <x v="165"/>
    <n v="0"/>
    <x v="0"/>
    <x v="0"/>
    <n v="0"/>
    <n v="0"/>
    <n v="0"/>
    <x v="0"/>
    <x v="1"/>
    <s v="Normal"/>
    <s v="Allowed"/>
    <m/>
    <m/>
    <m/>
  </r>
  <r>
    <x v="2"/>
    <x v="0"/>
    <x v="11"/>
    <x v="0"/>
    <n v="0.84160000000000001"/>
    <n v="0"/>
    <s v="UP"/>
    <n v="0.7"/>
    <n v="7.7834989821578991E-3"/>
    <n v="1.9288787744816144E-2"/>
    <n v="0.27585788879837708"/>
    <n v="-4.1707303759826106E-2"/>
    <n v="0"/>
    <x v="166"/>
    <n v="0"/>
    <x v="0"/>
    <x v="0"/>
    <n v="0"/>
    <n v="0"/>
    <n v="0"/>
    <x v="1"/>
    <x v="1"/>
    <s v="Normal"/>
    <s v="Allowed"/>
    <m/>
    <m/>
    <m/>
  </r>
  <r>
    <x v="2"/>
    <x v="0"/>
    <x v="11"/>
    <x v="1"/>
    <n v="0.82350000000000001"/>
    <n v="0"/>
    <s v="UP"/>
    <n v="0.7"/>
    <n v="-2.1506653992395441E-2"/>
    <n v="1.9288787744816144E-2"/>
    <n v="0.27585788879837708"/>
    <n v="-0.1478857172253237"/>
    <n v="0"/>
    <x v="167"/>
    <n v="0"/>
    <x v="0"/>
    <x v="0"/>
    <n v="0"/>
    <n v="0"/>
    <n v="0"/>
    <x v="1"/>
    <x v="1"/>
    <s v="Normal"/>
    <s v="Allowed"/>
    <m/>
    <m/>
    <m/>
  </r>
  <r>
    <x v="2"/>
    <x v="0"/>
    <x v="11"/>
    <x v="2"/>
    <n v="0.82720000000000005"/>
    <n v="0"/>
    <s v="UP"/>
    <n v="0.7"/>
    <n v="4.4930176077717507E-3"/>
    <n v="1.9288787744816144E-2"/>
    <n v="0.27585788879837708"/>
    <n v="-5.3635479490885742E-2"/>
    <n v="0"/>
    <x v="168"/>
    <n v="0"/>
    <x v="0"/>
    <x v="0"/>
    <n v="0"/>
    <n v="0"/>
    <n v="0"/>
    <x v="1"/>
    <x v="1"/>
    <s v="Normal"/>
    <s v="Allowed"/>
    <m/>
    <m/>
    <m/>
  </r>
  <r>
    <x v="2"/>
    <x v="0"/>
    <x v="11"/>
    <x v="3"/>
    <n v="0.78669999999999995"/>
    <n v="0"/>
    <s v="UP"/>
    <n v="0.7"/>
    <n v="-4.8960348162475929E-2"/>
    <n v="1.9288787744816144E-2"/>
    <n v="0.27585788879837708"/>
    <n v="-0.24740686664638029"/>
    <n v="0"/>
    <x v="169"/>
    <n v="0"/>
    <x v="0"/>
    <x v="0"/>
    <n v="0"/>
    <n v="0"/>
    <n v="0"/>
    <x v="1"/>
    <x v="1"/>
    <s v="Normal"/>
    <s v="Allowed"/>
    <m/>
    <m/>
    <m/>
  </r>
  <r>
    <x v="2"/>
    <x v="0"/>
    <x v="11"/>
    <x v="4"/>
    <n v="0.84689999999999999"/>
    <n v="0"/>
    <s v="UP"/>
    <n v="0.7"/>
    <n v="7.6522181263505823E-2"/>
    <n v="1.9288787744816144E-2"/>
    <n v="0.27585788879837708"/>
    <n v="0.20747419538370077"/>
    <n v="0"/>
    <x v="170"/>
    <n v="0"/>
    <x v="0"/>
    <x v="0"/>
    <n v="0"/>
    <n v="0"/>
    <n v="0"/>
    <x v="0"/>
    <x v="1"/>
    <s v="Normal"/>
    <s v="Allowed"/>
    <m/>
    <m/>
    <m/>
  </r>
  <r>
    <x v="2"/>
    <x v="0"/>
    <x v="11"/>
    <x v="5"/>
    <n v="0.86670000000000003"/>
    <n v="0"/>
    <s v="UP"/>
    <n v="0.7"/>
    <n v="2.33793836344315E-2"/>
    <n v="1.9288787744816144E-2"/>
    <n v="0.27585788879837708"/>
    <n v="1.4828634799728888E-2"/>
    <n v="0"/>
    <x v="171"/>
    <n v="0"/>
    <x v="0"/>
    <x v="0"/>
    <n v="0"/>
    <n v="0"/>
    <n v="0"/>
    <x v="0"/>
    <x v="1"/>
    <s v="Normal"/>
    <s v="Allowed"/>
    <m/>
    <m/>
    <m/>
  </r>
  <r>
    <x v="2"/>
    <x v="0"/>
    <x v="11"/>
    <x v="6"/>
    <n v="0.88639999999999997"/>
    <n v="0"/>
    <s v="UP"/>
    <n v="0.7"/>
    <n v="2.2729895004038232E-2"/>
    <n v="1.9288787744816144E-2"/>
    <n v="0.27585788879837708"/>
    <n v="1.247420283759647E-2"/>
    <n v="0"/>
    <x v="172"/>
    <n v="0"/>
    <x v="0"/>
    <x v="0"/>
    <n v="0"/>
    <n v="0"/>
    <n v="0"/>
    <x v="0"/>
    <x v="1"/>
    <s v="Normal"/>
    <s v="Allowed"/>
    <m/>
    <m/>
    <m/>
  </r>
  <r>
    <x v="2"/>
    <x v="0"/>
    <x v="11"/>
    <x v="7"/>
    <n v="0.87"/>
    <n v="0"/>
    <s v="UP"/>
    <n v="0.7"/>
    <n v="-1.8501805054151589E-2"/>
    <n v="1.9288787744816144E-2"/>
    <n v="0.27585788879837708"/>
    <n v="-0.13699297476530992"/>
    <n v="0"/>
    <x v="173"/>
    <n v="0"/>
    <x v="0"/>
    <x v="0"/>
    <n v="0"/>
    <n v="0"/>
    <n v="0"/>
    <x v="1"/>
    <x v="1"/>
    <s v="Normal"/>
    <s v="Allowed"/>
    <m/>
    <m/>
    <m/>
  </r>
  <r>
    <x v="2"/>
    <x v="0"/>
    <x v="11"/>
    <x v="8"/>
    <n v="0.76470000000000005"/>
    <n v="0"/>
    <s v="UP"/>
    <n v="0.7"/>
    <n v="-0.1210344827586206"/>
    <n v="1.9288787744816144E-2"/>
    <n v="0.27585788879837708"/>
    <n v="-0.50867956365024669"/>
    <n v="1"/>
    <x v="174"/>
    <n v="0"/>
    <x v="0"/>
    <x v="0"/>
    <n v="0"/>
    <n v="0"/>
    <n v="0"/>
    <x v="1"/>
    <x v="1"/>
    <s v="Abnormal"/>
    <s v="Allowed"/>
    <m/>
    <m/>
    <m/>
  </r>
  <r>
    <x v="2"/>
    <x v="0"/>
    <x v="11"/>
    <x v="9"/>
    <n v="0.79810000000000003"/>
    <n v="0"/>
    <s v="UP"/>
    <n v="0.7"/>
    <n v="4.3677259055838871E-2"/>
    <n v="1.9288787744816144E-2"/>
    <n v="0.27585788879837708"/>
    <n v="8.8409548181702061E-2"/>
    <n v="0"/>
    <x v="175"/>
    <n v="0"/>
    <x v="0"/>
    <x v="0"/>
    <n v="0"/>
    <n v="0"/>
    <n v="0"/>
    <x v="0"/>
    <x v="1"/>
    <s v="Normal"/>
    <s v="Allowed"/>
    <m/>
    <m/>
    <m/>
  </r>
  <r>
    <x v="2"/>
    <x v="0"/>
    <x v="11"/>
    <x v="10"/>
    <n v="0.80900000000000005"/>
    <n v="0"/>
    <s v="UP"/>
    <n v="0.7"/>
    <n v="1.365743641147728E-2"/>
    <n v="1.9288787744816144E-2"/>
    <n v="0.27585788879837708"/>
    <n v="-2.0413957918219212E-2"/>
    <n v="0"/>
    <x v="176"/>
    <n v="0"/>
    <x v="0"/>
    <x v="0"/>
    <n v="0"/>
    <n v="0"/>
    <n v="0"/>
    <x v="0"/>
    <x v="1"/>
    <s v="Normal"/>
    <s v="Allowed"/>
    <m/>
    <m/>
    <m/>
  </r>
  <r>
    <x v="2"/>
    <x v="0"/>
    <x v="11"/>
    <x v="11"/>
    <n v="0.84399999999999997"/>
    <n v="0"/>
    <s v="UP"/>
    <n v="0.7"/>
    <n v="4.3263288009888649E-2"/>
    <n v="1.9288787744816144E-2"/>
    <n v="0.27585788879837708"/>
    <n v="8.6908880400354716E-2"/>
    <n v="0"/>
    <x v="177"/>
    <n v="0"/>
    <x v="0"/>
    <x v="0"/>
    <n v="0"/>
    <n v="0"/>
    <n v="0"/>
    <x v="0"/>
    <x v="1"/>
    <s v="Normal"/>
    <s v="Allowed"/>
    <m/>
    <m/>
    <m/>
  </r>
  <r>
    <x v="2"/>
    <x v="0"/>
    <x v="11"/>
    <x v="12"/>
    <n v="0.84199999999999997"/>
    <n v="0"/>
    <s v="UP"/>
    <n v="0.7"/>
    <n v="-2.3696682464455E-3"/>
    <n v="1.9288787744816144E-2"/>
    <n v="0.27585788879837708"/>
    <n v="-7.8513092685530139E-2"/>
    <n v="0"/>
    <x v="178"/>
    <n v="0"/>
    <x v="0"/>
    <x v="0"/>
    <n v="0"/>
    <n v="0"/>
    <n v="0"/>
    <x v="1"/>
    <x v="1"/>
    <s v="Normal"/>
    <s v="Allowed"/>
    <m/>
    <m/>
    <m/>
  </r>
  <r>
    <x v="2"/>
    <x v="0"/>
    <x v="11"/>
    <x v="13"/>
    <n v="0.84499999999999997"/>
    <n v="0"/>
    <s v="UP"/>
    <n v="0.7"/>
    <n v="3.562945368171025E-3"/>
    <n v="1.9288787744816144E-2"/>
    <n v="0.27585788879837708"/>
    <n v="-5.7007042449088864E-2"/>
    <n v="0"/>
    <x v="179"/>
    <n v="0"/>
    <x v="0"/>
    <x v="0"/>
    <n v="0"/>
    <n v="0"/>
    <n v="0"/>
    <x v="1"/>
    <x v="1"/>
    <s v="Normal"/>
    <s v="Allowed"/>
    <m/>
    <m/>
    <m/>
  </r>
  <r>
    <x v="2"/>
    <x v="0"/>
    <x v="11"/>
    <x v="14"/>
    <n v="0.80500000000000005"/>
    <n v="0"/>
    <s v="UP"/>
    <n v="0.7"/>
    <n v="-4.7337278106508777E-2"/>
    <n v="1.9288787744816144E-2"/>
    <n v="0.27585788879837708"/>
    <n v="-0.24152314853689585"/>
    <n v="0"/>
    <x v="180"/>
    <n v="0"/>
    <x v="0"/>
    <x v="0"/>
    <n v="0"/>
    <n v="0"/>
    <n v="0"/>
    <x v="1"/>
    <x v="1"/>
    <s v="Normal"/>
    <s v="Allowed"/>
    <m/>
    <m/>
    <m/>
  </r>
  <r>
    <x v="2"/>
    <x v="0"/>
    <x v="11"/>
    <x v="15"/>
    <n v="0.82099999999999995"/>
    <n v="0"/>
    <s v="UP"/>
    <n v="0.7"/>
    <n v="1.9875776397515411E-2"/>
    <n v="1.9288787744816144E-2"/>
    <n v="0.27585788879837708"/>
    <n v="2.1278661098153074E-3"/>
    <n v="0"/>
    <x v="181"/>
    <n v="0"/>
    <x v="0"/>
    <x v="0"/>
    <n v="0"/>
    <n v="0"/>
    <n v="0"/>
    <x v="0"/>
    <x v="1"/>
    <s v="Normal"/>
    <s v="Allowed"/>
    <m/>
    <m/>
    <m/>
  </r>
  <r>
    <x v="0"/>
    <x v="1"/>
    <x v="0"/>
    <x v="0"/>
    <n v="0.31273953702284218"/>
    <n v="0"/>
    <s v="DOWN"/>
    <n v="0.27"/>
    <n v="3.3173509826414718E-2"/>
    <n v="1.2504550363164104E-2"/>
    <n v="5.3924507863027986E-2"/>
    <n v="0.3832943550593213"/>
    <n v="0"/>
    <x v="182"/>
    <n v="0"/>
    <x v="0"/>
    <x v="0"/>
    <n v="0"/>
    <n v="0"/>
    <n v="0"/>
    <x v="0"/>
    <x v="0"/>
    <s v="Normal"/>
    <s v="Allowed"/>
    <m/>
    <m/>
    <m/>
  </r>
  <r>
    <x v="0"/>
    <x v="1"/>
    <x v="0"/>
    <x v="1"/>
    <n v="0.31530984204131229"/>
    <n v="1"/>
    <s v="DOWN"/>
    <n v="0.27"/>
    <n v="-8.2186762919022188E-3"/>
    <n v="1.2504550363164104E-2"/>
    <n v="5.3924507863027986E-2"/>
    <n v="-0.38430070994258803"/>
    <n v="0"/>
    <x v="183"/>
    <n v="0"/>
    <x v="0"/>
    <x v="0"/>
    <n v="0"/>
    <n v="0"/>
    <n v="0"/>
    <x v="1"/>
    <x v="0"/>
    <s v="Normal"/>
    <s v="Allowed"/>
    <m/>
    <m/>
    <m/>
  </r>
  <r>
    <x v="0"/>
    <x v="1"/>
    <x v="0"/>
    <x v="2"/>
    <n v="0.31173538740371542"/>
    <n v="0"/>
    <s v="DOWN"/>
    <n v="0.27"/>
    <n v="1.133632434197388E-2"/>
    <n v="1.2504550363164104E-2"/>
    <n v="5.3924507863027986E-2"/>
    <n v="-2.1664101676321278E-2"/>
    <n v="0"/>
    <x v="184"/>
    <n v="1"/>
    <x v="1"/>
    <x v="0"/>
    <n v="1"/>
    <n v="0"/>
    <n v="0"/>
    <x v="0"/>
    <x v="0"/>
    <s v="Normal"/>
    <s v="Allowed"/>
    <m/>
    <m/>
    <m/>
  </r>
  <r>
    <x v="0"/>
    <x v="1"/>
    <x v="0"/>
    <x v="3"/>
    <n v="0.28353521799999998"/>
    <n v="0"/>
    <s v="DOWN"/>
    <n v="0.27"/>
    <n v="9.0461880630813951E-2"/>
    <n v="1.2504550363164104E-2"/>
    <n v="5.3924507863027986E-2"/>
    <n v="1.4456753219828526"/>
    <n v="-1"/>
    <x v="185"/>
    <n v="1"/>
    <x v="0"/>
    <x v="0"/>
    <n v="0"/>
    <n v="0"/>
    <n v="0"/>
    <x v="0"/>
    <x v="0"/>
    <s v="Normal"/>
    <s v="Allowed"/>
    <m/>
    <m/>
    <m/>
  </r>
  <r>
    <x v="0"/>
    <x v="1"/>
    <x v="0"/>
    <x v="4"/>
    <n v="0.27688211802987728"/>
    <n v="0"/>
    <s v="DOWN"/>
    <n v="0.27"/>
    <n v="2.346480982874833E-2"/>
    <n v="1.2504550363164104E-2"/>
    <n v="5.3924507863027986E-2"/>
    <n v="0.20325191457331515"/>
    <n v="0"/>
    <x v="186"/>
    <n v="1"/>
    <x v="0"/>
    <x v="0"/>
    <n v="0"/>
    <n v="0"/>
    <n v="0"/>
    <x v="0"/>
    <x v="0"/>
    <s v="Normal"/>
    <s v="Allowed"/>
    <m/>
    <m/>
    <m/>
  </r>
  <r>
    <x v="0"/>
    <x v="1"/>
    <x v="0"/>
    <x v="5"/>
    <n v="0.27228525121555908"/>
    <n v="0"/>
    <s v="DOWN"/>
    <n v="0.27"/>
    <n v="1.6602252420729359E-2"/>
    <n v="1.2504550363164104E-2"/>
    <n v="5.3924507863027986E-2"/>
    <n v="7.5989605097068369E-2"/>
    <n v="0"/>
    <x v="187"/>
    <n v="1"/>
    <x v="0"/>
    <x v="0"/>
    <n v="0"/>
    <n v="0"/>
    <n v="0"/>
    <x v="0"/>
    <x v="1"/>
    <s v="Normal"/>
    <s v="Allowed"/>
    <m/>
    <m/>
    <m/>
  </r>
  <r>
    <x v="0"/>
    <x v="1"/>
    <x v="0"/>
    <x v="6"/>
    <n v="0.27296742001761082"/>
    <n v="1"/>
    <s v="DOWN"/>
    <n v="0.27"/>
    <n v="-2.5053461361066931E-3"/>
    <n v="1.2504550363164104E-2"/>
    <n v="5.3924507863027986E-2"/>
    <n v="-0.27835018054122962"/>
    <n v="0"/>
    <x v="188"/>
    <n v="1"/>
    <x v="0"/>
    <x v="0"/>
    <n v="0"/>
    <n v="0"/>
    <n v="0"/>
    <x v="1"/>
    <x v="1"/>
    <s v="Normal"/>
    <s v="Allowed"/>
    <m/>
    <m/>
    <m/>
  </r>
  <r>
    <x v="0"/>
    <x v="1"/>
    <x v="0"/>
    <x v="7"/>
    <n v="0.26933101650738489"/>
    <n v="0"/>
    <s v="DOWN"/>
    <n v="0.27"/>
    <n v="1.332174920359111E-2"/>
    <n v="1.2504550363164104E-2"/>
    <n v="5.3924507863027986E-2"/>
    <n v="1.5154497886244001E-2"/>
    <n v="0"/>
    <x v="189"/>
    <n v="2"/>
    <x v="1"/>
    <x v="0"/>
    <n v="1"/>
    <n v="0"/>
    <n v="0"/>
    <x v="0"/>
    <x v="1"/>
    <s v="Normal"/>
    <s v="Allowed"/>
    <m/>
    <m/>
    <m/>
  </r>
  <r>
    <x v="0"/>
    <x v="1"/>
    <x v="0"/>
    <x v="8"/>
    <n v="0.27830596369922211"/>
    <n v="1"/>
    <s v="DOWN"/>
    <n v="0.27"/>
    <n v="-3.3323110380014981E-2"/>
    <n v="1.2504550363164104E-2"/>
    <n v="5.3924507863027986E-2"/>
    <n v="-0.84984847445589196"/>
    <n v="1"/>
    <x v="190"/>
    <n v="2"/>
    <x v="0"/>
    <x v="1"/>
    <n v="0"/>
    <n v="1"/>
    <n v="1"/>
    <x v="1"/>
    <x v="0"/>
    <s v="Abnormal"/>
    <s v="Allowed"/>
    <m/>
    <m/>
    <m/>
  </r>
  <r>
    <x v="0"/>
    <x v="1"/>
    <x v="0"/>
    <x v="9"/>
    <n v="0.27315676449534709"/>
    <n v="0"/>
    <s v="DOWN"/>
    <n v="0.27"/>
    <n v="1.8501936269824219E-2"/>
    <n v="1.2504550363164104E-2"/>
    <n v="5.3924507863027986E-2"/>
    <n v="0.1112181852803162"/>
    <n v="0"/>
    <x v="191"/>
    <n v="3"/>
    <x v="1"/>
    <x v="0"/>
    <n v="1"/>
    <n v="0"/>
    <n v="0"/>
    <x v="0"/>
    <x v="1"/>
    <s v="Normal"/>
    <s v="Allowed"/>
    <m/>
    <m/>
    <m/>
  </r>
  <r>
    <x v="0"/>
    <x v="1"/>
    <x v="0"/>
    <x v="10"/>
    <n v="0.25626423690205008"/>
    <n v="0"/>
    <s v="DOWN"/>
    <n v="0.27"/>
    <n v="6.1841879056173832E-2"/>
    <n v="1.2504550363164104E-2"/>
    <n v="5.3924507863027986E-2"/>
    <n v="0.91493331414966239"/>
    <n v="-1"/>
    <x v="192"/>
    <n v="3"/>
    <x v="0"/>
    <x v="0"/>
    <n v="0"/>
    <n v="0"/>
    <n v="0"/>
    <x v="0"/>
    <x v="1"/>
    <s v="Normal"/>
    <s v="Allowed"/>
    <m/>
    <m/>
    <m/>
  </r>
  <r>
    <x v="0"/>
    <x v="1"/>
    <x v="0"/>
    <x v="11"/>
    <n v="0.2545608824777259"/>
    <n v="0"/>
    <s v="DOWN"/>
    <n v="0.27"/>
    <n v="6.6468674869183458E-3"/>
    <n v="1.2504550363164104E-2"/>
    <n v="5.3924507863027986E-2"/>
    <n v="-0.10862747029837864"/>
    <n v="0"/>
    <x v="193"/>
    <n v="3"/>
    <x v="0"/>
    <x v="0"/>
    <n v="0"/>
    <n v="0"/>
    <n v="0"/>
    <x v="1"/>
    <x v="1"/>
    <s v="Normal"/>
    <s v="Allowed"/>
    <m/>
    <m/>
    <m/>
  </r>
  <r>
    <x v="0"/>
    <x v="1"/>
    <x v="0"/>
    <x v="12"/>
    <n v="0.25162935675828851"/>
    <n v="0"/>
    <s v="DOWN"/>
    <n v="0.27"/>
    <n v="1.1516010201189881E-2"/>
    <n v="1.2504550363164104E-2"/>
    <n v="5.3924507863027986E-2"/>
    <n v="-1.8331927376790985E-2"/>
    <n v="0"/>
    <x v="194"/>
    <n v="3"/>
    <x v="0"/>
    <x v="0"/>
    <n v="0"/>
    <n v="0"/>
    <n v="0"/>
    <x v="0"/>
    <x v="1"/>
    <s v="Normal"/>
    <s v="Allowed"/>
    <m/>
    <m/>
    <m/>
  </r>
  <r>
    <x v="0"/>
    <x v="1"/>
    <x v="0"/>
    <x v="13"/>
    <n v="0.2522010792388526"/>
    <n v="0"/>
    <s v="DOWN"/>
    <n v="0.27"/>
    <n v="-2.2720817949444332E-3"/>
    <n v="1.2504550363164104E-2"/>
    <n v="5.3924507863027986E-2"/>
    <n v="-0.27402442309983088"/>
    <n v="0"/>
    <x v="195"/>
    <n v="3"/>
    <x v="0"/>
    <x v="0"/>
    <n v="0"/>
    <n v="0"/>
    <n v="0"/>
    <x v="1"/>
    <x v="1"/>
    <s v="Normal"/>
    <s v="Allowed"/>
    <m/>
    <m/>
    <m/>
  </r>
  <r>
    <x v="0"/>
    <x v="1"/>
    <x v="0"/>
    <x v="14"/>
    <n v="0.24580369843527741"/>
    <n v="0"/>
    <s v="DOWN"/>
    <n v="0.27"/>
    <n v="2.5366191226788549E-2"/>
    <n v="1.2504550363164104E-2"/>
    <n v="5.3924507863027986E-2"/>
    <n v="0.23851197485740455"/>
    <n v="0"/>
    <x v="196"/>
    <n v="3"/>
    <x v="0"/>
    <x v="0"/>
    <n v="0"/>
    <n v="0"/>
    <n v="0"/>
    <x v="0"/>
    <x v="1"/>
    <s v="Normal"/>
    <s v="Allowed"/>
    <m/>
    <m/>
    <m/>
  </r>
  <r>
    <x v="0"/>
    <x v="1"/>
    <x v="0"/>
    <x v="15"/>
    <n v="0.2460215053763441"/>
    <n v="0"/>
    <s v="DOWN"/>
    <n v="0.27"/>
    <n v="-8.8610115491827973E-4"/>
    <n v="1.2504550363164104E-2"/>
    <n v="5.3924507863027986E-2"/>
    <n v="-0.2483221831545607"/>
    <n v="0"/>
    <x v="197"/>
    <n v="3"/>
    <x v="0"/>
    <x v="0"/>
    <n v="0"/>
    <n v="0"/>
    <n v="0"/>
    <x v="1"/>
    <x v="1"/>
    <s v="Normal"/>
    <s v="Allowed"/>
    <m/>
    <m/>
    <m/>
  </r>
  <r>
    <x v="0"/>
    <x v="1"/>
    <x v="1"/>
    <x v="0"/>
    <n v="9.5206611570247929E-2"/>
    <n v="1"/>
    <s v="DOWN"/>
    <n v="5.3999999999999999E-2"/>
    <n v="-1.135848945619237E-2"/>
    <n v="1.0109678696460058E-2"/>
    <n v="0.17556416633612926"/>
    <n v="-0.122281036048952"/>
    <n v="0"/>
    <x v="198"/>
    <n v="0"/>
    <x v="0"/>
    <x v="0"/>
    <n v="0"/>
    <n v="0"/>
    <n v="0"/>
    <x v="1"/>
    <x v="0"/>
    <s v="Normal"/>
    <s v="Allowed"/>
    <m/>
    <m/>
    <m/>
  </r>
  <r>
    <x v="0"/>
    <x v="1"/>
    <x v="1"/>
    <x v="1"/>
    <n v="9.3853271645736952E-2"/>
    <n v="0"/>
    <s v="DOWN"/>
    <n v="5.3999999999999999E-2"/>
    <n v="1.4214768304325359E-2"/>
    <n v="1.0109678696460058E-2"/>
    <n v="0.17556416633612926"/>
    <n v="2.3382274945593591E-2"/>
    <n v="0"/>
    <x v="199"/>
    <n v="1"/>
    <x v="1"/>
    <x v="0"/>
    <n v="1"/>
    <n v="0"/>
    <n v="0"/>
    <x v="0"/>
    <x v="0"/>
    <s v="Normal"/>
    <s v="Allowed"/>
    <m/>
    <m/>
    <m/>
  </r>
  <r>
    <x v="0"/>
    <x v="1"/>
    <x v="1"/>
    <x v="2"/>
    <n v="9.49535192563081E-2"/>
    <n v="1"/>
    <s v="DOWN"/>
    <n v="5.3999999999999999E-2"/>
    <n v="-1.172306080840948E-2"/>
    <n v="1.0109678696460058E-2"/>
    <n v="0.17556416633612926"/>
    <n v="-0.12435760645523364"/>
    <n v="0"/>
    <x v="200"/>
    <n v="1"/>
    <x v="0"/>
    <x v="0"/>
    <n v="0"/>
    <n v="0"/>
    <n v="0"/>
    <x v="1"/>
    <x v="0"/>
    <s v="Normal"/>
    <s v="Allowed"/>
    <m/>
    <m/>
    <m/>
  </r>
  <r>
    <x v="0"/>
    <x v="1"/>
    <x v="1"/>
    <x v="3"/>
    <n v="8.3221925000000002E-2"/>
    <n v="0"/>
    <s v="DOWN"/>
    <n v="5.3999999999999999E-2"/>
    <n v="0.1235509157342657"/>
    <n v="1.0109678696460058E-2"/>
    <n v="0.17556416633612926"/>
    <n v="0.64615256863188619"/>
    <n v="-1"/>
    <x v="201"/>
    <n v="2"/>
    <x v="1"/>
    <x v="0"/>
    <n v="1"/>
    <n v="0"/>
    <n v="0"/>
    <x v="0"/>
    <x v="0"/>
    <s v="Normal"/>
    <s v="Allowed"/>
    <m/>
    <m/>
    <m/>
  </r>
  <r>
    <x v="0"/>
    <x v="1"/>
    <x v="1"/>
    <x v="4"/>
    <n v="8.3941605839416053E-2"/>
    <n v="1"/>
    <s v="DOWN"/>
    <n v="5.3999999999999999E-2"/>
    <n v="-8.6477312248671358E-3"/>
    <n v="1.0109678696460058E-2"/>
    <n v="0.17556416633612926"/>
    <n v="-0.10684076547497105"/>
    <n v="0"/>
    <x v="202"/>
    <n v="2"/>
    <x v="0"/>
    <x v="0"/>
    <n v="0"/>
    <n v="0"/>
    <n v="0"/>
    <x v="1"/>
    <x v="0"/>
    <s v="Normal"/>
    <s v="Allowed"/>
    <m/>
    <m/>
    <m/>
  </r>
  <r>
    <x v="0"/>
    <x v="1"/>
    <x v="1"/>
    <x v="5"/>
    <n v="8.7471226570207172E-2"/>
    <n v="0"/>
    <s v="DOWN"/>
    <n v="5.3999999999999999E-2"/>
    <n v="-4.2048525227685513E-2"/>
    <n v="1.0109678696460058E-2"/>
    <n v="0.17556416633612926"/>
    <n v="-0.29708912138873045"/>
    <n v="0"/>
    <x v="203"/>
    <n v="3"/>
    <x v="2"/>
    <x v="0"/>
    <n v="1"/>
    <n v="0"/>
    <n v="0"/>
    <x v="1"/>
    <x v="0"/>
    <s v="Normal"/>
    <s v="Allowed"/>
    <m/>
    <m/>
    <m/>
  </r>
  <r>
    <x v="0"/>
    <x v="1"/>
    <x v="1"/>
    <x v="6"/>
    <n v="8.8989931796037675E-2"/>
    <n v="1"/>
    <s v="DOWN"/>
    <n v="5.3999999999999999E-2"/>
    <n v="-1.7362340570490822E-2"/>
    <n v="1.0109678696460058E-2"/>
    <n v="0.17556416633612926"/>
    <n v="-0.15647851062245738"/>
    <n v="0"/>
    <x v="204"/>
    <n v="3"/>
    <x v="0"/>
    <x v="0"/>
    <n v="0"/>
    <n v="0"/>
    <n v="0"/>
    <x v="1"/>
    <x v="0"/>
    <s v="Normal"/>
    <s v="Allowed"/>
    <m/>
    <m/>
    <m/>
  </r>
  <r>
    <x v="0"/>
    <x v="1"/>
    <x v="1"/>
    <x v="7"/>
    <n v="8.5209003215434079E-2"/>
    <n v="0"/>
    <s v="DOWN"/>
    <n v="5.3999999999999999E-2"/>
    <n v="4.2487149998826537E-2"/>
    <n v="1.0109678696460058E-2"/>
    <n v="0.17556416633612926"/>
    <n v="0.18441958845051362"/>
    <n v="0"/>
    <x v="205"/>
    <n v="4"/>
    <x v="1"/>
    <x v="0"/>
    <n v="1"/>
    <n v="0"/>
    <n v="0"/>
    <x v="0"/>
    <x v="0"/>
    <s v="Normal"/>
    <s v="Allowed"/>
    <m/>
    <m/>
    <m/>
  </r>
  <r>
    <x v="0"/>
    <x v="1"/>
    <x v="1"/>
    <x v="8"/>
    <n v="7.814526588845655E-2"/>
    <n v="0"/>
    <s v="DOWN"/>
    <n v="5.3999999999999999E-2"/>
    <n v="8.2898955044906103E-2"/>
    <n v="1.0109678696460058E-2"/>
    <n v="0.17556416633612926"/>
    <n v="0.41460212449667061"/>
    <n v="0"/>
    <x v="206"/>
    <n v="4"/>
    <x v="0"/>
    <x v="0"/>
    <n v="0"/>
    <n v="0"/>
    <n v="0"/>
    <x v="0"/>
    <x v="0"/>
    <s v="Normal"/>
    <s v="Allowed"/>
    <m/>
    <m/>
    <m/>
  </r>
  <r>
    <x v="0"/>
    <x v="1"/>
    <x v="1"/>
    <x v="9"/>
    <n v="7.9740680713128037E-2"/>
    <n v="0"/>
    <s v="DOWN"/>
    <n v="5.3999999999999999E-2"/>
    <n v="-2.0416013772974549E-2"/>
    <n v="1.0109678696460058E-2"/>
    <n v="0.17556416633612926"/>
    <n v="-0.17387199852042212"/>
    <n v="0"/>
    <x v="207"/>
    <n v="4"/>
    <x v="0"/>
    <x v="0"/>
    <n v="0"/>
    <n v="0"/>
    <n v="0"/>
    <x v="1"/>
    <x v="0"/>
    <s v="Normal"/>
    <s v="Allowed"/>
    <m/>
    <m/>
    <m/>
  </r>
  <r>
    <x v="0"/>
    <x v="1"/>
    <x v="1"/>
    <x v="10"/>
    <n v="6.5132858068697341E-2"/>
    <n v="0"/>
    <s v="DOWN"/>
    <n v="5.3999999999999999E-2"/>
    <n v="0.1831915969840191"/>
    <n v="1.0109678696460058E-2"/>
    <n v="0.17556416633612926"/>
    <n v="0.98586130586683729"/>
    <n v="-1"/>
    <x v="208"/>
    <n v="4"/>
    <x v="0"/>
    <x v="0"/>
    <n v="0"/>
    <n v="0"/>
    <n v="0"/>
    <x v="0"/>
    <x v="0"/>
    <s v="Normal"/>
    <s v="Allowed"/>
    <m/>
    <m/>
    <m/>
  </r>
  <r>
    <x v="0"/>
    <x v="1"/>
    <x v="1"/>
    <x v="11"/>
    <n v="6.8844060198527054E-2"/>
    <n v="0"/>
    <s v="DOWN"/>
    <n v="5.3999999999999999E-2"/>
    <n v="-5.6978954092808433E-2"/>
    <n v="1.0109678696460058E-2"/>
    <n v="0.17556416633612926"/>
    <n v="-0.38213169685676546"/>
    <n v="0"/>
    <x v="209"/>
    <n v="4"/>
    <x v="0"/>
    <x v="0"/>
    <n v="0"/>
    <n v="0"/>
    <n v="0"/>
    <x v="1"/>
    <x v="0"/>
    <s v="Normal"/>
    <s v="Allowed"/>
    <m/>
    <m/>
    <m/>
  </r>
  <r>
    <x v="0"/>
    <x v="1"/>
    <x v="1"/>
    <x v="12"/>
    <n v="6.7350865939704935E-2"/>
    <n v="0"/>
    <s v="DOWN"/>
    <n v="5.3999999999999999E-2"/>
    <n v="2.1689514745588279E-2"/>
    <n v="1.0109678696460058E-2"/>
    <n v="0.17556416633612926"/>
    <n v="6.5957856268675327E-2"/>
    <n v="0"/>
    <x v="210"/>
    <n v="4"/>
    <x v="0"/>
    <x v="0"/>
    <n v="0"/>
    <n v="0"/>
    <n v="0"/>
    <x v="0"/>
    <x v="0"/>
    <s v="Normal"/>
    <s v="Allowed"/>
    <m/>
    <m/>
    <m/>
  </r>
  <r>
    <x v="0"/>
    <x v="1"/>
    <x v="1"/>
    <x v="13"/>
    <n v="6.0038734667527439E-2"/>
    <n v="0"/>
    <s v="DOWN"/>
    <n v="5.3999999999999999E-2"/>
    <n v="0.1085677395554735"/>
    <n v="1.0109678696460058E-2"/>
    <n v="0.17556416633612926"/>
    <n v="0.56080954851862508"/>
    <n v="-1"/>
    <x v="211"/>
    <n v="4"/>
    <x v="0"/>
    <x v="0"/>
    <n v="0"/>
    <n v="0"/>
    <n v="0"/>
    <x v="0"/>
    <x v="0"/>
    <s v="Normal"/>
    <s v="Allowed"/>
    <m/>
    <m/>
    <m/>
  </r>
  <r>
    <x v="0"/>
    <x v="1"/>
    <x v="1"/>
    <x v="14"/>
    <n v="5.8538163001293657E-2"/>
    <n v="0"/>
    <s v="DOWN"/>
    <n v="5.3999999999999999E-2"/>
    <n v="2.4993392591356231E-2"/>
    <n v="1.0109678696460058E-2"/>
    <n v="0.17556416633612926"/>
    <n v="8.4776490587494452E-2"/>
    <n v="0"/>
    <x v="212"/>
    <n v="4"/>
    <x v="0"/>
    <x v="0"/>
    <n v="0"/>
    <n v="0"/>
    <n v="0"/>
    <x v="0"/>
    <x v="0"/>
    <s v="Normal"/>
    <s v="Allowed"/>
    <m/>
    <m/>
    <m/>
  </r>
  <r>
    <x v="0"/>
    <x v="1"/>
    <x v="1"/>
    <x v="15"/>
    <n v="4.9951028403525957E-2"/>
    <n v="0"/>
    <s v="DOWN"/>
    <n v="5.3999999999999999E-2"/>
    <n v="0.14669292915081619"/>
    <n v="1.0109678696460058E-2"/>
    <n v="0.17556416633612926"/>
    <n v="0.7779676986752434"/>
    <n v="-1"/>
    <x v="213"/>
    <n v="4"/>
    <x v="0"/>
    <x v="0"/>
    <n v="0"/>
    <n v="0"/>
    <n v="0"/>
    <x v="0"/>
    <x v="1"/>
    <s v="Normal"/>
    <s v="Allowed"/>
    <m/>
    <m/>
    <m/>
  </r>
  <r>
    <x v="0"/>
    <x v="1"/>
    <x v="2"/>
    <x v="0"/>
    <n v="0.10130111524163569"/>
    <n v="0"/>
    <s v="DOWN"/>
    <n v="6.6000000000000003E-2"/>
    <n v="8.4884883321357837E-2"/>
    <n v="-2.475667272801203E-2"/>
    <n v="0.42334565134305008"/>
    <n v="0.25898826573873068"/>
    <n v="0"/>
    <x v="214"/>
    <n v="0"/>
    <x v="0"/>
    <x v="0"/>
    <n v="0"/>
    <n v="0"/>
    <n v="0"/>
    <x v="0"/>
    <x v="0"/>
    <s v="Normal"/>
    <s v="Allowed"/>
    <m/>
    <m/>
    <m/>
  </r>
  <r>
    <x v="0"/>
    <x v="1"/>
    <x v="2"/>
    <x v="1"/>
    <n v="9.1417910447761194E-2"/>
    <n v="1"/>
    <s v="DOWN"/>
    <n v="6.6000000000000003E-2"/>
    <n v="9.7562645488155617E-2"/>
    <n v="-2.475667272801203E-2"/>
    <n v="0.42334565134305008"/>
    <n v="0.28893486404812158"/>
    <n v="0"/>
    <x v="215"/>
    <n v="0"/>
    <x v="0"/>
    <x v="0"/>
    <n v="0"/>
    <n v="0"/>
    <n v="0"/>
    <x v="0"/>
    <x v="0"/>
    <s v="Normal"/>
    <s v="Allowed"/>
    <m/>
    <m/>
    <m/>
  </r>
  <r>
    <x v="0"/>
    <x v="1"/>
    <x v="2"/>
    <x v="2"/>
    <n v="0.10925925925925931"/>
    <n v="1"/>
    <s v="DOWN"/>
    <n v="6.6000000000000003E-2"/>
    <n v="-0.19516250944822419"/>
    <n v="-2.475667272801203E-2"/>
    <n v="0.42334565134305008"/>
    <n v="-0.40252176012581042"/>
    <n v="0"/>
    <x v="216"/>
    <n v="1"/>
    <x v="2"/>
    <x v="0"/>
    <n v="1"/>
    <n v="0"/>
    <n v="0"/>
    <x v="1"/>
    <x v="0"/>
    <s v="Normal"/>
    <s v="Allowed"/>
    <m/>
    <m/>
    <m/>
  </r>
  <r>
    <x v="0"/>
    <x v="1"/>
    <x v="2"/>
    <x v="3"/>
    <n v="9.5595127000000002E-2"/>
    <n v="0"/>
    <s v="DOWN"/>
    <n v="6.6000000000000003E-2"/>
    <n v="0.12506154949152579"/>
    <n v="-2.475667272801203E-2"/>
    <n v="0.42334565134305008"/>
    <n v="0.35389101492892261"/>
    <n v="0"/>
    <x v="217"/>
    <n v="2"/>
    <x v="1"/>
    <x v="0"/>
    <n v="1"/>
    <n v="0"/>
    <n v="0"/>
    <x v="0"/>
    <x v="0"/>
    <s v="Normal"/>
    <s v="Allowed"/>
    <m/>
    <m/>
    <m/>
  </r>
  <r>
    <x v="0"/>
    <x v="1"/>
    <x v="2"/>
    <x v="4"/>
    <n v="9.5238095238095233E-2"/>
    <n v="0"/>
    <s v="DOWN"/>
    <n v="6.6000000000000003E-2"/>
    <n v="3.7348322357976379E-3"/>
    <n v="-2.475667272801203E-2"/>
    <n v="0.42334565134305008"/>
    <n v="6.7300809334928352E-2"/>
    <n v="0"/>
    <x v="218"/>
    <n v="2"/>
    <x v="0"/>
    <x v="0"/>
    <n v="0"/>
    <n v="0"/>
    <n v="0"/>
    <x v="1"/>
    <x v="0"/>
    <s v="Normal"/>
    <s v="Allowed"/>
    <m/>
    <m/>
    <m/>
  </r>
  <r>
    <x v="0"/>
    <x v="1"/>
    <x v="2"/>
    <x v="5"/>
    <n v="9.4619666048237475E-2"/>
    <n v="0"/>
    <s v="DOWN"/>
    <n v="6.6000000000000003E-2"/>
    <n v="6.493506493506461E-3"/>
    <n v="-2.475667272801203E-2"/>
    <n v="0.42334565134305008"/>
    <n v="7.3817173088653029E-2"/>
    <n v="0"/>
    <x v="219"/>
    <n v="2"/>
    <x v="0"/>
    <x v="0"/>
    <n v="0"/>
    <n v="0"/>
    <n v="0"/>
    <x v="1"/>
    <x v="0"/>
    <s v="Normal"/>
    <s v="Allowed"/>
    <m/>
    <m/>
    <m/>
  </r>
  <r>
    <x v="0"/>
    <x v="1"/>
    <x v="2"/>
    <x v="6"/>
    <n v="0.1008174386920981"/>
    <n v="1"/>
    <s v="DOWN"/>
    <n v="6.6000000000000003E-2"/>
    <n v="-6.5501950098840689E-2"/>
    <n v="-2.475667272801203E-2"/>
    <n v="0.42334565134305008"/>
    <n v="-9.6245886172600589E-2"/>
    <n v="0"/>
    <x v="220"/>
    <n v="2"/>
    <x v="0"/>
    <x v="0"/>
    <n v="0"/>
    <n v="0"/>
    <n v="0"/>
    <x v="1"/>
    <x v="0"/>
    <s v="Normal"/>
    <s v="Allowed"/>
    <m/>
    <m/>
    <m/>
  </r>
  <r>
    <x v="0"/>
    <x v="1"/>
    <x v="2"/>
    <x v="7"/>
    <n v="9.329710144927536E-2"/>
    <n v="0"/>
    <s v="DOWN"/>
    <n v="6.6000000000000003E-2"/>
    <n v="7.4593615354484971E-2"/>
    <n v="-2.475667272801203E-2"/>
    <n v="0.42334565134305008"/>
    <n v="0.23467889127315114"/>
    <n v="0"/>
    <x v="221"/>
    <n v="3"/>
    <x v="1"/>
    <x v="0"/>
    <n v="1"/>
    <n v="0"/>
    <n v="0"/>
    <x v="0"/>
    <x v="0"/>
    <s v="Normal"/>
    <s v="Allowed"/>
    <m/>
    <m/>
    <m/>
  </r>
  <r>
    <x v="0"/>
    <x v="1"/>
    <x v="2"/>
    <x v="8"/>
    <n v="8.4095063985374766E-2"/>
    <n v="0"/>
    <s v="DOWN"/>
    <n v="6.6000000000000003E-2"/>
    <n v="9.8631547185885987E-2"/>
    <n v="-2.475667272801203E-2"/>
    <n v="0.42334565134305008"/>
    <n v="0.29145975522000278"/>
    <n v="0"/>
    <x v="222"/>
    <n v="3"/>
    <x v="0"/>
    <x v="0"/>
    <n v="0"/>
    <n v="0"/>
    <n v="0"/>
    <x v="0"/>
    <x v="0"/>
    <s v="Normal"/>
    <s v="Allowed"/>
    <m/>
    <m/>
    <m/>
  </r>
  <r>
    <x v="0"/>
    <x v="1"/>
    <x v="2"/>
    <x v="9"/>
    <n v="8.356290174471992E-2"/>
    <n v="0"/>
    <s v="DOWN"/>
    <n v="6.6000000000000003E-2"/>
    <n v="6.3281031660478429E-3"/>
    <n v="-2.475667272801203E-2"/>
    <n v="0.42334565134305008"/>
    <n v="7.3426467935703246E-2"/>
    <n v="0"/>
    <x v="223"/>
    <n v="3"/>
    <x v="0"/>
    <x v="0"/>
    <n v="0"/>
    <n v="0"/>
    <n v="0"/>
    <x v="1"/>
    <x v="0"/>
    <s v="Normal"/>
    <s v="Allowed"/>
    <m/>
    <m/>
    <m/>
  </r>
  <r>
    <x v="0"/>
    <x v="1"/>
    <x v="2"/>
    <x v="10"/>
    <n v="7.6853526220614823E-2"/>
    <n v="0"/>
    <s v="DOWN"/>
    <n v="6.6000000000000003E-2"/>
    <n v="8.0291318085169788E-2"/>
    <n v="-2.475667272801203E-2"/>
    <n v="0.42334565134305008"/>
    <n v="0.24813763996375196"/>
    <n v="0"/>
    <x v="224"/>
    <n v="3"/>
    <x v="0"/>
    <x v="0"/>
    <n v="0"/>
    <n v="0"/>
    <n v="0"/>
    <x v="0"/>
    <x v="0"/>
    <s v="Normal"/>
    <s v="Allowed"/>
    <m/>
    <m/>
    <m/>
  </r>
  <r>
    <x v="0"/>
    <x v="1"/>
    <x v="2"/>
    <x v="11"/>
    <n v="8.3848190644307152E-2"/>
    <n v="1"/>
    <s v="DOWN"/>
    <n v="6.6000000000000003E-2"/>
    <n v="-9.1012927677690786E-2"/>
    <n v="-2.475667272801203E-2"/>
    <n v="0.42334565134305008"/>
    <n v="-0.15650628449703682"/>
    <n v="0"/>
    <x v="225"/>
    <n v="3"/>
    <x v="0"/>
    <x v="0"/>
    <n v="0"/>
    <n v="0"/>
    <n v="0"/>
    <x v="1"/>
    <x v="0"/>
    <s v="Normal"/>
    <s v="Allowed"/>
    <m/>
    <m/>
    <m/>
  </r>
  <r>
    <x v="0"/>
    <x v="1"/>
    <x v="2"/>
    <x v="12"/>
    <n v="9.2657342657342656E-2"/>
    <n v="0"/>
    <s v="DOWN"/>
    <n v="6.6000000000000003E-2"/>
    <n v="-0.1050607287449392"/>
    <n v="-2.475667272801203E-2"/>
    <n v="0.42334565134305008"/>
    <n v="-0.18968910100331776"/>
    <n v="0"/>
    <x v="226"/>
    <n v="4"/>
    <x v="2"/>
    <x v="0"/>
    <n v="1"/>
    <n v="0"/>
    <n v="0"/>
    <x v="1"/>
    <x v="0"/>
    <s v="Normal"/>
    <s v="Allowed"/>
    <m/>
    <m/>
    <m/>
  </r>
  <r>
    <x v="0"/>
    <x v="1"/>
    <x v="2"/>
    <x v="13"/>
    <n v="7.5287865367581933E-2"/>
    <n v="0"/>
    <s v="DOWN"/>
    <n v="6.6000000000000003E-2"/>
    <n v="0.18745926433477611"/>
    <n v="-2.475667272801203E-2"/>
    <n v="0.42334565134305008"/>
    <n v="0.50128290296484701"/>
    <n v="-1"/>
    <x v="227"/>
    <n v="4"/>
    <x v="0"/>
    <x v="0"/>
    <n v="0"/>
    <n v="0"/>
    <n v="0"/>
    <x v="0"/>
    <x v="0"/>
    <s v="Normal"/>
    <s v="Allowed"/>
    <m/>
    <m/>
    <m/>
  </r>
  <r>
    <x v="0"/>
    <x v="1"/>
    <x v="2"/>
    <x v="14"/>
    <n v="6.8688670829616411E-2"/>
    <n v="0"/>
    <s v="DOWN"/>
    <n v="6.6000000000000003E-2"/>
    <n v="8.7652830980742044E-2"/>
    <n v="-2.475667272801203E-2"/>
    <n v="0.42334565134305008"/>
    <n v="0.26552653452831898"/>
    <n v="0"/>
    <x v="228"/>
    <n v="4"/>
    <x v="0"/>
    <x v="0"/>
    <n v="0"/>
    <n v="0"/>
    <n v="0"/>
    <x v="0"/>
    <x v="0"/>
    <s v="Normal"/>
    <s v="Allowed"/>
    <m/>
    <m/>
    <m/>
  </r>
  <r>
    <x v="0"/>
    <x v="1"/>
    <x v="2"/>
    <x v="15"/>
    <n v="5.7657657657657659E-2"/>
    <n v="0"/>
    <s v="DOWN"/>
    <n v="6.6000000000000003E-2"/>
    <n v="0.16059436059436061"/>
    <n v="-2.475667272801203E-2"/>
    <n v="0.42334565134305008"/>
    <n v="0.43782434692396771"/>
    <n v="0"/>
    <x v="229"/>
    <n v="4"/>
    <x v="0"/>
    <x v="0"/>
    <n v="0"/>
    <n v="0"/>
    <n v="0"/>
    <x v="0"/>
    <x v="1"/>
    <s v="Normal"/>
    <s v="Allowed"/>
    <m/>
    <m/>
    <m/>
  </r>
  <r>
    <x v="0"/>
    <x v="1"/>
    <x v="3"/>
    <x v="0"/>
    <n v="0.15573770491803279"/>
    <n v="0"/>
    <s v="UP"/>
    <n v="0.16400000000000001"/>
    <n v="2.0947176684881951E-2"/>
    <n v="2.6472445732452773E-2"/>
    <n v="0.13493378643970674"/>
    <n v="-4.0948002671219119E-2"/>
    <n v="0"/>
    <x v="230"/>
    <n v="0"/>
    <x v="0"/>
    <x v="0"/>
    <n v="0"/>
    <n v="0"/>
    <n v="0"/>
    <x v="0"/>
    <x v="0"/>
    <s v="Normal"/>
    <s v="Allowed"/>
    <m/>
    <m/>
    <m/>
  </r>
  <r>
    <x v="0"/>
    <x v="1"/>
    <x v="3"/>
    <x v="1"/>
    <n v="0.14399999999999999"/>
    <n v="0"/>
    <s v="UP"/>
    <n v="0.16400000000000001"/>
    <n v="-7.5368421052631682E-2"/>
    <n v="2.6472445732452773E-2"/>
    <n v="0.13493378643970674"/>
    <n v="-0.75474697236477994"/>
    <n v="1"/>
    <x v="231"/>
    <n v="0"/>
    <x v="0"/>
    <x v="1"/>
    <n v="0"/>
    <n v="1"/>
    <n v="1"/>
    <x v="1"/>
    <x v="0"/>
    <s v="Abnormal"/>
    <s v="Allowed"/>
    <m/>
    <m/>
    <m/>
  </r>
  <r>
    <x v="0"/>
    <x v="1"/>
    <x v="3"/>
    <x v="2"/>
    <n v="0.14399999999999999"/>
    <n v="0"/>
    <s v="UP"/>
    <n v="0.16400000000000001"/>
    <n v="0"/>
    <n v="2.6472445732452773E-2"/>
    <n v="0.13493378643970674"/>
    <n v="-0.19618841530309838"/>
    <n v="0"/>
    <x v="231"/>
    <n v="0"/>
    <x v="0"/>
    <x v="0"/>
    <n v="0"/>
    <n v="0"/>
    <n v="0"/>
    <x v="1"/>
    <x v="0"/>
    <s v="Normal"/>
    <s v="Allowed"/>
    <m/>
    <m/>
    <m/>
  </r>
  <r>
    <x v="0"/>
    <x v="1"/>
    <x v="3"/>
    <x v="3"/>
    <n v="0.133858268"/>
    <n v="0"/>
    <s v="UP"/>
    <n v="0.16400000000000001"/>
    <n v="-7.0428694444444356E-2"/>
    <n v="2.6472445732452773E-2"/>
    <n v="0.13493378643970674"/>
    <n v="-0.71813844948459993"/>
    <n v="1"/>
    <x v="232"/>
    <n v="0"/>
    <x v="0"/>
    <x v="1"/>
    <n v="0"/>
    <n v="1"/>
    <n v="1"/>
    <x v="1"/>
    <x v="0"/>
    <s v="Abnormal"/>
    <s v="Allowed"/>
    <m/>
    <m/>
    <m/>
  </r>
  <r>
    <x v="0"/>
    <x v="1"/>
    <x v="3"/>
    <x v="4"/>
    <n v="0.13178294573643409"/>
    <n v="0"/>
    <s v="UP"/>
    <n v="0.16400000000000001"/>
    <n v="-1.55038780538077E-2"/>
    <n v="2.6472445732452773E-2"/>
    <n v="0.13493378643970674"/>
    <n v="-0.31108831148836841"/>
    <n v="0"/>
    <x v="233"/>
    <n v="0"/>
    <x v="0"/>
    <x v="0"/>
    <n v="0"/>
    <n v="0"/>
    <n v="0"/>
    <x v="1"/>
    <x v="0"/>
    <s v="Normal"/>
    <s v="Allowed"/>
    <m/>
    <m/>
    <m/>
  </r>
  <r>
    <x v="0"/>
    <x v="1"/>
    <x v="3"/>
    <x v="5"/>
    <n v="0.1328125"/>
    <n v="0"/>
    <s v="UP"/>
    <n v="0.16400000000000001"/>
    <n v="7.8125000000001197E-3"/>
    <n v="2.6472445732452773E-2"/>
    <n v="0.13493378643970674"/>
    <n v="-0.13828964727667065"/>
    <n v="0"/>
    <x v="234"/>
    <n v="0"/>
    <x v="0"/>
    <x v="0"/>
    <n v="0"/>
    <n v="0"/>
    <n v="0"/>
    <x v="1"/>
    <x v="0"/>
    <s v="Normal"/>
    <s v="Allowed"/>
    <m/>
    <m/>
    <m/>
  </r>
  <r>
    <x v="0"/>
    <x v="1"/>
    <x v="3"/>
    <x v="6"/>
    <n v="0.1328125"/>
    <n v="1"/>
    <s v="UP"/>
    <n v="0.16400000000000001"/>
    <n v="0"/>
    <n v="2.6472445732452773E-2"/>
    <n v="0.13493378643970674"/>
    <n v="-0.19618841530309838"/>
    <n v="0"/>
    <x v="234"/>
    <n v="0"/>
    <x v="0"/>
    <x v="0"/>
    <n v="0"/>
    <n v="0"/>
    <n v="0"/>
    <x v="1"/>
    <x v="0"/>
    <s v="Normal"/>
    <s v="Allowed"/>
    <m/>
    <m/>
    <m/>
  </r>
  <r>
    <x v="0"/>
    <x v="1"/>
    <x v="3"/>
    <x v="7"/>
    <n v="0.14615384615384619"/>
    <n v="0"/>
    <s v="UP"/>
    <n v="0.16400000000000001"/>
    <n v="0.1004524886877831"/>
    <n v="2.6472445732452773E-2"/>
    <n v="0.13493378643970674"/>
    <n v="0.54826922824393776"/>
    <n v="-1"/>
    <x v="235"/>
    <n v="1"/>
    <x v="1"/>
    <x v="0"/>
    <n v="1"/>
    <n v="0"/>
    <n v="0"/>
    <x v="0"/>
    <x v="0"/>
    <s v="Normal"/>
    <s v="Allowed"/>
    <m/>
    <m/>
    <m/>
  </r>
  <r>
    <x v="0"/>
    <x v="1"/>
    <x v="3"/>
    <x v="8"/>
    <n v="0.15267175572519079"/>
    <n v="1"/>
    <s v="UP"/>
    <n v="0.16400000000000001"/>
    <n v="4.459622338288409E-2"/>
    <n v="2.6472445732452773E-2"/>
    <n v="0.13493378643970674"/>
    <n v="0.13431608293694233"/>
    <n v="0"/>
    <x v="236"/>
    <n v="1"/>
    <x v="0"/>
    <x v="0"/>
    <n v="0"/>
    <n v="0"/>
    <n v="0"/>
    <x v="0"/>
    <x v="0"/>
    <s v="Normal"/>
    <s v="Allowed"/>
    <m/>
    <m/>
    <m/>
  </r>
  <r>
    <x v="0"/>
    <x v="1"/>
    <x v="3"/>
    <x v="9"/>
    <n v="0.15037593984962411"/>
    <n v="0"/>
    <s v="UP"/>
    <n v="0.16400000000000001"/>
    <n v="-1.503759398496177E-2"/>
    <n v="2.6472445732452773E-2"/>
    <n v="0.13493378643970674"/>
    <n v="-0.3076326605268927"/>
    <n v="0"/>
    <x v="237"/>
    <n v="2"/>
    <x v="2"/>
    <x v="0"/>
    <n v="1"/>
    <n v="0"/>
    <n v="0"/>
    <x v="1"/>
    <x v="0"/>
    <s v="Normal"/>
    <s v="Allowed"/>
    <m/>
    <m/>
    <m/>
  </r>
  <r>
    <x v="0"/>
    <x v="1"/>
    <x v="3"/>
    <x v="10"/>
    <n v="0.15037593984962411"/>
    <n v="0"/>
    <s v="UP"/>
    <n v="0.16400000000000001"/>
    <n v="0"/>
    <n v="2.6472445732452773E-2"/>
    <n v="0.13493378643970674"/>
    <n v="-0.19618841530309838"/>
    <n v="0"/>
    <x v="237"/>
    <n v="2"/>
    <x v="0"/>
    <x v="0"/>
    <n v="0"/>
    <n v="0"/>
    <n v="0"/>
    <x v="1"/>
    <x v="0"/>
    <s v="Normal"/>
    <s v="Allowed"/>
    <m/>
    <m/>
    <m/>
  </r>
  <r>
    <x v="0"/>
    <x v="1"/>
    <x v="3"/>
    <x v="11"/>
    <n v="0.1470588235294118"/>
    <n v="0"/>
    <s v="UP"/>
    <n v="0.16400000000000001"/>
    <n v="-2.2058823529411849E-2"/>
    <n v="2.6472445732452773E-2"/>
    <n v="0.13493378643970674"/>
    <n v="-0.35966728973065715"/>
    <n v="0"/>
    <x v="238"/>
    <n v="2"/>
    <x v="0"/>
    <x v="0"/>
    <n v="0"/>
    <n v="0"/>
    <n v="0"/>
    <x v="1"/>
    <x v="0"/>
    <s v="Normal"/>
    <s v="Allowed"/>
    <m/>
    <m/>
    <m/>
  </r>
  <r>
    <x v="0"/>
    <x v="1"/>
    <x v="3"/>
    <x v="12"/>
    <n v="0.15328467153284669"/>
    <n v="0"/>
    <s v="UP"/>
    <n v="0.16400000000000001"/>
    <n v="4.2335766423357291E-2"/>
    <n v="2.6472445732452773E-2"/>
    <n v="0.13493378643970674"/>
    <n v="0.11756374077587171"/>
    <n v="0"/>
    <x v="239"/>
    <n v="2"/>
    <x v="0"/>
    <x v="0"/>
    <n v="0"/>
    <n v="0"/>
    <n v="0"/>
    <x v="0"/>
    <x v="0"/>
    <s v="Normal"/>
    <s v="Allowed"/>
    <m/>
    <m/>
    <m/>
  </r>
  <r>
    <x v="0"/>
    <x v="1"/>
    <x v="3"/>
    <x v="13"/>
    <n v="0.16666666666666671"/>
    <n v="0"/>
    <s v="UP"/>
    <n v="0.16400000000000001"/>
    <n v="8.7301587301587755E-2"/>
    <n v="2.6472445732452773E-2"/>
    <n v="0.13493378643970674"/>
    <n v="0.45080734169062708"/>
    <n v="0"/>
    <x v="240"/>
    <n v="2"/>
    <x v="0"/>
    <x v="0"/>
    <n v="0"/>
    <n v="0"/>
    <n v="0"/>
    <x v="0"/>
    <x v="1"/>
    <s v="Normal"/>
    <s v="Allowed"/>
    <m/>
    <m/>
    <m/>
  </r>
  <r>
    <x v="0"/>
    <x v="1"/>
    <x v="3"/>
    <x v="14"/>
    <n v="0.17164179104477609"/>
    <n v="0"/>
    <s v="UP"/>
    <n v="0.16400000000000001"/>
    <n v="2.9850746268656241E-2"/>
    <n v="2.6472445732452773E-2"/>
    <n v="0.13493378643970674"/>
    <n v="2.5036728200857342E-2"/>
    <n v="0"/>
    <x v="241"/>
    <n v="2"/>
    <x v="0"/>
    <x v="0"/>
    <n v="0"/>
    <n v="0"/>
    <n v="0"/>
    <x v="0"/>
    <x v="1"/>
    <s v="Normal"/>
    <s v="Allowed"/>
    <m/>
    <m/>
    <m/>
  </r>
  <r>
    <x v="0"/>
    <x v="1"/>
    <x v="3"/>
    <x v="15"/>
    <n v="0.1764705882352941"/>
    <n v="0"/>
    <s v="UP"/>
    <n v="0.16400000000000001"/>
    <n v="2.8132992327365821E-2"/>
    <n v="2.6472445732452773E-2"/>
    <n v="0.13493378643970674"/>
    <n v="1.2306381068280775E-2"/>
    <n v="0"/>
    <x v="242"/>
    <n v="2"/>
    <x v="0"/>
    <x v="0"/>
    <n v="0"/>
    <n v="0"/>
    <n v="0"/>
    <x v="0"/>
    <x v="1"/>
    <s v="Normal"/>
    <s v="Allowed"/>
    <m/>
    <m/>
    <m/>
  </r>
  <r>
    <x v="0"/>
    <x v="1"/>
    <x v="4"/>
    <x v="0"/>
    <n v="0.13626012145748989"/>
    <n v="0"/>
    <s v="DOWN"/>
    <n v="0.104"/>
    <n v="1.091885520988695E-2"/>
    <n v="1.7244519882342341E-3"/>
    <n v="8.3117651155014696E-2"/>
    <n v="0.11061914158889215"/>
    <n v="0"/>
    <x v="243"/>
    <n v="0"/>
    <x v="0"/>
    <x v="0"/>
    <n v="0"/>
    <n v="0"/>
    <n v="0"/>
    <x v="0"/>
    <x v="0"/>
    <s v="Normal"/>
    <s v="Allowed"/>
    <m/>
    <m/>
    <m/>
  </r>
  <r>
    <x v="0"/>
    <x v="1"/>
    <x v="4"/>
    <x v="1"/>
    <n v="0.13558255177188899"/>
    <n v="0"/>
    <s v="DOWN"/>
    <n v="0.104"/>
    <n v="4.9726191225529246E-3"/>
    <n v="1.7244519882342341E-3"/>
    <n v="8.3117651155014696E-2"/>
    <n v="3.9079149725499918E-2"/>
    <n v="0"/>
    <x v="244"/>
    <n v="0"/>
    <x v="0"/>
    <x v="0"/>
    <n v="0"/>
    <n v="0"/>
    <n v="0"/>
    <x v="1"/>
    <x v="0"/>
    <s v="Normal"/>
    <s v="Allowed"/>
    <m/>
    <m/>
    <m/>
  </r>
  <r>
    <x v="0"/>
    <x v="1"/>
    <x v="4"/>
    <x v="2"/>
    <n v="0.13774502116982909"/>
    <n v="1"/>
    <s v="DOWN"/>
    <n v="0.104"/>
    <n v="-1.5949466724732742E-2"/>
    <n v="1.7244519882342341E-3"/>
    <n v="8.3117651155014696E-2"/>
    <n v="-0.21263736964853658"/>
    <n v="0"/>
    <x v="245"/>
    <n v="0"/>
    <x v="0"/>
    <x v="0"/>
    <n v="0"/>
    <n v="0"/>
    <n v="0"/>
    <x v="1"/>
    <x v="0"/>
    <s v="Normal"/>
    <s v="Allowed"/>
    <m/>
    <m/>
    <m/>
  </r>
  <r>
    <x v="0"/>
    <x v="1"/>
    <x v="4"/>
    <x v="3"/>
    <n v="0.130043723"/>
    <n v="0"/>
    <s v="DOWN"/>
    <n v="0.104"/>
    <n v="5.5909811508424528E-2"/>
    <n v="1.7244519882342341E-3"/>
    <n v="8.3117651155014696E-2"/>
    <n v="0.6519115827651869"/>
    <n v="-1"/>
    <x v="246"/>
    <n v="1"/>
    <x v="1"/>
    <x v="0"/>
    <n v="1"/>
    <n v="0"/>
    <n v="0"/>
    <x v="0"/>
    <x v="0"/>
    <s v="Normal"/>
    <s v="Allowed"/>
    <m/>
    <m/>
    <m/>
  </r>
  <r>
    <x v="0"/>
    <x v="1"/>
    <x v="4"/>
    <x v="4"/>
    <n v="0.12861136999068029"/>
    <n v="0"/>
    <s v="DOWN"/>
    <n v="0.104"/>
    <n v="1.101439559154815E-2"/>
    <n v="1.7244519882342341E-3"/>
    <n v="8.3117651155014696E-2"/>
    <n v="0.11176860118421947"/>
    <n v="0"/>
    <x v="247"/>
    <n v="1"/>
    <x v="0"/>
    <x v="0"/>
    <n v="0"/>
    <n v="0"/>
    <n v="0"/>
    <x v="0"/>
    <x v="0"/>
    <s v="Normal"/>
    <s v="Allowed"/>
    <m/>
    <m/>
    <m/>
  </r>
  <r>
    <x v="0"/>
    <x v="1"/>
    <x v="4"/>
    <x v="5"/>
    <n v="0.13019287833827889"/>
    <n v="0"/>
    <s v="DOWN"/>
    <n v="0.104"/>
    <n v="-1.229680041284997E-2"/>
    <n v="1.7244519882342341E-3"/>
    <n v="8.3117651155014696E-2"/>
    <n v="-0.16869163416245392"/>
    <n v="0"/>
    <x v="248"/>
    <n v="1"/>
    <x v="0"/>
    <x v="0"/>
    <n v="0"/>
    <n v="0"/>
    <n v="0"/>
    <x v="1"/>
    <x v="0"/>
    <s v="Normal"/>
    <s v="Allowed"/>
    <m/>
    <m/>
    <m/>
  </r>
  <r>
    <x v="0"/>
    <x v="1"/>
    <x v="4"/>
    <x v="6"/>
    <n v="0.12616822429906541"/>
    <n v="0"/>
    <s v="DOWN"/>
    <n v="0.104"/>
    <n v="3.091301222142322E-2"/>
    <n v="1.7244519882342341E-3"/>
    <n v="8.3117651155014696E-2"/>
    <n v="0.35117162031867605"/>
    <n v="0"/>
    <x v="249"/>
    <n v="1"/>
    <x v="0"/>
    <x v="0"/>
    <n v="0"/>
    <n v="0"/>
    <n v="0"/>
    <x v="0"/>
    <x v="0"/>
    <s v="Normal"/>
    <s v="Allowed"/>
    <m/>
    <m/>
    <m/>
  </r>
  <r>
    <x v="0"/>
    <x v="1"/>
    <x v="4"/>
    <x v="7"/>
    <n v="0.1237566363580887"/>
    <n v="0"/>
    <s v="DOWN"/>
    <n v="0.104"/>
    <n v="1.9114067384037599E-2"/>
    <n v="1.7244519882342341E-3"/>
    <n v="8.3117651155014696E-2"/>
    <n v="0.20921687697083349"/>
    <n v="0"/>
    <x v="250"/>
    <n v="1"/>
    <x v="0"/>
    <x v="0"/>
    <n v="0"/>
    <n v="0"/>
    <n v="0"/>
    <x v="0"/>
    <x v="0"/>
    <s v="Normal"/>
    <s v="Allowed"/>
    <m/>
    <m/>
    <m/>
  </r>
  <r>
    <x v="0"/>
    <x v="1"/>
    <x v="4"/>
    <x v="8"/>
    <n v="0.1226420816400801"/>
    <n v="0"/>
    <s v="DOWN"/>
    <n v="0.104"/>
    <n v="9.0060198047371524E-3"/>
    <n v="1.7244519882342341E-3"/>
    <n v="8.3117651155014696E-2"/>
    <n v="8.7605553276797615E-2"/>
    <n v="0"/>
    <x v="251"/>
    <n v="1"/>
    <x v="0"/>
    <x v="0"/>
    <n v="0"/>
    <n v="0"/>
    <n v="0"/>
    <x v="1"/>
    <x v="0"/>
    <s v="Normal"/>
    <s v="Allowed"/>
    <m/>
    <m/>
    <m/>
  </r>
  <r>
    <x v="0"/>
    <x v="1"/>
    <x v="4"/>
    <x v="9"/>
    <n v="0.1259120786347464"/>
    <n v="0"/>
    <s v="DOWN"/>
    <n v="0.104"/>
    <n v="-2.666292801734093E-2"/>
    <n v="1.7244519882342341E-3"/>
    <n v="8.3117651155014696E-2"/>
    <n v="-0.34153250977500077"/>
    <n v="0"/>
    <x v="252"/>
    <n v="1"/>
    <x v="0"/>
    <x v="0"/>
    <n v="0"/>
    <n v="0"/>
    <n v="0"/>
    <x v="1"/>
    <x v="0"/>
    <s v="Normal"/>
    <s v="Allowed"/>
    <m/>
    <m/>
    <m/>
  </r>
  <r>
    <x v="0"/>
    <x v="1"/>
    <x v="4"/>
    <x v="10"/>
    <n v="0.12263981298327641"/>
    <n v="0"/>
    <s v="DOWN"/>
    <n v="0.104"/>
    <n v="2.5988496790386499E-2"/>
    <n v="1.7244519882342341E-3"/>
    <n v="8.3117651155014696E-2"/>
    <n v="0.29192409151336268"/>
    <n v="0"/>
    <x v="253"/>
    <n v="1"/>
    <x v="0"/>
    <x v="0"/>
    <n v="0"/>
    <n v="0"/>
    <n v="0"/>
    <x v="0"/>
    <x v="0"/>
    <s v="Normal"/>
    <s v="Allowed"/>
    <m/>
    <m/>
    <m/>
  </r>
  <r>
    <x v="0"/>
    <x v="1"/>
    <x v="4"/>
    <x v="11"/>
    <n v="0.1208221626452189"/>
    <n v="0"/>
    <s v="DOWN"/>
    <n v="0.104"/>
    <n v="1.482104623158031E-2"/>
    <n v="1.7244519882342341E-3"/>
    <n v="8.3117651155014696E-2"/>
    <n v="0.15756694349941247"/>
    <n v="0"/>
    <x v="254"/>
    <n v="1"/>
    <x v="0"/>
    <x v="0"/>
    <n v="0"/>
    <n v="0"/>
    <n v="0"/>
    <x v="0"/>
    <x v="0"/>
    <s v="Normal"/>
    <s v="Allowed"/>
    <m/>
    <m/>
    <m/>
  </r>
  <r>
    <x v="0"/>
    <x v="1"/>
    <x v="4"/>
    <x v="12"/>
    <n v="0.12092113452476221"/>
    <n v="0"/>
    <s v="DOWN"/>
    <n v="0.104"/>
    <n v="-8.1915335213724556E-4"/>
    <n v="1.7244519882342341E-3"/>
    <n v="8.3117651155014696E-2"/>
    <n v="-3.0602468970491566E-2"/>
    <n v="0"/>
    <x v="255"/>
    <n v="1"/>
    <x v="0"/>
    <x v="0"/>
    <n v="0"/>
    <n v="0"/>
    <n v="0"/>
    <x v="1"/>
    <x v="0"/>
    <s v="Normal"/>
    <s v="Allowed"/>
    <m/>
    <m/>
    <m/>
  </r>
  <r>
    <x v="0"/>
    <x v="1"/>
    <x v="4"/>
    <x v="13"/>
    <n v="0.1210119714572153"/>
    <n v="0"/>
    <s v="DOWN"/>
    <n v="0.104"/>
    <n v="-7.5120807301469862E-4"/>
    <n v="1.7244519882342341E-3"/>
    <n v="8.3117651155014696E-2"/>
    <n v="-2.9785009884745403E-2"/>
    <n v="0"/>
    <x v="256"/>
    <n v="1"/>
    <x v="0"/>
    <x v="0"/>
    <n v="0"/>
    <n v="0"/>
    <n v="0"/>
    <x v="1"/>
    <x v="0"/>
    <s v="Normal"/>
    <s v="Allowed"/>
    <m/>
    <m/>
    <m/>
  </r>
  <r>
    <x v="0"/>
    <x v="1"/>
    <x v="4"/>
    <x v="14"/>
    <n v="0.1185888976862849"/>
    <n v="0"/>
    <s v="DOWN"/>
    <n v="0.104"/>
    <n v="2.0023421994964329E-2"/>
    <n v="1.7244519882342341E-3"/>
    <n v="8.3117651155014696E-2"/>
    <n v="0.22015744853764518"/>
    <n v="0"/>
    <x v="257"/>
    <n v="1"/>
    <x v="0"/>
    <x v="0"/>
    <n v="0"/>
    <n v="0"/>
    <n v="0"/>
    <x v="0"/>
    <x v="0"/>
    <s v="Normal"/>
    <s v="Allowed"/>
    <m/>
    <m/>
    <m/>
  </r>
  <r>
    <x v="0"/>
    <x v="1"/>
    <x v="4"/>
    <x v="15"/>
    <n v="0.1191449597009695"/>
    <n v="0"/>
    <s v="DOWN"/>
    <n v="0.104"/>
    <n v="-4.6889888137387316E-3"/>
    <n v="1.7244519882342341E-3"/>
    <n v="8.3117651155014696E-2"/>
    <n v="-7.7160996645729049E-2"/>
    <n v="0"/>
    <x v="258"/>
    <n v="1"/>
    <x v="0"/>
    <x v="0"/>
    <n v="0"/>
    <n v="0"/>
    <n v="0"/>
    <x v="1"/>
    <x v="0"/>
    <s v="Normal"/>
    <s v="Allowed"/>
    <m/>
    <m/>
    <m/>
  </r>
  <r>
    <x v="0"/>
    <x v="1"/>
    <x v="5"/>
    <x v="0"/>
    <n v="0.14545454545454539"/>
    <n v="1"/>
    <s v="DOWN"/>
    <n v="0.1"/>
    <n v="-3.8567493112947491E-3"/>
    <n v="-3.0570725046180952E-3"/>
    <n v="0.17799866497296365"/>
    <n v="-4.4926000248266887E-3"/>
    <n v="0"/>
    <x v="259"/>
    <n v="0"/>
    <x v="0"/>
    <x v="0"/>
    <n v="0"/>
    <n v="0"/>
    <n v="0"/>
    <x v="1"/>
    <x v="0"/>
    <s v="Normal"/>
    <s v="Allowed"/>
    <m/>
    <m/>
    <m/>
  </r>
  <r>
    <x v="0"/>
    <x v="1"/>
    <x v="5"/>
    <x v="1"/>
    <n v="0.14309484193011651"/>
    <n v="0"/>
    <s v="DOWN"/>
    <n v="0.1"/>
    <n v="1.622296173044856E-2"/>
    <n v="-3.0570725046180952E-3"/>
    <n v="0.17799866497296365"/>
    <n v="0.10831561145694611"/>
    <n v="0"/>
    <x v="260"/>
    <n v="1"/>
    <x v="1"/>
    <x v="0"/>
    <n v="1"/>
    <n v="0"/>
    <n v="0"/>
    <x v="0"/>
    <x v="0"/>
    <s v="Normal"/>
    <s v="Allowed"/>
    <m/>
    <m/>
    <m/>
  </r>
  <r>
    <x v="0"/>
    <x v="1"/>
    <x v="5"/>
    <x v="2"/>
    <n v="0.13735343383584589"/>
    <n v="0"/>
    <s v="DOWN"/>
    <n v="0.1"/>
    <n v="4.0123096100658638E-2"/>
    <n v="-3.0570725046180952E-3"/>
    <n v="0.17799866497296365"/>
    <n v="0.24258703632319603"/>
    <n v="0"/>
    <x v="261"/>
    <n v="1"/>
    <x v="0"/>
    <x v="0"/>
    <n v="0"/>
    <n v="0"/>
    <n v="0"/>
    <x v="0"/>
    <x v="0"/>
    <s v="Normal"/>
    <s v="Allowed"/>
    <m/>
    <m/>
    <m/>
  </r>
  <r>
    <x v="0"/>
    <x v="1"/>
    <x v="5"/>
    <x v="3"/>
    <n v="0.12808988800000001"/>
    <n v="0"/>
    <s v="DOWN"/>
    <n v="0.1"/>
    <n v="6.7443132487804744E-2"/>
    <n v="-3.0570725046180952E-3"/>
    <n v="0.17799866497296365"/>
    <n v="0.39607153796985589"/>
    <n v="0"/>
    <x v="262"/>
    <n v="1"/>
    <x v="0"/>
    <x v="0"/>
    <n v="0"/>
    <n v="0"/>
    <n v="0"/>
    <x v="0"/>
    <x v="0"/>
    <s v="Normal"/>
    <s v="Allowed"/>
    <m/>
    <m/>
    <m/>
  </r>
  <r>
    <x v="0"/>
    <x v="1"/>
    <x v="5"/>
    <x v="4"/>
    <n v="0.12841453111799489"/>
    <n v="1"/>
    <s v="DOWN"/>
    <n v="0.1"/>
    <n v="-2.5344945105649341E-3"/>
    <n v="-3.0570725046180952E-3"/>
    <n v="0.17799866497296365"/>
    <n v="2.9358534466117255E-3"/>
    <n v="0"/>
    <x v="263"/>
    <n v="1"/>
    <x v="0"/>
    <x v="0"/>
    <n v="0"/>
    <n v="0"/>
    <n v="0"/>
    <x v="1"/>
    <x v="0"/>
    <s v="Normal"/>
    <s v="Allowed"/>
    <m/>
    <m/>
    <m/>
  </r>
  <r>
    <x v="0"/>
    <x v="1"/>
    <x v="5"/>
    <x v="5"/>
    <n v="0.12870448772226931"/>
    <n v="0"/>
    <s v="DOWN"/>
    <n v="0.1"/>
    <n v="-2.2579734688123951E-3"/>
    <n v="-3.0570725046180952E-3"/>
    <n v="0.17799866497296365"/>
    <n v="4.4893540967123318E-3"/>
    <n v="0"/>
    <x v="264"/>
    <n v="2"/>
    <x v="2"/>
    <x v="0"/>
    <n v="1"/>
    <n v="0"/>
    <n v="0"/>
    <x v="1"/>
    <x v="0"/>
    <s v="Normal"/>
    <s v="Allowed"/>
    <m/>
    <m/>
    <m/>
  </r>
  <r>
    <x v="0"/>
    <x v="1"/>
    <x v="5"/>
    <x v="6"/>
    <n v="0.12545916925685219"/>
    <n v="0"/>
    <s v="DOWN"/>
    <n v="0.1"/>
    <n v="2.521527044511589E-2"/>
    <n v="-3.0570725046180952E-3"/>
    <n v="0.17799866497296365"/>
    <n v="0.15883457864152123"/>
    <n v="0"/>
    <x v="265"/>
    <n v="2"/>
    <x v="0"/>
    <x v="0"/>
    <n v="0"/>
    <n v="0"/>
    <n v="0"/>
    <x v="0"/>
    <x v="0"/>
    <s v="Normal"/>
    <s v="Allowed"/>
    <m/>
    <m/>
    <m/>
  </r>
  <r>
    <x v="0"/>
    <x v="1"/>
    <x v="5"/>
    <x v="7"/>
    <n v="0.11548259269742429"/>
    <n v="0"/>
    <s v="DOWN"/>
    <n v="0.1"/>
    <n v="7.9520505504088568E-2"/>
    <n v="-3.0570725046180952E-3"/>
    <n v="0.17799866497296365"/>
    <n v="0.46392245706589669"/>
    <n v="0"/>
    <x v="266"/>
    <n v="2"/>
    <x v="0"/>
    <x v="0"/>
    <n v="0"/>
    <n v="0"/>
    <n v="0"/>
    <x v="0"/>
    <x v="0"/>
    <s v="Normal"/>
    <s v="Allowed"/>
    <m/>
    <m/>
    <m/>
  </r>
  <r>
    <x v="0"/>
    <x v="1"/>
    <x v="5"/>
    <x v="8"/>
    <n v="0.1055019852524107"/>
    <n v="0"/>
    <s v="DOWN"/>
    <n v="0.1"/>
    <n v="8.6425211037335872E-2"/>
    <n v="-3.0570725046180952E-3"/>
    <n v="0.17799866497296365"/>
    <n v="0.50271322852643585"/>
    <n v="-1"/>
    <x v="267"/>
    <n v="2"/>
    <x v="0"/>
    <x v="0"/>
    <n v="0"/>
    <n v="0"/>
    <n v="0"/>
    <x v="0"/>
    <x v="0"/>
    <s v="Normal"/>
    <s v="Allowed"/>
    <m/>
    <m/>
    <m/>
  </r>
  <r>
    <x v="0"/>
    <x v="1"/>
    <x v="5"/>
    <x v="9"/>
    <n v="0.1087818696883853"/>
    <n v="0"/>
    <s v="DOWN"/>
    <n v="0.1"/>
    <n v="-3.1088366992597951E-2"/>
    <n v="-3.0570725046180952E-3"/>
    <n v="0.17799866497296365"/>
    <n v="-0.15748036364338772"/>
    <n v="0"/>
    <x v="268"/>
    <n v="2"/>
    <x v="0"/>
    <x v="0"/>
    <n v="0"/>
    <n v="0"/>
    <n v="0"/>
    <x v="1"/>
    <x v="0"/>
    <s v="Normal"/>
    <s v="Allowed"/>
    <m/>
    <m/>
    <m/>
  </r>
  <r>
    <x v="0"/>
    <x v="1"/>
    <x v="5"/>
    <x v="10"/>
    <n v="8.2317073170731711E-2"/>
    <n v="0"/>
    <s v="DOWN"/>
    <n v="0.1"/>
    <n v="0.24328315548780499"/>
    <n v="-3.0570725046180952E-3"/>
    <n v="0.17799866497296365"/>
    <n v="1.3839442449180159"/>
    <n v="-1"/>
    <x v="269"/>
    <n v="2"/>
    <x v="0"/>
    <x v="0"/>
    <n v="0"/>
    <n v="0"/>
    <n v="0"/>
    <x v="0"/>
    <x v="1"/>
    <s v="Normal"/>
    <s v="Allowed"/>
    <m/>
    <m/>
    <m/>
  </r>
  <r>
    <x v="0"/>
    <x v="1"/>
    <x v="5"/>
    <x v="11"/>
    <n v="0.10818933132982721"/>
    <n v="0"/>
    <s v="DOWN"/>
    <n v="0.1"/>
    <n v="-0.31430002504382681"/>
    <n v="-3.0570725046180952E-3"/>
    <n v="0.17799866497296365"/>
    <n v="-1.7485690276749188"/>
    <n v="1"/>
    <x v="270"/>
    <n v="2"/>
    <x v="0"/>
    <x v="1"/>
    <n v="0"/>
    <n v="1"/>
    <n v="1"/>
    <x v="1"/>
    <x v="0"/>
    <s v="Abnormal"/>
    <s v="Allowed"/>
    <m/>
    <m/>
    <m/>
  </r>
  <r>
    <x v="0"/>
    <x v="1"/>
    <x v="5"/>
    <x v="12"/>
    <n v="0.1123778501628664"/>
    <n v="0"/>
    <s v="DOWN"/>
    <n v="0.1"/>
    <n v="-3.8714712269272013E-2"/>
    <n v="-3.0570725046180952E-3"/>
    <n v="0.17799866497296365"/>
    <n v="-0.20032532137288769"/>
    <n v="0"/>
    <x v="271"/>
    <n v="2"/>
    <x v="0"/>
    <x v="0"/>
    <n v="0"/>
    <n v="0"/>
    <n v="0"/>
    <x v="1"/>
    <x v="0"/>
    <s v="Normal"/>
    <s v="Allowed"/>
    <m/>
    <m/>
    <m/>
  </r>
  <r>
    <x v="0"/>
    <x v="1"/>
    <x v="5"/>
    <x v="13"/>
    <n v="0.1107742065898524"/>
    <n v="0"/>
    <s v="DOWN"/>
    <n v="0.1"/>
    <n v="1.427010367870429E-2"/>
    <n v="-3.0570725046180952E-3"/>
    <n v="0.17799866497296365"/>
    <n v="9.7344416521068969E-2"/>
    <n v="0"/>
    <x v="272"/>
    <n v="2"/>
    <x v="0"/>
    <x v="0"/>
    <n v="0"/>
    <n v="0"/>
    <n v="0"/>
    <x v="0"/>
    <x v="0"/>
    <s v="Normal"/>
    <s v="Allowed"/>
    <m/>
    <m/>
    <m/>
  </r>
  <r>
    <x v="0"/>
    <x v="1"/>
    <x v="5"/>
    <x v="14"/>
    <n v="0.1083032490974729"/>
    <n v="0"/>
    <s v="DOWN"/>
    <n v="0.1"/>
    <n v="2.2306253129199691E-2"/>
    <n v="-3.0570725046180952E-3"/>
    <n v="0.17799866497296365"/>
    <n v="0.14249166215752371"/>
    <n v="0"/>
    <x v="273"/>
    <n v="2"/>
    <x v="0"/>
    <x v="0"/>
    <n v="0"/>
    <n v="0"/>
    <n v="0"/>
    <x v="0"/>
    <x v="0"/>
    <s v="Normal"/>
    <s v="Allowed"/>
    <m/>
    <m/>
    <m/>
  </r>
  <r>
    <x v="0"/>
    <x v="1"/>
    <x v="5"/>
    <x v="15"/>
    <n v="0.1090836174052537"/>
    <n v="0"/>
    <s v="DOWN"/>
    <n v="0.1"/>
    <n v="-7.2054007085094289E-3"/>
    <n v="-3.0570725046180952E-3"/>
    <n v="0.17799866497296365"/>
    <n v="-2.3305389422563515E-2"/>
    <n v="0"/>
    <x v="274"/>
    <n v="2"/>
    <x v="0"/>
    <x v="0"/>
    <n v="0"/>
    <n v="0"/>
    <n v="0"/>
    <x v="1"/>
    <x v="0"/>
    <s v="Normal"/>
    <s v="Allowed"/>
    <m/>
    <m/>
    <m/>
  </r>
  <r>
    <x v="1"/>
    <x v="1"/>
    <x v="6"/>
    <x v="0"/>
    <n v="0.66300000000000003"/>
    <n v="0"/>
    <s v="DOWN"/>
    <n v="0.59"/>
    <n v="-6.7632850241545958E-2"/>
    <n v="-4.8849805534298088E-2"/>
    <n v="0.44966933193859487"/>
    <n v="-4.1770793276631128E-2"/>
    <n v="0"/>
    <x v="275"/>
    <n v="0"/>
    <x v="0"/>
    <x v="0"/>
    <n v="0"/>
    <n v="0"/>
    <n v="0"/>
    <x v="1"/>
    <x v="0"/>
    <s v="Normal"/>
    <s v="Allowed"/>
    <m/>
    <m/>
    <m/>
  </r>
  <r>
    <x v="1"/>
    <x v="1"/>
    <x v="6"/>
    <x v="1"/>
    <n v="0.7"/>
    <n v="1"/>
    <s v="DOWN"/>
    <n v="0.59"/>
    <n v="-5.5806938159879207E-2"/>
    <n v="-4.8849805534298088E-2"/>
    <n v="0.44966933193859487"/>
    <n v="-1.5471663579074499E-2"/>
    <n v="0"/>
    <x v="276"/>
    <n v="0"/>
    <x v="0"/>
    <x v="0"/>
    <n v="0"/>
    <n v="0"/>
    <n v="0"/>
    <x v="1"/>
    <x v="0"/>
    <s v="Normal"/>
    <s v="Allowed"/>
    <m/>
    <m/>
    <m/>
  </r>
  <r>
    <x v="1"/>
    <x v="1"/>
    <x v="6"/>
    <x v="2"/>
    <n v="0.68"/>
    <n v="0"/>
    <s v="DOWN"/>
    <n v="0.59"/>
    <n v="2.8571428571428439E-2"/>
    <n v="-4.8849805534298088E-2"/>
    <n v="0.44966933193859487"/>
    <n v="0.1721737032231028"/>
    <n v="0"/>
    <x v="277"/>
    <n v="1"/>
    <x v="1"/>
    <x v="0"/>
    <n v="1"/>
    <n v="0"/>
    <n v="0"/>
    <x v="0"/>
    <x v="0"/>
    <s v="Normal"/>
    <s v="Allowed"/>
    <m/>
    <m/>
    <m/>
  </r>
  <r>
    <x v="1"/>
    <x v="1"/>
    <x v="6"/>
    <x v="3"/>
    <n v="0.69"/>
    <n v="0"/>
    <s v="DOWN"/>
    <n v="0.59"/>
    <n v="-1.4705882352941031E-2"/>
    <n v="-4.8849805534298088E-2"/>
    <n v="0.44966933193859487"/>
    <n v="7.5931180439095691E-2"/>
    <n v="0"/>
    <x v="278"/>
    <n v="1"/>
    <x v="0"/>
    <x v="0"/>
    <n v="0"/>
    <n v="0"/>
    <n v="0"/>
    <x v="1"/>
    <x v="0"/>
    <s v="Normal"/>
    <s v="Allowed"/>
    <m/>
    <m/>
    <m/>
  </r>
  <r>
    <x v="1"/>
    <x v="1"/>
    <x v="6"/>
    <x v="4"/>
    <n v="0.7"/>
    <n v="1"/>
    <s v="DOWN"/>
    <n v="0.59"/>
    <n v="-1.449275362318842E-2"/>
    <n v="-4.8849805534298088E-2"/>
    <n v="0.44966933193859487"/>
    <n v="7.6405148118487504E-2"/>
    <n v="0"/>
    <x v="276"/>
    <n v="1"/>
    <x v="0"/>
    <x v="0"/>
    <n v="0"/>
    <n v="0"/>
    <n v="0"/>
    <x v="1"/>
    <x v="0"/>
    <s v="Normal"/>
    <s v="Allowed"/>
    <m/>
    <m/>
    <m/>
  </r>
  <r>
    <x v="1"/>
    <x v="1"/>
    <x v="6"/>
    <x v="5"/>
    <n v="0.74"/>
    <n v="0"/>
    <s v="DOWN"/>
    <n v="0.59"/>
    <n v="-5.7142857142857197E-2"/>
    <n v="-4.8849805534298088E-2"/>
    <n v="0.44966933193859487"/>
    <n v="-1.8442555494737577E-2"/>
    <n v="0"/>
    <x v="279"/>
    <n v="2"/>
    <x v="2"/>
    <x v="0"/>
    <n v="1"/>
    <n v="0"/>
    <n v="0"/>
    <x v="1"/>
    <x v="0"/>
    <s v="Normal"/>
    <s v="Allowed"/>
    <m/>
    <m/>
    <m/>
  </r>
  <r>
    <x v="1"/>
    <x v="1"/>
    <x v="6"/>
    <x v="6"/>
    <n v="0.79"/>
    <n v="0"/>
    <s v="DOWN"/>
    <n v="0.59"/>
    <n v="-6.7567567567567627E-2"/>
    <n v="-4.8849805534298088E-2"/>
    <n v="0.44966933193859487"/>
    <n v="-4.1625613987447928E-2"/>
    <n v="0"/>
    <x v="280"/>
    <n v="2"/>
    <x v="0"/>
    <x v="0"/>
    <n v="0"/>
    <n v="0"/>
    <n v="0"/>
    <x v="1"/>
    <x v="0"/>
    <s v="Normal"/>
    <s v="Allowed"/>
    <m/>
    <m/>
    <m/>
  </r>
  <r>
    <x v="1"/>
    <x v="1"/>
    <x v="6"/>
    <x v="7"/>
    <n v="0.7"/>
    <n v="0"/>
    <s v="DOWN"/>
    <n v="0.59"/>
    <n v="0.1139240506329115"/>
    <n v="-4.8849805534298088E-2"/>
    <n v="0.44966933193859487"/>
    <n v="0.36198567392947611"/>
    <n v="0"/>
    <x v="276"/>
    <n v="2"/>
    <x v="0"/>
    <x v="0"/>
    <n v="0"/>
    <n v="0"/>
    <n v="0"/>
    <x v="0"/>
    <x v="0"/>
    <s v="Normal"/>
    <s v="Allowed"/>
    <m/>
    <m/>
    <m/>
  </r>
  <r>
    <x v="1"/>
    <x v="1"/>
    <x v="6"/>
    <x v="8"/>
    <n v="0.78"/>
    <n v="0"/>
    <s v="DOWN"/>
    <n v="0.59"/>
    <n v="-0.11428571428571439"/>
    <n v="-4.8849805534298088E-2"/>
    <n v="0.44966933193859487"/>
    <n v="-0.14552006130663139"/>
    <n v="0"/>
    <x v="281"/>
    <n v="2"/>
    <x v="0"/>
    <x v="0"/>
    <n v="0"/>
    <n v="0"/>
    <n v="0"/>
    <x v="1"/>
    <x v="0"/>
    <s v="Normal"/>
    <s v="Allowed"/>
    <m/>
    <m/>
    <m/>
  </r>
  <r>
    <x v="1"/>
    <x v="1"/>
    <x v="6"/>
    <x v="9"/>
    <n v="0.69"/>
    <n v="0"/>
    <s v="DOWN"/>
    <n v="0.59"/>
    <n v="0.1153846153846155"/>
    <n v="-4.8849805534298088E-2"/>
    <n v="0.44966933193859487"/>
    <n v="0.36523376012963416"/>
    <n v="0"/>
    <x v="278"/>
    <n v="2"/>
    <x v="0"/>
    <x v="0"/>
    <n v="0"/>
    <n v="0"/>
    <n v="0"/>
    <x v="0"/>
    <x v="0"/>
    <s v="Normal"/>
    <s v="Allowed"/>
    <m/>
    <m/>
    <m/>
  </r>
  <r>
    <x v="1"/>
    <x v="1"/>
    <x v="6"/>
    <x v="10"/>
    <n v="0.7"/>
    <n v="0"/>
    <s v="DOWN"/>
    <n v="0.59"/>
    <n v="-1.449275362318842E-2"/>
    <n v="-4.8849805534298088E-2"/>
    <n v="0.44966933193859487"/>
    <n v="7.6405148118487504E-2"/>
    <n v="0"/>
    <x v="276"/>
    <n v="2"/>
    <x v="0"/>
    <x v="0"/>
    <n v="0"/>
    <n v="0"/>
    <n v="0"/>
    <x v="1"/>
    <x v="0"/>
    <s v="Normal"/>
    <s v="Allowed"/>
    <m/>
    <m/>
    <m/>
  </r>
  <r>
    <x v="1"/>
    <x v="1"/>
    <x v="6"/>
    <x v="11"/>
    <n v="0.75"/>
    <n v="0"/>
    <s v="DOWN"/>
    <n v="0.59"/>
    <n v="-7.1428571428571494E-2"/>
    <n v="-4.8849805534298088E-2"/>
    <n v="0.44966933193859487"/>
    <n v="-5.0211931947711029E-2"/>
    <n v="0"/>
    <x v="282"/>
    <n v="2"/>
    <x v="0"/>
    <x v="0"/>
    <n v="0"/>
    <n v="0"/>
    <n v="0"/>
    <x v="1"/>
    <x v="0"/>
    <s v="Normal"/>
    <s v="Allowed"/>
    <m/>
    <m/>
    <m/>
  </r>
  <r>
    <x v="1"/>
    <x v="1"/>
    <x v="6"/>
    <x v="12"/>
    <n v="0.62"/>
    <n v="0"/>
    <s v="DOWN"/>
    <n v="0.59"/>
    <n v="0.17333333333333331"/>
    <n v="-4.8849805534298088E-2"/>
    <n v="0.44966933193859487"/>
    <n v="0.49410338461323372"/>
    <n v="0"/>
    <x v="97"/>
    <n v="2"/>
    <x v="0"/>
    <x v="0"/>
    <n v="0"/>
    <n v="0"/>
    <n v="0"/>
    <x v="0"/>
    <x v="0"/>
    <s v="Normal"/>
    <s v="Allowed"/>
    <m/>
    <m/>
    <m/>
  </r>
  <r>
    <x v="1"/>
    <x v="1"/>
    <x v="6"/>
    <x v="13"/>
    <n v="0.65"/>
    <n v="0"/>
    <s v="DOWN"/>
    <n v="0.59"/>
    <n v="-4.8387096774193589E-2"/>
    <n v="-4.8849805534298088E-2"/>
    <n v="0.44966933193859487"/>
    <n v="1.0289978151493888E-3"/>
    <n v="0"/>
    <x v="283"/>
    <n v="2"/>
    <x v="0"/>
    <x v="0"/>
    <n v="0"/>
    <n v="0"/>
    <n v="0"/>
    <x v="1"/>
    <x v="0"/>
    <s v="Normal"/>
    <s v="Allowed"/>
    <m/>
    <m/>
    <m/>
  </r>
  <r>
    <x v="1"/>
    <x v="1"/>
    <x v="6"/>
    <x v="14"/>
    <n v="0.61"/>
    <n v="0"/>
    <s v="DOWN"/>
    <n v="0.59"/>
    <n v="6.153846153846159E-2"/>
    <n v="-4.8849805534298088E-2"/>
    <n v="0.44966933193859487"/>
    <n v="0.24548764888381108"/>
    <n v="0"/>
    <x v="95"/>
    <n v="2"/>
    <x v="0"/>
    <x v="0"/>
    <n v="0"/>
    <n v="0"/>
    <n v="0"/>
    <x v="0"/>
    <x v="0"/>
    <s v="Normal"/>
    <s v="Allowed"/>
    <m/>
    <m/>
    <m/>
  </r>
  <r>
    <x v="1"/>
    <x v="1"/>
    <x v="7"/>
    <x v="0"/>
    <n v="0.79300000000000004"/>
    <n v="0"/>
    <s v="DOWN"/>
    <n v="0.56999999999999995"/>
    <n v="-5.1724137931034531E-2"/>
    <n v="-2.6703176088529658E-2"/>
    <n v="0.34089784338901952"/>
    <n v="-7.339724297977418E-2"/>
    <n v="0"/>
    <x v="284"/>
    <n v="0"/>
    <x v="0"/>
    <x v="0"/>
    <n v="0"/>
    <n v="0"/>
    <n v="0"/>
    <x v="1"/>
    <x v="0"/>
    <s v="Normal"/>
    <s v="Allowed"/>
    <m/>
    <m/>
    <m/>
  </r>
  <r>
    <x v="1"/>
    <x v="1"/>
    <x v="7"/>
    <x v="1"/>
    <n v="0.79500000000000004"/>
    <n v="0"/>
    <s v="DOWN"/>
    <n v="0.56999999999999995"/>
    <n v="-2.5220680958385898E-3"/>
    <n v="-2.6703176088529658E-2"/>
    <n v="0.34089784338901952"/>
    <n v="7.0933590404373775E-2"/>
    <n v="0"/>
    <x v="285"/>
    <n v="0"/>
    <x v="0"/>
    <x v="0"/>
    <n v="0"/>
    <n v="0"/>
    <n v="0"/>
    <x v="1"/>
    <x v="0"/>
    <s v="Normal"/>
    <s v="Allowed"/>
    <m/>
    <m/>
    <m/>
  </r>
  <r>
    <x v="1"/>
    <x v="1"/>
    <x v="7"/>
    <x v="2"/>
    <n v="0.88500000000000001"/>
    <n v="0"/>
    <s v="DOWN"/>
    <n v="0.56999999999999995"/>
    <n v="-0.1132075471698113"/>
    <n v="-2.6703176088529658E-2"/>
    <n v="0.34089784338901952"/>
    <n v="-0.25375452722523145"/>
    <n v="0"/>
    <x v="286"/>
    <n v="0"/>
    <x v="0"/>
    <x v="0"/>
    <n v="0"/>
    <n v="0"/>
    <n v="0"/>
    <x v="1"/>
    <x v="0"/>
    <s v="Normal"/>
    <s v="Allowed"/>
    <m/>
    <m/>
    <m/>
  </r>
  <r>
    <x v="1"/>
    <x v="1"/>
    <x v="7"/>
    <x v="3"/>
    <n v="0.83799999999999997"/>
    <n v="0"/>
    <s v="DOWN"/>
    <n v="0.56999999999999995"/>
    <n v="5.3107344632768408E-2"/>
    <n v="-2.6703176088529658E-2"/>
    <n v="0.34089784338901952"/>
    <n v="0.23411858499269347"/>
    <n v="0"/>
    <x v="287"/>
    <n v="0"/>
    <x v="0"/>
    <x v="0"/>
    <n v="0"/>
    <n v="0"/>
    <n v="0"/>
    <x v="0"/>
    <x v="0"/>
    <s v="Normal"/>
    <s v="Allowed"/>
    <m/>
    <m/>
    <m/>
  </r>
  <r>
    <x v="1"/>
    <x v="1"/>
    <x v="7"/>
    <x v="4"/>
    <n v="0.83199999999999996"/>
    <n v="1"/>
    <s v="DOWN"/>
    <n v="0.56999999999999995"/>
    <n v="7.1599045346062117E-3"/>
    <n v="-2.6703176088529658E-2"/>
    <n v="0.34089784338901952"/>
    <n v="9.9334980492946742E-2"/>
    <n v="0"/>
    <x v="288"/>
    <n v="0"/>
    <x v="0"/>
    <x v="0"/>
    <n v="0"/>
    <n v="0"/>
    <n v="0"/>
    <x v="1"/>
    <x v="0"/>
    <s v="Normal"/>
    <s v="Allowed"/>
    <m/>
    <m/>
    <m/>
  </r>
  <r>
    <x v="1"/>
    <x v="1"/>
    <x v="7"/>
    <x v="5"/>
    <n v="0.82099999999999995"/>
    <n v="0"/>
    <s v="DOWN"/>
    <n v="0.56999999999999995"/>
    <n v="1.322115384615386E-2"/>
    <n v="-2.6703176088529658E-2"/>
    <n v="0.34089784338901952"/>
    <n v="0.11711523175910329"/>
    <n v="0"/>
    <x v="289"/>
    <n v="1"/>
    <x v="1"/>
    <x v="0"/>
    <n v="1"/>
    <n v="0"/>
    <n v="0"/>
    <x v="0"/>
    <x v="0"/>
    <s v="Normal"/>
    <s v="Allowed"/>
    <m/>
    <m/>
    <m/>
  </r>
  <r>
    <x v="1"/>
    <x v="1"/>
    <x v="7"/>
    <x v="6"/>
    <n v="0.81399999999999995"/>
    <n v="0"/>
    <s v="DOWN"/>
    <n v="0.56999999999999995"/>
    <n v="8.5261875761266821E-3"/>
    <n v="-2.6703176088529658E-2"/>
    <n v="0.34089784338901952"/>
    <n v="0.10334287631281359"/>
    <n v="0"/>
    <x v="290"/>
    <n v="1"/>
    <x v="0"/>
    <x v="0"/>
    <n v="0"/>
    <n v="0"/>
    <n v="0"/>
    <x v="1"/>
    <x v="0"/>
    <s v="Normal"/>
    <s v="Allowed"/>
    <m/>
    <m/>
    <m/>
  </r>
  <r>
    <x v="1"/>
    <x v="1"/>
    <x v="7"/>
    <x v="7"/>
    <n v="0.77600000000000002"/>
    <n v="0"/>
    <s v="DOWN"/>
    <n v="0.56999999999999995"/>
    <n v="4.668304668304659E-2"/>
    <n v="-2.6703176088529658E-2"/>
    <n v="0.34089784338901952"/>
    <n v="0.21527335591803881"/>
    <n v="0"/>
    <x v="291"/>
    <n v="1"/>
    <x v="0"/>
    <x v="0"/>
    <n v="0"/>
    <n v="0"/>
    <n v="0"/>
    <x v="0"/>
    <x v="0"/>
    <s v="Normal"/>
    <s v="Allowed"/>
    <m/>
    <m/>
    <m/>
  </r>
  <r>
    <x v="1"/>
    <x v="1"/>
    <x v="7"/>
    <x v="8"/>
    <n v="0.81299999999999994"/>
    <n v="0"/>
    <s v="DOWN"/>
    <n v="0.56999999999999995"/>
    <n v="-4.7680412371133921E-2"/>
    <n v="-2.6703176088529658E-2"/>
    <n v="0.34089784338901952"/>
    <n v="-6.1535256644806191E-2"/>
    <n v="0"/>
    <x v="292"/>
    <n v="1"/>
    <x v="0"/>
    <x v="0"/>
    <n v="0"/>
    <n v="0"/>
    <n v="0"/>
    <x v="1"/>
    <x v="0"/>
    <s v="Normal"/>
    <s v="Allowed"/>
    <m/>
    <m/>
    <m/>
  </r>
  <r>
    <x v="1"/>
    <x v="1"/>
    <x v="7"/>
    <x v="9"/>
    <n v="0.83899999999999997"/>
    <n v="0"/>
    <s v="DOWN"/>
    <n v="0.56999999999999995"/>
    <n v="-3.1980319803198057E-2"/>
    <n v="-2.6703176088529658E-2"/>
    <n v="0.34089784338901952"/>
    <n v="-1.5480132294783471E-2"/>
    <n v="0"/>
    <x v="293"/>
    <n v="1"/>
    <x v="0"/>
    <x v="0"/>
    <n v="0"/>
    <n v="0"/>
    <n v="0"/>
    <x v="1"/>
    <x v="0"/>
    <s v="Normal"/>
    <s v="Allowed"/>
    <m/>
    <m/>
    <m/>
  </r>
  <r>
    <x v="1"/>
    <x v="1"/>
    <x v="7"/>
    <x v="10"/>
    <n v="0.79600000000000004"/>
    <n v="0"/>
    <s v="DOWN"/>
    <n v="0.56999999999999995"/>
    <n v="5.1251489868891463E-2"/>
    <n v="-2.6703176088529658E-2"/>
    <n v="0.34089784338901952"/>
    <n v="0.22867456473892167"/>
    <n v="0"/>
    <x v="294"/>
    <n v="1"/>
    <x v="0"/>
    <x v="0"/>
    <n v="0"/>
    <n v="0"/>
    <n v="0"/>
    <x v="0"/>
    <x v="0"/>
    <s v="Normal"/>
    <s v="Allowed"/>
    <m/>
    <m/>
    <m/>
  </r>
  <r>
    <x v="1"/>
    <x v="1"/>
    <x v="7"/>
    <x v="11"/>
    <n v="0.65"/>
    <n v="0"/>
    <s v="DOWN"/>
    <n v="0.56999999999999995"/>
    <n v="0.1834170854271357"/>
    <n v="-2.6703176088529658E-2"/>
    <n v="0.34089784338901952"/>
    <n v="0.6163731029412356"/>
    <n v="-1"/>
    <x v="295"/>
    <n v="1"/>
    <x v="0"/>
    <x v="0"/>
    <n v="0"/>
    <n v="0"/>
    <n v="0"/>
    <x v="0"/>
    <x v="0"/>
    <s v="Normal"/>
    <s v="Allowed"/>
    <m/>
    <m/>
    <m/>
  </r>
  <r>
    <x v="1"/>
    <x v="1"/>
    <x v="7"/>
    <x v="12"/>
    <n v="0.7"/>
    <n v="0"/>
    <s v="DOWN"/>
    <n v="0.56999999999999995"/>
    <n v="-7.6923076923076816E-2"/>
    <n v="-2.6703176088529658E-2"/>
    <n v="0.34089784338901952"/>
    <n v="-0.14731656948981675"/>
    <n v="0"/>
    <x v="296"/>
    <n v="1"/>
    <x v="0"/>
    <x v="0"/>
    <n v="0"/>
    <n v="0"/>
    <n v="0"/>
    <x v="1"/>
    <x v="0"/>
    <s v="Normal"/>
    <s v="Allowed"/>
    <m/>
    <m/>
    <m/>
  </r>
  <r>
    <x v="1"/>
    <x v="1"/>
    <x v="7"/>
    <x v="13"/>
    <n v="0.57999999999999996"/>
    <n v="0"/>
    <s v="DOWN"/>
    <n v="0.56999999999999995"/>
    <n v="0.1714285714285714"/>
    <n v="-2.6703176088529658E-2"/>
    <n v="0.34089784338901952"/>
    <n v="0.58120563494149391"/>
    <n v="-1"/>
    <x v="297"/>
    <n v="1"/>
    <x v="0"/>
    <x v="0"/>
    <n v="0"/>
    <n v="0"/>
    <n v="0"/>
    <x v="0"/>
    <x v="1"/>
    <s v="Normal"/>
    <s v="Allowed"/>
    <m/>
    <m/>
    <m/>
  </r>
  <r>
    <x v="1"/>
    <x v="1"/>
    <x v="7"/>
    <x v="14"/>
    <n v="0.67"/>
    <n v="0"/>
    <s v="DOWN"/>
    <n v="0.56999999999999995"/>
    <n v="-0.15517241379310359"/>
    <n v="-2.6703176088529658E-2"/>
    <n v="0.34089784338901952"/>
    <n v="-0.37685553075784578"/>
    <n v="0"/>
    <x v="117"/>
    <n v="1"/>
    <x v="0"/>
    <x v="0"/>
    <n v="0"/>
    <n v="0"/>
    <n v="0"/>
    <x v="1"/>
    <x v="0"/>
    <s v="Normal"/>
    <s v="Allowed"/>
    <m/>
    <m/>
    <m/>
  </r>
  <r>
    <x v="2"/>
    <x v="1"/>
    <x v="8"/>
    <x v="0"/>
    <n v="0.81899999999999995"/>
    <n v="1"/>
    <s v="UP"/>
    <n v="0.85"/>
    <n v="-1.716068642745721E-2"/>
    <n v="4.5902054585511267E-3"/>
    <n v="7.1528610508022367E-2"/>
    <n v="-0.30408659879627947"/>
    <n v="0"/>
    <x v="298"/>
    <n v="0"/>
    <x v="0"/>
    <x v="0"/>
    <n v="0"/>
    <n v="0"/>
    <n v="0"/>
    <x v="1"/>
    <x v="0"/>
    <s v="Normal"/>
    <s v="Allowed"/>
    <m/>
    <m/>
    <m/>
  </r>
  <r>
    <x v="2"/>
    <x v="1"/>
    <x v="8"/>
    <x v="1"/>
    <n v="0.74529999999999996"/>
    <n v="1"/>
    <s v="UP"/>
    <n v="0.85"/>
    <n v="-8.9987789987789973E-2"/>
    <n v="4.5902054585511267E-3"/>
    <n v="7.1528610508022367E-2"/>
    <n v="-1.32224007672753"/>
    <n v="1"/>
    <x v="299"/>
    <n v="1"/>
    <x v="2"/>
    <x v="1"/>
    <n v="1"/>
    <n v="1"/>
    <n v="1"/>
    <x v="1"/>
    <x v="0"/>
    <s v="Abnormal"/>
    <s v="Allowed"/>
    <m/>
    <m/>
    <m/>
  </r>
  <r>
    <x v="2"/>
    <x v="1"/>
    <x v="8"/>
    <x v="2"/>
    <n v="0.876"/>
    <n v="0"/>
    <s v="UP"/>
    <n v="0.85"/>
    <n v="0.17536562458070579"/>
    <n v="4.5902054585511267E-3"/>
    <n v="7.1528610508022367E-2"/>
    <n v="2.3875120446104732"/>
    <n v="-1"/>
    <x v="300"/>
    <n v="2"/>
    <x v="1"/>
    <x v="0"/>
    <n v="1"/>
    <n v="0"/>
    <n v="0"/>
    <x v="0"/>
    <x v="1"/>
    <s v="Normal"/>
    <s v="Allowed"/>
    <m/>
    <m/>
    <m/>
  </r>
  <r>
    <x v="2"/>
    <x v="1"/>
    <x v="8"/>
    <x v="3"/>
    <n v="0.87780000000000002"/>
    <n v="0"/>
    <s v="UP"/>
    <n v="0.85"/>
    <n v="2.0547945205479719E-3"/>
    <n v="4.5902054585511267E-3"/>
    <n v="7.1528610508022367E-2"/>
    <n v="-3.5446109186180727E-2"/>
    <n v="0"/>
    <x v="301"/>
    <n v="2"/>
    <x v="0"/>
    <x v="0"/>
    <n v="0"/>
    <n v="0"/>
    <n v="0"/>
    <x v="1"/>
    <x v="1"/>
    <s v="Normal"/>
    <s v="Allowed"/>
    <m/>
    <m/>
    <m/>
  </r>
  <r>
    <x v="2"/>
    <x v="1"/>
    <x v="8"/>
    <x v="4"/>
    <n v="0.87949999999999995"/>
    <n v="0"/>
    <s v="UP"/>
    <n v="0.85"/>
    <n v="1.9366598313965871E-3"/>
    <n v="4.5902054585511267E-3"/>
    <n v="7.1528610508022367E-2"/>
    <n v="-3.7097681729144287E-2"/>
    <n v="0"/>
    <x v="302"/>
    <n v="2"/>
    <x v="0"/>
    <x v="0"/>
    <n v="0"/>
    <n v="0"/>
    <n v="0"/>
    <x v="1"/>
    <x v="1"/>
    <s v="Normal"/>
    <s v="Allowed"/>
    <m/>
    <m/>
    <m/>
  </r>
  <r>
    <x v="2"/>
    <x v="1"/>
    <x v="8"/>
    <x v="5"/>
    <n v="0.7903"/>
    <n v="0"/>
    <s v="UP"/>
    <n v="0.85"/>
    <n v="-0.1014212620807276"/>
    <n v="4.5902054585511267E-3"/>
    <n v="7.1528610508022367E-2"/>
    <n v="-1.4820848159407334"/>
    <n v="1"/>
    <x v="303"/>
    <n v="2"/>
    <x v="0"/>
    <x v="1"/>
    <n v="0"/>
    <n v="1"/>
    <n v="1"/>
    <x v="1"/>
    <x v="0"/>
    <s v="Abnormal"/>
    <s v="Allowed"/>
    <m/>
    <m/>
    <m/>
  </r>
  <r>
    <x v="2"/>
    <x v="1"/>
    <x v="8"/>
    <x v="6"/>
    <n v="0.74590000000000001"/>
    <n v="1"/>
    <s v="UP"/>
    <n v="0.85"/>
    <n v="-5.6181197013792233E-2"/>
    <n v="4.5902054585511267E-3"/>
    <n v="7.1528610508022367E-2"/>
    <n v="-0.84960971617822045"/>
    <n v="1"/>
    <x v="304"/>
    <n v="2"/>
    <x v="0"/>
    <x v="1"/>
    <n v="0"/>
    <n v="1"/>
    <n v="1"/>
    <x v="1"/>
    <x v="0"/>
    <s v="Abnormal"/>
    <s v="Allowed"/>
    <m/>
    <m/>
    <m/>
  </r>
  <r>
    <x v="2"/>
    <x v="1"/>
    <x v="8"/>
    <x v="7"/>
    <n v="0.79459999999999997"/>
    <n v="0"/>
    <s v="UP"/>
    <n v="0.85"/>
    <n v="6.5290253385172234E-2"/>
    <n v="4.5902054585511267E-3"/>
    <n v="7.1528610508022367E-2"/>
    <n v="0.8486121496769915"/>
    <n v="-1"/>
    <x v="305"/>
    <n v="3"/>
    <x v="1"/>
    <x v="0"/>
    <n v="1"/>
    <n v="0"/>
    <n v="0"/>
    <x v="0"/>
    <x v="0"/>
    <s v="Normal"/>
    <s v="Allowed"/>
    <m/>
    <m/>
    <m/>
  </r>
  <r>
    <x v="2"/>
    <x v="1"/>
    <x v="8"/>
    <x v="8"/>
    <n v="0.83189999999999997"/>
    <n v="0"/>
    <s v="UP"/>
    <n v="0.85"/>
    <n v="4.6941857538384091E-2"/>
    <n v="4.5902054585511267E-3"/>
    <n v="7.1528610508022367E-2"/>
    <n v="0.59209387375255906"/>
    <n v="-1"/>
    <x v="306"/>
    <n v="3"/>
    <x v="0"/>
    <x v="0"/>
    <n v="0"/>
    <n v="0"/>
    <n v="0"/>
    <x v="0"/>
    <x v="0"/>
    <s v="Normal"/>
    <s v="Allowed"/>
    <m/>
    <m/>
    <m/>
  </r>
  <r>
    <x v="2"/>
    <x v="1"/>
    <x v="8"/>
    <x v="9"/>
    <n v="0.87780000000000002"/>
    <n v="0"/>
    <s v="UP"/>
    <n v="0.85"/>
    <n v="5.5174900829426679E-2"/>
    <n v="4.5902054585511267E-3"/>
    <n v="7.1528610508022367E-2"/>
    <n v="0.70719527489216605"/>
    <n v="-1"/>
    <x v="301"/>
    <n v="3"/>
    <x v="0"/>
    <x v="0"/>
    <n v="0"/>
    <n v="0"/>
    <n v="0"/>
    <x v="0"/>
    <x v="1"/>
    <s v="Normal"/>
    <s v="Allowed"/>
    <m/>
    <m/>
    <m/>
  </r>
  <r>
    <x v="2"/>
    <x v="1"/>
    <x v="8"/>
    <x v="10"/>
    <n v="0.82310000000000005"/>
    <n v="0"/>
    <s v="UP"/>
    <n v="0.85"/>
    <n v="-6.2314878104351747E-2"/>
    <n v="4.5902054585511267E-3"/>
    <n v="7.1528610508022367E-2"/>
    <n v="-0.93536115251950902"/>
    <n v="1"/>
    <x v="307"/>
    <n v="3"/>
    <x v="0"/>
    <x v="1"/>
    <n v="0"/>
    <n v="1"/>
    <n v="1"/>
    <x v="1"/>
    <x v="0"/>
    <s v="Abnormal"/>
    <s v="Allowed"/>
    <m/>
    <m/>
    <m/>
  </r>
  <r>
    <x v="2"/>
    <x v="1"/>
    <x v="8"/>
    <x v="11"/>
    <n v="0.84299999999999997"/>
    <n v="0"/>
    <s v="UP"/>
    <n v="0.85"/>
    <n v="2.4176892236666161E-2"/>
    <n v="4.5902054585511267E-3"/>
    <n v="7.1528610508022367E-2"/>
    <n v="0.27383010293368226"/>
    <n v="0"/>
    <x v="308"/>
    <n v="3"/>
    <x v="0"/>
    <x v="0"/>
    <n v="0"/>
    <n v="0"/>
    <n v="0"/>
    <x v="0"/>
    <x v="1"/>
    <s v="Normal"/>
    <s v="Allowed"/>
    <m/>
    <m/>
    <m/>
  </r>
  <r>
    <x v="2"/>
    <x v="1"/>
    <x v="8"/>
    <x v="12"/>
    <n v="0.75"/>
    <n v="0"/>
    <s v="UP"/>
    <n v="0.85"/>
    <n v="-0.1103202846975089"/>
    <n v="4.5902054585511267E-3"/>
    <n v="7.1528610508022367E-2"/>
    <n v="-1.6064968876079611"/>
    <n v="1"/>
    <x v="309"/>
    <n v="3"/>
    <x v="0"/>
    <x v="1"/>
    <n v="0"/>
    <n v="1"/>
    <n v="1"/>
    <x v="1"/>
    <x v="0"/>
    <s v="Abnormal"/>
    <s v="Allowed"/>
    <m/>
    <m/>
    <m/>
  </r>
  <r>
    <x v="2"/>
    <x v="1"/>
    <x v="8"/>
    <x v="13"/>
    <n v="0.745"/>
    <n v="0"/>
    <s v="UP"/>
    <n v="0.85"/>
    <n v="-6.6666666666666723E-3"/>
    <n v="4.5902054585511267E-3"/>
    <n v="7.1528610508022367E-2"/>
    <n v="-0.15737579753426459"/>
    <n v="0"/>
    <x v="310"/>
    <n v="3"/>
    <x v="0"/>
    <x v="0"/>
    <n v="0"/>
    <n v="0"/>
    <n v="0"/>
    <x v="1"/>
    <x v="0"/>
    <s v="Normal"/>
    <s v="Allowed"/>
    <m/>
    <m/>
    <m/>
  </r>
  <r>
    <x v="2"/>
    <x v="1"/>
    <x v="8"/>
    <x v="14"/>
    <n v="0.82199999999999995"/>
    <n v="0"/>
    <s v="UP"/>
    <n v="0.85"/>
    <n v="0.10335570469798649"/>
    <n v="4.5902054585511267E-3"/>
    <n v="7.1528610508022367E-2"/>
    <n v="1.3807831375161164"/>
    <n v="-1"/>
    <x v="311"/>
    <n v="3"/>
    <x v="0"/>
    <x v="0"/>
    <n v="0"/>
    <n v="0"/>
    <n v="0"/>
    <x v="0"/>
    <x v="0"/>
    <s v="Normal"/>
    <s v="Allowed"/>
    <m/>
    <m/>
    <m/>
  </r>
  <r>
    <x v="2"/>
    <x v="1"/>
    <x v="8"/>
    <x v="15"/>
    <n v="0.79300000000000004"/>
    <n v="0"/>
    <s v="UP"/>
    <n v="0.85"/>
    <n v="-3.5279805352797948E-2"/>
    <n v="4.5902054585511267E-3"/>
    <n v="7.1528610508022367E-2"/>
    <n v="-0.55739948711680076"/>
    <n v="1"/>
    <x v="312"/>
    <n v="3"/>
    <x v="0"/>
    <x v="1"/>
    <n v="0"/>
    <n v="1"/>
    <n v="1"/>
    <x v="1"/>
    <x v="0"/>
    <s v="Abnormal"/>
    <s v="Allowed"/>
    <m/>
    <m/>
    <m/>
  </r>
  <r>
    <x v="2"/>
    <x v="1"/>
    <x v="9"/>
    <x v="0"/>
    <n v="0.66490000000000005"/>
    <n v="0"/>
    <s v="UP"/>
    <n v="0.65"/>
    <n v="-2.191821123859946E-2"/>
    <n v="1.2057533289701232E-2"/>
    <n v="0.17981498891186962"/>
    <n v="-0.18894834481764353"/>
    <n v="0"/>
    <x v="313"/>
    <n v="0"/>
    <x v="0"/>
    <x v="0"/>
    <n v="0"/>
    <n v="0"/>
    <n v="0"/>
    <x v="1"/>
    <x v="1"/>
    <s v="Normal"/>
    <s v="Allowed"/>
    <m/>
    <m/>
    <m/>
  </r>
  <r>
    <x v="2"/>
    <x v="1"/>
    <x v="9"/>
    <x v="1"/>
    <n v="0.65239999999999998"/>
    <n v="0"/>
    <s v="UP"/>
    <n v="0.65"/>
    <n v="-1.8799819521732691E-2"/>
    <n v="1.2057533289701232E-2"/>
    <n v="0.17981498891186962"/>
    <n v="-0.17160612137043613"/>
    <n v="0"/>
    <x v="314"/>
    <n v="0"/>
    <x v="0"/>
    <x v="0"/>
    <n v="0"/>
    <n v="0"/>
    <n v="0"/>
    <x v="1"/>
    <x v="1"/>
    <s v="Normal"/>
    <s v="Allowed"/>
    <m/>
    <m/>
    <m/>
  </r>
  <r>
    <x v="2"/>
    <x v="1"/>
    <x v="9"/>
    <x v="2"/>
    <n v="0.64249999999999996"/>
    <n v="0"/>
    <s v="UP"/>
    <n v="0.65"/>
    <n v="-1.517473942366649E-2"/>
    <n v="1.2057533289701232E-2"/>
    <n v="0.17981498891186962"/>
    <n v="-0.15144606619370712"/>
    <n v="0"/>
    <x v="315"/>
    <n v="0"/>
    <x v="0"/>
    <x v="0"/>
    <n v="0"/>
    <n v="0"/>
    <n v="0"/>
    <x v="1"/>
    <x v="1"/>
    <s v="Normal"/>
    <s v="Allowed"/>
    <m/>
    <m/>
    <m/>
  </r>
  <r>
    <x v="2"/>
    <x v="1"/>
    <x v="9"/>
    <x v="3"/>
    <n v="0.60560000000000003"/>
    <n v="1"/>
    <s v="UP"/>
    <n v="0.65"/>
    <n v="-5.7431906614785887E-2"/>
    <n v="1.2057533289701232E-2"/>
    <n v="0.17981498891186962"/>
    <n v="-0.38644965208403775"/>
    <n v="0"/>
    <x v="316"/>
    <n v="0"/>
    <x v="0"/>
    <x v="0"/>
    <n v="0"/>
    <n v="0"/>
    <n v="0"/>
    <x v="1"/>
    <x v="0"/>
    <s v="Normal"/>
    <s v="Allowed"/>
    <m/>
    <m/>
    <m/>
  </r>
  <r>
    <x v="2"/>
    <x v="1"/>
    <x v="9"/>
    <x v="4"/>
    <n v="0.65380000000000005"/>
    <n v="0"/>
    <s v="UP"/>
    <n v="0.65"/>
    <n v="7.959048877146635E-2"/>
    <n v="1.2057533289701232E-2"/>
    <n v="0.17981498891186962"/>
    <n v="0.37556911073116472"/>
    <n v="0"/>
    <x v="317"/>
    <n v="1"/>
    <x v="1"/>
    <x v="0"/>
    <n v="1"/>
    <n v="0"/>
    <n v="0"/>
    <x v="0"/>
    <x v="1"/>
    <s v="Normal"/>
    <s v="Allowed"/>
    <m/>
    <m/>
    <m/>
  </r>
  <r>
    <x v="2"/>
    <x v="1"/>
    <x v="9"/>
    <x v="5"/>
    <n v="0.6421"/>
    <n v="0"/>
    <s v="UP"/>
    <n v="0.65"/>
    <n v="-1.7895380850413041E-2"/>
    <n v="1.2057533289701232E-2"/>
    <n v="0.17981498891186962"/>
    <n v="-0.16657629222886811"/>
    <n v="0"/>
    <x v="318"/>
    <n v="1"/>
    <x v="0"/>
    <x v="0"/>
    <n v="0"/>
    <n v="0"/>
    <n v="0"/>
    <x v="1"/>
    <x v="1"/>
    <s v="Normal"/>
    <s v="Allowed"/>
    <m/>
    <m/>
    <m/>
  </r>
  <r>
    <x v="2"/>
    <x v="1"/>
    <x v="9"/>
    <x v="6"/>
    <n v="0.62570000000000003"/>
    <n v="1"/>
    <s v="UP"/>
    <n v="0.65"/>
    <n v="-2.5541192960597991E-2"/>
    <n v="1.2057533289701232E-2"/>
    <n v="0.17981498891186962"/>
    <n v="-0.20909673035503731"/>
    <n v="0"/>
    <x v="319"/>
    <n v="1"/>
    <x v="0"/>
    <x v="0"/>
    <n v="0"/>
    <n v="0"/>
    <n v="0"/>
    <x v="1"/>
    <x v="0"/>
    <s v="Normal"/>
    <s v="Allowed"/>
    <m/>
    <m/>
    <m/>
  </r>
  <r>
    <x v="2"/>
    <x v="1"/>
    <x v="9"/>
    <x v="7"/>
    <n v="0.63009999999999999"/>
    <n v="1"/>
    <s v="UP"/>
    <n v="0.65"/>
    <n v="7.0321240210963068E-3"/>
    <n v="1.2057533289701232E-2"/>
    <n v="0.17981498891186962"/>
    <n v="-2.7947666092885973E-2"/>
    <n v="0"/>
    <x v="320"/>
    <n v="2"/>
    <x v="1"/>
    <x v="0"/>
    <n v="1"/>
    <n v="0"/>
    <n v="0"/>
    <x v="1"/>
    <x v="0"/>
    <s v="Normal"/>
    <s v="Allowed"/>
    <m/>
    <m/>
    <m/>
  </r>
  <r>
    <x v="2"/>
    <x v="1"/>
    <x v="9"/>
    <x v="8"/>
    <n v="0.64710000000000001"/>
    <n v="0"/>
    <s v="UP"/>
    <n v="0.65"/>
    <n v="2.697984446913191E-2"/>
    <n v="1.2057533289701232E-2"/>
    <n v="0.17981498891186962"/>
    <n v="8.2987026107953415E-2"/>
    <n v="0"/>
    <x v="321"/>
    <n v="3"/>
    <x v="1"/>
    <x v="0"/>
    <n v="1"/>
    <n v="0"/>
    <n v="0"/>
    <x v="0"/>
    <x v="1"/>
    <s v="Normal"/>
    <s v="Allowed"/>
    <m/>
    <m/>
    <m/>
  </r>
  <r>
    <x v="2"/>
    <x v="1"/>
    <x v="9"/>
    <x v="9"/>
    <n v="0.6875"/>
    <n v="0"/>
    <s v="UP"/>
    <n v="0.65"/>
    <n v="6.2432390666048512E-2"/>
    <n v="1.2057533289701232E-2"/>
    <n v="0.17981498891186962"/>
    <n v="0.280148266177281"/>
    <n v="0"/>
    <x v="322"/>
    <n v="3"/>
    <x v="0"/>
    <x v="0"/>
    <n v="0"/>
    <n v="0"/>
    <n v="0"/>
    <x v="0"/>
    <x v="1"/>
    <s v="Normal"/>
    <s v="Allowed"/>
    <m/>
    <m/>
    <m/>
  </r>
  <r>
    <x v="2"/>
    <x v="1"/>
    <x v="9"/>
    <x v="10"/>
    <n v="0.62419999999999998"/>
    <n v="0"/>
    <s v="UP"/>
    <n v="0.65"/>
    <n v="-9.2072727272727306E-2"/>
    <n v="1.2057533289701232E-2"/>
    <n v="0.17981498891186962"/>
    <n v="-0.57909666592624576"/>
    <n v="1"/>
    <x v="323"/>
    <n v="3"/>
    <x v="0"/>
    <x v="1"/>
    <n v="0"/>
    <n v="1"/>
    <n v="1"/>
    <x v="1"/>
    <x v="0"/>
    <s v="Abnormal"/>
    <s v="Allowed"/>
    <m/>
    <m/>
    <m/>
  </r>
  <r>
    <x v="2"/>
    <x v="1"/>
    <x v="9"/>
    <x v="11"/>
    <n v="0.67"/>
    <n v="0"/>
    <s v="UP"/>
    <n v="0.65"/>
    <n v="7.3373918615828357E-2"/>
    <n v="1.2057533289701232E-2"/>
    <n v="0.17981498891186962"/>
    <n v="0.34099707536716711"/>
    <n v="0"/>
    <x v="324"/>
    <n v="3"/>
    <x v="0"/>
    <x v="0"/>
    <n v="0"/>
    <n v="0"/>
    <n v="0"/>
    <x v="0"/>
    <x v="1"/>
    <s v="Normal"/>
    <s v="Allowed"/>
    <m/>
    <m/>
    <m/>
  </r>
  <r>
    <x v="2"/>
    <x v="1"/>
    <x v="9"/>
    <x v="12"/>
    <n v="0.72199999999999998"/>
    <n v="0"/>
    <s v="UP"/>
    <n v="0.65"/>
    <n v="7.7611940298507362E-2"/>
    <n v="1.2057533289701232E-2"/>
    <n v="0.17981498891186962"/>
    <n v="0.36456586520123446"/>
    <n v="0"/>
    <x v="325"/>
    <n v="3"/>
    <x v="0"/>
    <x v="0"/>
    <n v="0"/>
    <n v="0"/>
    <n v="0"/>
    <x v="0"/>
    <x v="1"/>
    <s v="Normal"/>
    <s v="Allowed"/>
    <m/>
    <m/>
    <m/>
  </r>
  <r>
    <x v="2"/>
    <x v="1"/>
    <x v="9"/>
    <x v="13"/>
    <n v="0.66800000000000004"/>
    <n v="0"/>
    <s v="UP"/>
    <n v="0.65"/>
    <n v="-7.479224376731293E-2"/>
    <n v="1.2057533289701232E-2"/>
    <n v="0.17981498891186962"/>
    <n v="-0.48299520291704223"/>
    <n v="0"/>
    <x v="326"/>
    <n v="3"/>
    <x v="0"/>
    <x v="0"/>
    <n v="0"/>
    <n v="0"/>
    <n v="0"/>
    <x v="1"/>
    <x v="1"/>
    <s v="Normal"/>
    <s v="Allowed"/>
    <m/>
    <m/>
    <m/>
  </r>
  <r>
    <x v="2"/>
    <x v="1"/>
    <x v="9"/>
    <x v="14"/>
    <n v="0.70299999999999996"/>
    <n v="0"/>
    <s v="UP"/>
    <n v="0.65"/>
    <n v="5.2395209580838202E-2"/>
    <n v="1.2057533289701232E-2"/>
    <n v="0.17981498891186962"/>
    <n v="0.22432877556668623"/>
    <n v="0"/>
    <x v="327"/>
    <n v="3"/>
    <x v="0"/>
    <x v="0"/>
    <n v="0"/>
    <n v="0"/>
    <n v="0"/>
    <x v="0"/>
    <x v="1"/>
    <s v="Normal"/>
    <s v="Allowed"/>
    <m/>
    <m/>
    <m/>
  </r>
  <r>
    <x v="2"/>
    <x v="1"/>
    <x v="9"/>
    <x v="15"/>
    <n v="0.70499999999999996"/>
    <n v="0"/>
    <s v="UP"/>
    <n v="0.65"/>
    <n v="2.8449502133712692E-3"/>
    <n v="1.2057533289701232E-2"/>
    <n v="0.17981498891186962"/>
    <n v="-5.1233677081531877E-2"/>
    <n v="0"/>
    <x v="328"/>
    <n v="3"/>
    <x v="0"/>
    <x v="0"/>
    <n v="0"/>
    <n v="0"/>
    <n v="0"/>
    <x v="1"/>
    <x v="1"/>
    <s v="Normal"/>
    <s v="Allowed"/>
    <m/>
    <m/>
    <m/>
  </r>
  <r>
    <x v="2"/>
    <x v="1"/>
    <x v="10"/>
    <x v="0"/>
    <n v="0.80510000000000004"/>
    <n v="0"/>
    <s v="UP"/>
    <n v="0.85"/>
    <n v="5.1456183884027673E-2"/>
    <n v="1.8209321594669165E-2"/>
    <n v="0.22834931756330515"/>
    <n v="0.14559650383076578"/>
    <n v="0"/>
    <x v="329"/>
    <n v="0"/>
    <x v="1"/>
    <x v="0"/>
    <n v="1"/>
    <n v="0"/>
    <n v="0"/>
    <x v="0"/>
    <x v="0"/>
    <s v="Normal"/>
    <s v="Allowed"/>
    <m/>
    <m/>
    <m/>
  </r>
  <r>
    <x v="2"/>
    <x v="1"/>
    <x v="10"/>
    <x v="1"/>
    <n v="0.79779999999999995"/>
    <n v="1"/>
    <s v="UP"/>
    <n v="0.85"/>
    <n v="-9.0671966215378017E-3"/>
    <n v="1.8209321594669165E-2"/>
    <n v="0.22834931756330515"/>
    <n v="-0.11945084183860158"/>
    <n v="0"/>
    <x v="330"/>
    <n v="0"/>
    <x v="0"/>
    <x v="0"/>
    <n v="0"/>
    <n v="0"/>
    <n v="0"/>
    <x v="1"/>
    <x v="0"/>
    <s v="Normal"/>
    <s v="Allowed"/>
    <m/>
    <m/>
    <m/>
  </r>
  <r>
    <x v="2"/>
    <x v="1"/>
    <x v="10"/>
    <x v="2"/>
    <n v="0.76649999999999996"/>
    <n v="1"/>
    <s v="UP"/>
    <n v="0.85"/>
    <n v="-3.9232890448734008E-2"/>
    <n v="1.8209321594669165E-2"/>
    <n v="0.22834931756330515"/>
    <n v="-0.25155412180059833"/>
    <n v="0"/>
    <x v="331"/>
    <n v="1"/>
    <x v="2"/>
    <x v="0"/>
    <n v="1"/>
    <n v="0"/>
    <n v="0"/>
    <x v="1"/>
    <x v="0"/>
    <s v="Normal"/>
    <s v="Allowed"/>
    <m/>
    <m/>
    <m/>
  </r>
  <r>
    <x v="2"/>
    <x v="1"/>
    <x v="10"/>
    <x v="3"/>
    <n v="0.78879999999999995"/>
    <n v="1"/>
    <s v="UP"/>
    <n v="0.85"/>
    <n v="2.9093281148075651E-2"/>
    <n v="1.8209321594669165E-2"/>
    <n v="0.22834931756330515"/>
    <n v="4.7663639504370893E-2"/>
    <n v="0"/>
    <x v="332"/>
    <n v="2"/>
    <x v="1"/>
    <x v="0"/>
    <n v="1"/>
    <n v="0"/>
    <n v="0"/>
    <x v="0"/>
    <x v="0"/>
    <s v="Normal"/>
    <s v="Allowed"/>
    <m/>
    <m/>
    <m/>
  </r>
  <r>
    <x v="2"/>
    <x v="1"/>
    <x v="10"/>
    <x v="4"/>
    <n v="0.75980000000000003"/>
    <n v="1"/>
    <s v="UP"/>
    <n v="0.85"/>
    <n v="-3.6764705882352838E-2"/>
    <n v="1.8209321594669165E-2"/>
    <n v="0.22834931756330515"/>
    <n v="-0.24074531101579308"/>
    <n v="0"/>
    <x v="333"/>
    <n v="3"/>
    <x v="2"/>
    <x v="0"/>
    <n v="1"/>
    <n v="0"/>
    <n v="0"/>
    <x v="1"/>
    <x v="0"/>
    <s v="Normal"/>
    <s v="Allowed"/>
    <m/>
    <m/>
    <m/>
  </r>
  <r>
    <x v="2"/>
    <x v="1"/>
    <x v="10"/>
    <x v="5"/>
    <n v="0.79479999999999995"/>
    <n v="1"/>
    <s v="UP"/>
    <n v="0.85"/>
    <n v="4.6064753882600583E-2"/>
    <n v="1.8209321594669165E-2"/>
    <n v="0.22834931756330515"/>
    <n v="0.12198605445890624"/>
    <n v="0"/>
    <x v="334"/>
    <n v="4"/>
    <x v="1"/>
    <x v="0"/>
    <n v="1"/>
    <n v="0"/>
    <n v="0"/>
    <x v="0"/>
    <x v="0"/>
    <s v="Normal"/>
    <s v="Allowed"/>
    <m/>
    <m/>
    <m/>
  </r>
  <r>
    <x v="2"/>
    <x v="1"/>
    <x v="10"/>
    <x v="6"/>
    <n v="0.79059999999999997"/>
    <n v="1"/>
    <s v="UP"/>
    <n v="0.85"/>
    <n v="-5.2843482637141186E-3"/>
    <n v="1.8209321594669165E-2"/>
    <n v="0.22834931756330515"/>
    <n v="-0.1028847824424531"/>
    <n v="0"/>
    <x v="335"/>
    <n v="5"/>
    <x v="2"/>
    <x v="0"/>
    <n v="1"/>
    <n v="0"/>
    <n v="0"/>
    <x v="1"/>
    <x v="0"/>
    <s v="Normal"/>
    <s v="Maxed Out"/>
    <m/>
    <m/>
    <m/>
  </r>
  <r>
    <x v="2"/>
    <x v="1"/>
    <x v="10"/>
    <x v="7"/>
    <n v="0.8206"/>
    <n v="1"/>
    <s v="UP"/>
    <n v="0.85"/>
    <n v="3.7945863900834848E-2"/>
    <n v="1.8209321594669165E-2"/>
    <n v="0.22834931756330515"/>
    <n v="8.6431361025172029E-2"/>
    <n v="0"/>
    <x v="336"/>
    <n v="6"/>
    <x v="1"/>
    <x v="0"/>
    <n v="1"/>
    <n v="0"/>
    <n v="0"/>
    <x v="0"/>
    <x v="0"/>
    <s v="Normal"/>
    <s v="Maxed Out"/>
    <m/>
    <m/>
    <m/>
  </r>
  <r>
    <x v="2"/>
    <x v="1"/>
    <x v="10"/>
    <x v="8"/>
    <n v="0.79310000000000003"/>
    <n v="1"/>
    <s v="UP"/>
    <n v="0.85"/>
    <n v="-3.3512064343163499E-2"/>
    <n v="1.8209321594669165E-2"/>
    <n v="0.22834931756330515"/>
    <n v="-0.22650116273500129"/>
    <n v="0"/>
    <x v="337"/>
    <n v="7"/>
    <x v="2"/>
    <x v="0"/>
    <n v="1"/>
    <n v="0"/>
    <n v="0"/>
    <x v="1"/>
    <x v="0"/>
    <s v="Normal"/>
    <s v="Maxed Out"/>
    <m/>
    <m/>
    <m/>
  </r>
  <r>
    <x v="2"/>
    <x v="1"/>
    <x v="10"/>
    <x v="9"/>
    <n v="0.77929999999999999"/>
    <n v="1"/>
    <s v="UP"/>
    <n v="0.85"/>
    <n v="-1.7400075652502879E-2"/>
    <n v="1.8209321594669165E-2"/>
    <n v="0.22834931756330515"/>
    <n v="-0.15594264798842711"/>
    <n v="0"/>
    <x v="338"/>
    <n v="8"/>
    <x v="2"/>
    <x v="0"/>
    <n v="1"/>
    <n v="0"/>
    <n v="0"/>
    <x v="1"/>
    <x v="0"/>
    <s v="Normal"/>
    <s v="Maxed Out"/>
    <m/>
    <m/>
    <m/>
  </r>
  <r>
    <x v="2"/>
    <x v="1"/>
    <x v="10"/>
    <x v="10"/>
    <n v="0.78439999999999999"/>
    <n v="1"/>
    <s v="UP"/>
    <n v="0.85"/>
    <n v="6.5443346593096283E-3"/>
    <n v="1.8209321594669165E-2"/>
    <n v="0.22834931756330515"/>
    <n v="-5.1083957945815446E-2"/>
    <n v="0"/>
    <x v="339"/>
    <n v="9"/>
    <x v="1"/>
    <x v="0"/>
    <n v="1"/>
    <n v="0"/>
    <n v="0"/>
    <x v="1"/>
    <x v="0"/>
    <s v="Normal"/>
    <s v="Maxed Out"/>
    <m/>
    <m/>
    <m/>
  </r>
  <r>
    <x v="2"/>
    <x v="1"/>
    <x v="10"/>
    <x v="11"/>
    <n v="0.78700000000000003"/>
    <n v="1"/>
    <s v="UP"/>
    <n v="0.85"/>
    <n v="3.3146353901071482E-3"/>
    <n v="1.8209321594669165E-2"/>
    <n v="0.22834931756330515"/>
    <n v="-6.5227636165073155E-2"/>
    <n v="0"/>
    <x v="340"/>
    <n v="10"/>
    <x v="1"/>
    <x v="0"/>
    <n v="1"/>
    <n v="0"/>
    <n v="0"/>
    <x v="1"/>
    <x v="0"/>
    <s v="Normal"/>
    <s v="Maxed Out"/>
    <m/>
    <m/>
    <m/>
  </r>
  <r>
    <x v="2"/>
    <x v="1"/>
    <x v="10"/>
    <x v="12"/>
    <n v="0.79300000000000004"/>
    <n v="0"/>
    <s v="UP"/>
    <n v="0.85"/>
    <n v="7.6238881829733228E-3"/>
    <n v="1.8209321594669165E-2"/>
    <n v="0.22834931756330515"/>
    <n v="-4.6356317262744827E-2"/>
    <n v="0"/>
    <x v="312"/>
    <n v="11"/>
    <x v="1"/>
    <x v="0"/>
    <n v="1"/>
    <n v="0"/>
    <n v="0"/>
    <x v="1"/>
    <x v="0"/>
    <s v="Normal"/>
    <s v="Maxed Out"/>
    <m/>
    <m/>
    <m/>
  </r>
  <r>
    <x v="2"/>
    <x v="1"/>
    <x v="10"/>
    <x v="13"/>
    <n v="0.76100000000000001"/>
    <n v="1"/>
    <s v="UP"/>
    <n v="0.85"/>
    <n v="-4.0353089533417437E-2"/>
    <n v="1.8209321594669165E-2"/>
    <n v="0.22834931756330515"/>
    <n v="-0.25645975977945012"/>
    <n v="0"/>
    <x v="341"/>
    <n v="11"/>
    <x v="0"/>
    <x v="0"/>
    <n v="0"/>
    <n v="0"/>
    <n v="0"/>
    <x v="1"/>
    <x v="0"/>
    <s v="Normal"/>
    <s v="Maxed Out"/>
    <m/>
    <m/>
    <m/>
  </r>
  <r>
    <x v="2"/>
    <x v="1"/>
    <x v="10"/>
    <x v="14"/>
    <n v="0.80400000000000005"/>
    <n v="1"/>
    <s v="UP"/>
    <n v="0.85"/>
    <n v="5.6504599211563783E-2"/>
    <n v="1.8209321594669165E-2"/>
    <n v="0.22834931756330515"/>
    <n v="0.16770480431270851"/>
    <n v="0"/>
    <x v="342"/>
    <n v="12"/>
    <x v="1"/>
    <x v="0"/>
    <n v="1"/>
    <n v="0"/>
    <n v="0"/>
    <x v="0"/>
    <x v="0"/>
    <s v="Normal"/>
    <s v="Maxed Out"/>
    <m/>
    <m/>
    <m/>
  </r>
  <r>
    <x v="2"/>
    <x v="1"/>
    <x v="10"/>
    <x v="15"/>
    <n v="0.79400000000000004"/>
    <n v="1"/>
    <s v="UP"/>
    <n v="0.85"/>
    <n v="-1.2437810945273639E-2"/>
    <n v="1.8209321594669165E-2"/>
    <n v="0.22834931756330515"/>
    <n v="-0.13421162308245796"/>
    <n v="0"/>
    <x v="133"/>
    <n v="13"/>
    <x v="2"/>
    <x v="0"/>
    <n v="1"/>
    <n v="0"/>
    <n v="0"/>
    <x v="1"/>
    <x v="0"/>
    <s v="Normal"/>
    <s v="Maxed Out"/>
    <m/>
    <m/>
    <m/>
  </r>
  <r>
    <x v="2"/>
    <x v="1"/>
    <x v="11"/>
    <x v="0"/>
    <n v="0.68389999999999995"/>
    <n v="0"/>
    <s v="UP"/>
    <n v="0.7"/>
    <n v="0.1162069528317283"/>
    <n v="1.9288787744816144E-2"/>
    <n v="0.27585788879837708"/>
    <n v="0.35133367223639228"/>
    <n v="0"/>
    <x v="343"/>
    <n v="0"/>
    <x v="1"/>
    <x v="0"/>
    <n v="1"/>
    <n v="0"/>
    <n v="0"/>
    <x v="0"/>
    <x v="0"/>
    <s v="Normal"/>
    <s v="Allowed"/>
    <m/>
    <m/>
    <m/>
  </r>
  <r>
    <x v="2"/>
    <x v="1"/>
    <x v="11"/>
    <x v="1"/>
    <n v="0.69440000000000002"/>
    <n v="0"/>
    <s v="UP"/>
    <n v="0.7"/>
    <n v="1.5353121801433049E-2"/>
    <n v="1.9288787744816144E-2"/>
    <n v="0.27585788879837708"/>
    <n v="-1.4267005234204669E-2"/>
    <n v="0"/>
    <x v="344"/>
    <n v="0"/>
    <x v="0"/>
    <x v="0"/>
    <n v="0"/>
    <n v="0"/>
    <n v="0"/>
    <x v="0"/>
    <x v="1"/>
    <s v="Normal"/>
    <s v="Allowed"/>
    <m/>
    <m/>
    <m/>
  </r>
  <r>
    <x v="2"/>
    <x v="1"/>
    <x v="11"/>
    <x v="2"/>
    <n v="0.65449999999999997"/>
    <n v="1"/>
    <s v="UP"/>
    <n v="0.7"/>
    <n v="-5.7459677419354913E-2"/>
    <n v="1.9288787744816144E-2"/>
    <n v="0.27585788879837708"/>
    <n v="-0.27821740207787227"/>
    <n v="0"/>
    <x v="345"/>
    <n v="0"/>
    <x v="0"/>
    <x v="0"/>
    <n v="0"/>
    <n v="0"/>
    <n v="0"/>
    <x v="1"/>
    <x v="0"/>
    <s v="Normal"/>
    <s v="Allowed"/>
    <m/>
    <m/>
    <m/>
  </r>
  <r>
    <x v="2"/>
    <x v="1"/>
    <x v="11"/>
    <x v="3"/>
    <n v="0.6532"/>
    <n v="1"/>
    <s v="UP"/>
    <n v="0.7"/>
    <n v="-1.986249045072525E-3"/>
    <n v="1.9288787744816144E-2"/>
    <n v="0.27585788879837708"/>
    <n v="-7.7123177019013833E-2"/>
    <n v="0"/>
    <x v="346"/>
    <n v="1"/>
    <x v="2"/>
    <x v="0"/>
    <n v="1"/>
    <n v="0"/>
    <n v="0"/>
    <x v="1"/>
    <x v="0"/>
    <s v="Normal"/>
    <s v="Allowed"/>
    <m/>
    <m/>
    <m/>
  </r>
  <r>
    <x v="2"/>
    <x v="1"/>
    <x v="11"/>
    <x v="4"/>
    <n v="0.70479999999999998"/>
    <n v="0"/>
    <s v="UP"/>
    <n v="0.7"/>
    <n v="7.8995713410900156E-2"/>
    <n v="1.9288787744816144E-2"/>
    <n v="0.27585788879837708"/>
    <n v="0.21644088529120681"/>
    <n v="0"/>
    <x v="347"/>
    <n v="2"/>
    <x v="1"/>
    <x v="0"/>
    <n v="1"/>
    <n v="0"/>
    <n v="0"/>
    <x v="0"/>
    <x v="1"/>
    <s v="Normal"/>
    <s v="Allowed"/>
    <m/>
    <m/>
    <m/>
  </r>
  <r>
    <x v="2"/>
    <x v="1"/>
    <x v="11"/>
    <x v="5"/>
    <n v="0.67030000000000001"/>
    <n v="0"/>
    <s v="UP"/>
    <n v="0.7"/>
    <n v="-4.8950056753688957E-2"/>
    <n v="1.9288787744816144E-2"/>
    <n v="0.27585788879837708"/>
    <n v="-0.24736955972421176"/>
    <n v="0"/>
    <x v="348"/>
    <n v="2"/>
    <x v="0"/>
    <x v="0"/>
    <n v="0"/>
    <n v="0"/>
    <n v="0"/>
    <x v="1"/>
    <x v="0"/>
    <s v="Normal"/>
    <s v="Allowed"/>
    <m/>
    <m/>
    <m/>
  </r>
  <r>
    <x v="2"/>
    <x v="1"/>
    <x v="11"/>
    <x v="6"/>
    <n v="0.64119999999999999"/>
    <n v="1"/>
    <s v="UP"/>
    <n v="0.7"/>
    <n v="-4.3413396986424012E-2"/>
    <n v="1.9288787744816144E-2"/>
    <n v="0.27585788879837708"/>
    <n v="-0.22729886393449789"/>
    <n v="0"/>
    <x v="349"/>
    <n v="2"/>
    <x v="0"/>
    <x v="0"/>
    <n v="0"/>
    <n v="0"/>
    <n v="0"/>
    <x v="1"/>
    <x v="0"/>
    <s v="Normal"/>
    <s v="Allowed"/>
    <m/>
    <m/>
    <m/>
  </r>
  <r>
    <x v="2"/>
    <x v="1"/>
    <x v="11"/>
    <x v="7"/>
    <n v="0.70509999999999995"/>
    <n v="0"/>
    <s v="UP"/>
    <n v="0.7"/>
    <n v="9.9656893325015525E-2"/>
    <n v="1.9288787744816144E-2"/>
    <n v="0.27585788879837708"/>
    <n v="0.29133879741586788"/>
    <n v="0"/>
    <x v="350"/>
    <n v="3"/>
    <x v="1"/>
    <x v="0"/>
    <n v="1"/>
    <n v="0"/>
    <n v="0"/>
    <x v="0"/>
    <x v="1"/>
    <s v="Normal"/>
    <s v="Allowed"/>
    <m/>
    <m/>
    <m/>
  </r>
  <r>
    <x v="2"/>
    <x v="1"/>
    <x v="11"/>
    <x v="8"/>
    <n v="0.63639999999999997"/>
    <n v="0"/>
    <s v="UP"/>
    <n v="0.7"/>
    <n v="-9.7432988228620038E-2"/>
    <n v="1.9288787744816144E-2"/>
    <n v="0.27585788879837708"/>
    <n v="-0.42312284952904661"/>
    <n v="0"/>
    <x v="351"/>
    <n v="3"/>
    <x v="0"/>
    <x v="0"/>
    <n v="0"/>
    <n v="0"/>
    <n v="0"/>
    <x v="1"/>
    <x v="0"/>
    <s v="Normal"/>
    <s v="Allowed"/>
    <m/>
    <m/>
    <m/>
  </r>
  <r>
    <x v="2"/>
    <x v="1"/>
    <x v="11"/>
    <x v="9"/>
    <n v="0.66359999999999997"/>
    <n v="0"/>
    <s v="UP"/>
    <n v="0.7"/>
    <n v="4.2740414833438087E-2"/>
    <n v="1.9288787744816144E-2"/>
    <n v="0.27585788879837708"/>
    <n v="8.5013436413858001E-2"/>
    <n v="0"/>
    <x v="352"/>
    <n v="3"/>
    <x v="0"/>
    <x v="0"/>
    <n v="0"/>
    <n v="0"/>
    <n v="0"/>
    <x v="0"/>
    <x v="0"/>
    <s v="Normal"/>
    <s v="Allowed"/>
    <m/>
    <m/>
    <m/>
  </r>
  <r>
    <x v="2"/>
    <x v="1"/>
    <x v="11"/>
    <x v="10"/>
    <n v="0.69940000000000002"/>
    <n v="0"/>
    <s v="UP"/>
    <n v="0.7"/>
    <n v="5.3948161543098339E-2"/>
    <n v="1.9288787744816144E-2"/>
    <n v="0.27585788879837708"/>
    <n v="0.12564213388733114"/>
    <n v="0"/>
    <x v="353"/>
    <n v="3"/>
    <x v="0"/>
    <x v="0"/>
    <n v="0"/>
    <n v="0"/>
    <n v="0"/>
    <x v="0"/>
    <x v="1"/>
    <s v="Normal"/>
    <s v="Allowed"/>
    <m/>
    <m/>
    <m/>
  </r>
  <r>
    <x v="2"/>
    <x v="1"/>
    <x v="11"/>
    <x v="11"/>
    <n v="0.71899999999999997"/>
    <n v="0"/>
    <s v="UP"/>
    <n v="0.7"/>
    <n v="2.8024020589076281E-2"/>
    <n v="1.9288787744816144E-2"/>
    <n v="0.27585788879837708"/>
    <n v="3.1665698894131199E-2"/>
    <n v="0"/>
    <x v="354"/>
    <n v="3"/>
    <x v="0"/>
    <x v="0"/>
    <n v="0"/>
    <n v="0"/>
    <n v="0"/>
    <x v="0"/>
    <x v="1"/>
    <s v="Normal"/>
    <s v="Allowed"/>
    <m/>
    <m/>
    <m/>
  </r>
  <r>
    <x v="2"/>
    <x v="1"/>
    <x v="11"/>
    <x v="12"/>
    <n v="0.68200000000000005"/>
    <n v="0"/>
    <s v="UP"/>
    <n v="0.7"/>
    <n v="-5.1460361613351768E-2"/>
    <n v="1.9288787744816144E-2"/>
    <n v="0.27585788879837708"/>
    <n v="-0.25646955273364702"/>
    <n v="0"/>
    <x v="355"/>
    <n v="3"/>
    <x v="0"/>
    <x v="0"/>
    <n v="0"/>
    <n v="0"/>
    <n v="0"/>
    <x v="1"/>
    <x v="0"/>
    <s v="Normal"/>
    <s v="Allowed"/>
    <m/>
    <m/>
    <m/>
  </r>
  <r>
    <x v="2"/>
    <x v="1"/>
    <x v="11"/>
    <x v="13"/>
    <n v="0.72099999999999997"/>
    <n v="0"/>
    <s v="UP"/>
    <n v="0.7"/>
    <n v="5.7184750733137717E-2"/>
    <n v="1.9288787744816144E-2"/>
    <n v="0.27585788879837708"/>
    <n v="0.13737494748979068"/>
    <n v="0"/>
    <x v="356"/>
    <n v="3"/>
    <x v="0"/>
    <x v="0"/>
    <n v="0"/>
    <n v="0"/>
    <n v="0"/>
    <x v="0"/>
    <x v="1"/>
    <s v="Normal"/>
    <s v="Allowed"/>
    <m/>
    <m/>
    <m/>
  </r>
  <r>
    <x v="2"/>
    <x v="1"/>
    <x v="11"/>
    <x v="14"/>
    <n v="0.74"/>
    <n v="0"/>
    <s v="UP"/>
    <n v="0.7"/>
    <n v="2.6352288488210841E-2"/>
    <n v="1.9288787744816144E-2"/>
    <n v="0.27585788879837708"/>
    <n v="2.5605578198843421E-2"/>
    <n v="0"/>
    <x v="357"/>
    <n v="3"/>
    <x v="0"/>
    <x v="0"/>
    <n v="0"/>
    <n v="0"/>
    <n v="0"/>
    <x v="0"/>
    <x v="1"/>
    <s v="Normal"/>
    <s v="Allowed"/>
    <m/>
    <m/>
    <m/>
  </r>
  <r>
    <x v="2"/>
    <x v="1"/>
    <x v="11"/>
    <x v="15"/>
    <n v="0.69799999999999995"/>
    <n v="0"/>
    <s v="UP"/>
    <n v="0.7"/>
    <n v="-5.6756756756756808E-2"/>
    <n v="1.9288787744816144E-2"/>
    <n v="0.27585788879837708"/>
    <n v="-0.27566927606393088"/>
    <n v="0"/>
    <x v="358"/>
    <n v="3"/>
    <x v="0"/>
    <x v="0"/>
    <n v="0"/>
    <n v="0"/>
    <n v="0"/>
    <x v="1"/>
    <x v="1"/>
    <s v="Normal"/>
    <s v="Allowed"/>
    <m/>
    <m/>
    <m/>
  </r>
  <r>
    <x v="0"/>
    <x v="2"/>
    <x v="0"/>
    <x v="0"/>
    <n v="0.29139072847682118"/>
    <n v="1"/>
    <s v="DOWN"/>
    <n v="0.27"/>
    <n v="-0.1194883115412915"/>
    <n v="1.2504550363164104E-2"/>
    <n v="5.3924507863027986E-2"/>
    <n v="-2.4477341961047969"/>
    <n v="1"/>
    <x v="359"/>
    <n v="0"/>
    <x v="0"/>
    <x v="1"/>
    <n v="0"/>
    <n v="1"/>
    <n v="1"/>
    <x v="1"/>
    <x v="0"/>
    <s v="Abnormal"/>
    <s v="Allowed"/>
    <m/>
    <m/>
    <m/>
  </r>
  <r>
    <x v="0"/>
    <x v="2"/>
    <x v="0"/>
    <x v="1"/>
    <n v="0.28227571115973737"/>
    <n v="0"/>
    <s v="DOWN"/>
    <n v="0.27"/>
    <n v="3.1281082156355791E-2"/>
    <n v="1.2504550363164104E-2"/>
    <n v="5.3924507863027986E-2"/>
    <n v="0.34820033667966682"/>
    <n v="0"/>
    <x v="360"/>
    <n v="1"/>
    <x v="1"/>
    <x v="0"/>
    <n v="1"/>
    <n v="0"/>
    <n v="0"/>
    <x v="0"/>
    <x v="0"/>
    <s v="Normal"/>
    <s v="Allowed"/>
    <m/>
    <m/>
    <m/>
  </r>
  <r>
    <x v="0"/>
    <x v="2"/>
    <x v="0"/>
    <x v="2"/>
    <n v="0.30246575342465748"/>
    <n v="1"/>
    <s v="DOWN"/>
    <n v="0.27"/>
    <n v="-7.1525963682701463E-2"/>
    <n v="1.2504550363164104E-2"/>
    <n v="5.3924507863027986E-2"/>
    <n v="-1.5582991366246481"/>
    <n v="1"/>
    <x v="361"/>
    <n v="1"/>
    <x v="0"/>
    <x v="1"/>
    <n v="0"/>
    <n v="1"/>
    <n v="1"/>
    <x v="1"/>
    <x v="0"/>
    <s v="Abnormal"/>
    <s v="Allowed"/>
    <m/>
    <m/>
    <m/>
  </r>
  <r>
    <x v="0"/>
    <x v="2"/>
    <x v="0"/>
    <x v="3"/>
    <n v="0.29347826100000002"/>
    <n v="0"/>
    <s v="DOWN"/>
    <n v="0.27"/>
    <n v="2.9714082744564978E-2"/>
    <n v="1.2504550363164104E-2"/>
    <n v="5.3924507863027986E-2"/>
    <n v="0.31914120431315368"/>
    <n v="0"/>
    <x v="362"/>
    <n v="2"/>
    <x v="1"/>
    <x v="0"/>
    <n v="1"/>
    <n v="0"/>
    <n v="0"/>
    <x v="0"/>
    <x v="0"/>
    <s v="Normal"/>
    <s v="Allowed"/>
    <m/>
    <m/>
    <m/>
  </r>
  <r>
    <x v="0"/>
    <x v="2"/>
    <x v="0"/>
    <x v="4"/>
    <n v="0.29967426710097722"/>
    <n v="1"/>
    <s v="DOWN"/>
    <n v="0.27"/>
    <n v="-2.1112317075427961E-2"/>
    <n v="1.2504550363164104E-2"/>
    <n v="5.3924507863027986E-2"/>
    <n v="-0.62340610551293774"/>
    <n v="1"/>
    <x v="363"/>
    <n v="2"/>
    <x v="0"/>
    <x v="1"/>
    <n v="0"/>
    <n v="1"/>
    <n v="1"/>
    <x v="1"/>
    <x v="0"/>
    <s v="Abnormal"/>
    <s v="Allowed"/>
    <m/>
    <m/>
    <m/>
  </r>
  <r>
    <x v="0"/>
    <x v="2"/>
    <x v="0"/>
    <x v="5"/>
    <n v="0.32397408207343409"/>
    <n v="1"/>
    <s v="DOWN"/>
    <n v="0.27"/>
    <n v="-8.1087426049394104E-2"/>
    <n v="1.2504550363164104E-2"/>
    <n v="5.3924507863027986E-2"/>
    <n v="-1.7356111371528573"/>
    <n v="1"/>
    <x v="364"/>
    <n v="3"/>
    <x v="2"/>
    <x v="1"/>
    <n v="1"/>
    <n v="1"/>
    <n v="1"/>
    <x v="1"/>
    <x v="0"/>
    <s v="Abnormal"/>
    <s v="Allowed"/>
    <m/>
    <m/>
    <m/>
  </r>
  <r>
    <x v="0"/>
    <x v="2"/>
    <x v="0"/>
    <x v="6"/>
    <n v="0.29837837837837838"/>
    <n v="1"/>
    <s v="DOWN"/>
    <n v="0.27"/>
    <n v="7.900540540540528E-2"/>
    <n v="1.2504550363164104E-2"/>
    <n v="5.3924507863027986E-2"/>
    <n v="1.233221362189489"/>
    <n v="-1"/>
    <x v="365"/>
    <n v="4"/>
    <x v="1"/>
    <x v="0"/>
    <n v="1"/>
    <n v="0"/>
    <n v="0"/>
    <x v="0"/>
    <x v="0"/>
    <s v="Normal"/>
    <s v="Allowed"/>
    <m/>
    <m/>
    <m/>
  </r>
  <r>
    <x v="0"/>
    <x v="2"/>
    <x v="0"/>
    <x v="7"/>
    <n v="0.3043712898003238"/>
    <n v="1"/>
    <s v="DOWN"/>
    <n v="0.27"/>
    <n v="-2.008493864238952E-2"/>
    <n v="1.2504550363164104E-2"/>
    <n v="5.3924507863027986E-2"/>
    <n v="-0.60435394400507469"/>
    <n v="1"/>
    <x v="366"/>
    <n v="5"/>
    <x v="2"/>
    <x v="2"/>
    <n v="1"/>
    <n v="-1"/>
    <n v="0"/>
    <x v="1"/>
    <x v="0"/>
    <s v="Abnormal"/>
    <s v="Maxed Out"/>
    <m/>
    <m/>
    <m/>
  </r>
  <r>
    <x v="0"/>
    <x v="2"/>
    <x v="0"/>
    <x v="8"/>
    <n v="0.30585683297180039"/>
    <n v="1"/>
    <s v="DOWN"/>
    <n v="0.27"/>
    <n v="-4.8806941431668773E-3"/>
    <n v="1.2504550363164104E-2"/>
    <n v="5.3924507863027986E-2"/>
    <n v="-0.32239968792094897"/>
    <n v="0"/>
    <x v="367"/>
    <n v="6"/>
    <x v="2"/>
    <x v="0"/>
    <n v="1"/>
    <n v="0"/>
    <n v="0"/>
    <x v="1"/>
    <x v="0"/>
    <s v="Normal"/>
    <s v="Maxed Out"/>
    <m/>
    <m/>
    <m/>
  </r>
  <r>
    <x v="0"/>
    <x v="2"/>
    <x v="0"/>
    <x v="9"/>
    <n v="0.2816593886462882"/>
    <n v="1"/>
    <s v="DOWN"/>
    <n v="0.27"/>
    <n v="7.9113630028802256E-2"/>
    <n v="1.2504550363164104E-2"/>
    <n v="5.3924507863027986E-2"/>
    <n v="1.2352283276247948"/>
    <n v="-1"/>
    <x v="368"/>
    <n v="7"/>
    <x v="1"/>
    <x v="0"/>
    <n v="1"/>
    <n v="0"/>
    <n v="0"/>
    <x v="0"/>
    <x v="0"/>
    <s v="Normal"/>
    <s v="Maxed Out"/>
    <m/>
    <m/>
    <m/>
  </r>
  <r>
    <x v="0"/>
    <x v="2"/>
    <x v="0"/>
    <x v="10"/>
    <n v="0.29480737018425462"/>
    <n v="0"/>
    <s v="DOWN"/>
    <n v="0.27"/>
    <n v="-4.6680430576655989E-2"/>
    <n v="1.2504550363164104E-2"/>
    <n v="5.3924507863027986E-2"/>
    <n v="-1.0975525467966083"/>
    <n v="1"/>
    <x v="369"/>
    <n v="8"/>
    <x v="2"/>
    <x v="2"/>
    <n v="1"/>
    <n v="-1"/>
    <n v="0"/>
    <x v="1"/>
    <x v="0"/>
    <s v="Abnormal"/>
    <s v="Maxed Out"/>
    <m/>
    <m/>
    <m/>
  </r>
  <r>
    <x v="0"/>
    <x v="2"/>
    <x v="0"/>
    <x v="11"/>
    <n v="0.287835522558538"/>
    <n v="0"/>
    <s v="DOWN"/>
    <n v="0.27"/>
    <n v="2.3648824048595581E-2"/>
    <n v="1.2504550363164104E-2"/>
    <n v="5.3924507863027986E-2"/>
    <n v="0.20666435591287563"/>
    <n v="0"/>
    <x v="370"/>
    <n v="8"/>
    <x v="0"/>
    <x v="0"/>
    <n v="0"/>
    <n v="0"/>
    <n v="0"/>
    <x v="0"/>
    <x v="0"/>
    <s v="Normal"/>
    <s v="Maxed Out"/>
    <m/>
    <m/>
    <m/>
  </r>
  <r>
    <x v="0"/>
    <x v="2"/>
    <x v="0"/>
    <x v="12"/>
    <n v="0.25366999412800939"/>
    <n v="0"/>
    <s v="DOWN"/>
    <n v="0.27"/>
    <n v="0.1186980957973325"/>
    <n v="1.2504550363164104E-2"/>
    <n v="5.3924507863027986E-2"/>
    <n v="1.9693002243786335"/>
    <n v="-1"/>
    <x v="371"/>
    <n v="8"/>
    <x v="0"/>
    <x v="0"/>
    <n v="0"/>
    <n v="0"/>
    <n v="0"/>
    <x v="0"/>
    <x v="1"/>
    <s v="Normal"/>
    <s v="Maxed Out"/>
    <m/>
    <m/>
    <m/>
  </r>
  <r>
    <x v="0"/>
    <x v="2"/>
    <x v="0"/>
    <x v="13"/>
    <n v="0.24757281553398061"/>
    <n v="0"/>
    <s v="DOWN"/>
    <n v="0.27"/>
    <n v="2.4035868392664379E-2"/>
    <n v="1.2504550363164104E-2"/>
    <n v="5.3924507863027986E-2"/>
    <n v="0.21384187796002935"/>
    <n v="0"/>
    <x v="372"/>
    <n v="8"/>
    <x v="0"/>
    <x v="0"/>
    <n v="0"/>
    <n v="0"/>
    <n v="0"/>
    <x v="0"/>
    <x v="1"/>
    <s v="Normal"/>
    <s v="Maxed Out"/>
    <m/>
    <m/>
    <m/>
  </r>
  <r>
    <x v="0"/>
    <x v="2"/>
    <x v="0"/>
    <x v="14"/>
    <n v="0.25579937304075229"/>
    <n v="0"/>
    <s v="DOWN"/>
    <n v="0.27"/>
    <n v="-3.3228840125391471E-2"/>
    <n v="1.2504550363164104E-2"/>
    <n v="5.3924507863027986E-2"/>
    <n v="-0.8481002850266447"/>
    <n v="1"/>
    <x v="373"/>
    <n v="8"/>
    <x v="0"/>
    <x v="0"/>
    <n v="0"/>
    <n v="0"/>
    <n v="0"/>
    <x v="1"/>
    <x v="1"/>
    <s v="Abnormal"/>
    <s v="Maxed Out"/>
    <m/>
    <m/>
    <m/>
  </r>
  <r>
    <x v="0"/>
    <x v="2"/>
    <x v="0"/>
    <x v="15"/>
    <n v="0.2574772431729519"/>
    <n v="0"/>
    <s v="DOWN"/>
    <n v="0.27"/>
    <n v="-6.5593207373979886E-3"/>
    <n v="1.2504550363164104E-2"/>
    <n v="5.3924507863027986E-2"/>
    <n v="-0.35352888428737556"/>
    <n v="0"/>
    <x v="374"/>
    <n v="8"/>
    <x v="0"/>
    <x v="0"/>
    <n v="0"/>
    <n v="0"/>
    <n v="0"/>
    <x v="1"/>
    <x v="1"/>
    <s v="Normal"/>
    <s v="Maxed Out"/>
    <m/>
    <m/>
    <m/>
  </r>
  <r>
    <x v="0"/>
    <x v="2"/>
    <x v="1"/>
    <x v="0"/>
    <n v="7.01468189233279E-2"/>
    <n v="1"/>
    <s v="DOWN"/>
    <n v="5.3999999999999999E-2"/>
    <n v="-2.380952380952386E-2"/>
    <n v="1.0109678696460058E-2"/>
    <n v="0.17556416633612926"/>
    <n v="-0.19320117091003269"/>
    <n v="0"/>
    <x v="375"/>
    <n v="0"/>
    <x v="0"/>
    <x v="0"/>
    <n v="0"/>
    <n v="0"/>
    <n v="0"/>
    <x v="1"/>
    <x v="0"/>
    <s v="Normal"/>
    <s v="Allowed"/>
    <m/>
    <m/>
    <m/>
  </r>
  <r>
    <x v="0"/>
    <x v="2"/>
    <x v="1"/>
    <x v="1"/>
    <n v="7.7046548956661312E-2"/>
    <n v="1"/>
    <s v="DOWN"/>
    <n v="5.3999999999999999E-2"/>
    <n v="-9.8361267684497239E-2"/>
    <n v="1.0109678696460058E-2"/>
    <n v="0.17556416633612926"/>
    <n v="-0.61784217499875493"/>
    <n v="1"/>
    <x v="376"/>
    <n v="1"/>
    <x v="2"/>
    <x v="1"/>
    <n v="1"/>
    <n v="1"/>
    <n v="1"/>
    <x v="1"/>
    <x v="0"/>
    <s v="Abnormal"/>
    <s v="Allowed"/>
    <m/>
    <m/>
    <m/>
  </r>
  <r>
    <x v="0"/>
    <x v="2"/>
    <x v="1"/>
    <x v="2"/>
    <n v="6.354515050167224E-2"/>
    <n v="1"/>
    <s v="DOWN"/>
    <n v="5.3999999999999999E-2"/>
    <n v="0.17523690078037901"/>
    <n v="1.0109678696460058E-2"/>
    <n v="0.17556416633612926"/>
    <n v="0.94055196757960224"/>
    <n v="-1"/>
    <x v="377"/>
    <n v="2"/>
    <x v="1"/>
    <x v="0"/>
    <n v="1"/>
    <n v="0"/>
    <n v="0"/>
    <x v="0"/>
    <x v="0"/>
    <s v="Normal"/>
    <s v="Allowed"/>
    <m/>
    <m/>
    <m/>
  </r>
  <r>
    <x v="0"/>
    <x v="2"/>
    <x v="1"/>
    <x v="3"/>
    <n v="6.3741722000000001E-2"/>
    <n v="0"/>
    <s v="DOWN"/>
    <n v="5.3999999999999999E-2"/>
    <n v="-3.0934146315789689E-3"/>
    <n v="1.0109678696460058E-2"/>
    <n v="0.17556416633612926"/>
    <n v="-7.5203804988090955E-2"/>
    <n v="0"/>
    <x v="378"/>
    <n v="3"/>
    <x v="2"/>
    <x v="0"/>
    <n v="1"/>
    <n v="0"/>
    <n v="0"/>
    <x v="1"/>
    <x v="0"/>
    <s v="Normal"/>
    <s v="Allowed"/>
    <m/>
    <m/>
    <m/>
  </r>
  <r>
    <x v="0"/>
    <x v="2"/>
    <x v="1"/>
    <x v="4"/>
    <n v="6.5560165975103737E-2"/>
    <n v="1"/>
    <s v="DOWN"/>
    <n v="5.3999999999999999E-2"/>
    <n v="-2.8528315803952341E-2"/>
    <n v="1.0109678696460058E-2"/>
    <n v="0.17556416633612926"/>
    <n v="-0.22007904748875345"/>
    <n v="0"/>
    <x v="379"/>
    <n v="3"/>
    <x v="0"/>
    <x v="0"/>
    <n v="0"/>
    <n v="0"/>
    <n v="0"/>
    <x v="1"/>
    <x v="0"/>
    <s v="Normal"/>
    <s v="Allowed"/>
    <m/>
    <m/>
    <m/>
  </r>
  <r>
    <x v="0"/>
    <x v="2"/>
    <x v="1"/>
    <x v="5"/>
    <n v="6.7880794701986755E-2"/>
    <n v="0"/>
    <s v="DOWN"/>
    <n v="5.3999999999999999E-2"/>
    <n v="-3.5396931846759953E-2"/>
    <n v="1.0109678696460058E-2"/>
    <n v="0.17556416633612926"/>
    <n v="-0.25920215664109147"/>
    <n v="0"/>
    <x v="380"/>
    <n v="4"/>
    <x v="2"/>
    <x v="0"/>
    <n v="1"/>
    <n v="0"/>
    <n v="0"/>
    <x v="1"/>
    <x v="0"/>
    <s v="Normal"/>
    <s v="Allowed"/>
    <m/>
    <m/>
    <m/>
  </r>
  <r>
    <x v="0"/>
    <x v="2"/>
    <x v="1"/>
    <x v="6"/>
    <n v="6.4489112227805692E-2"/>
    <n v="0"/>
    <s v="DOWN"/>
    <n v="5.3999999999999999E-2"/>
    <n v="4.9965273522081993E-2"/>
    <n v="1.0109678696460058E-2"/>
    <n v="0.17556416633612926"/>
    <n v="0.22701440537310871"/>
    <n v="0"/>
    <x v="381"/>
    <n v="4"/>
    <x v="0"/>
    <x v="0"/>
    <n v="0"/>
    <n v="0"/>
    <n v="0"/>
    <x v="0"/>
    <x v="0"/>
    <s v="Normal"/>
    <s v="Allowed"/>
    <m/>
    <m/>
    <m/>
  </r>
  <r>
    <x v="0"/>
    <x v="2"/>
    <x v="1"/>
    <x v="7"/>
    <n v="6.9051580698835269E-2"/>
    <n v="1"/>
    <s v="DOWN"/>
    <n v="5.3999999999999999E-2"/>
    <n v="-7.0747887719601485E-2"/>
    <n v="1.0109678696460058E-2"/>
    <n v="0.17556416633612926"/>
    <n v="-0.46055848470384531"/>
    <n v="0"/>
    <x v="382"/>
    <n v="4"/>
    <x v="0"/>
    <x v="0"/>
    <n v="0"/>
    <n v="0"/>
    <n v="0"/>
    <x v="1"/>
    <x v="0"/>
    <s v="Normal"/>
    <s v="Allowed"/>
    <m/>
    <m/>
    <m/>
  </r>
  <r>
    <x v="0"/>
    <x v="2"/>
    <x v="1"/>
    <x v="8"/>
    <n v="6.7612687813021696E-2"/>
    <n v="1"/>
    <s v="DOWN"/>
    <n v="5.3999999999999999E-2"/>
    <n v="2.083794275599897E-2"/>
    <n v="1.0109678696460058E-2"/>
    <n v="0.17556416633612926"/>
    <n v="6.1107367656102085E-2"/>
    <n v="0"/>
    <x v="383"/>
    <n v="5"/>
    <x v="1"/>
    <x v="0"/>
    <n v="1"/>
    <n v="0"/>
    <n v="0"/>
    <x v="0"/>
    <x v="0"/>
    <s v="Normal"/>
    <s v="Maxed Out"/>
    <m/>
    <m/>
    <m/>
  </r>
  <r>
    <x v="0"/>
    <x v="2"/>
    <x v="1"/>
    <x v="9"/>
    <n v="6.4080944350758853E-2"/>
    <n v="1"/>
    <s v="DOWN"/>
    <n v="5.3999999999999999E-2"/>
    <n v="5.2234921824578853E-2"/>
    <n v="1.0109678696460058E-2"/>
    <n v="0.17556416633612926"/>
    <n v="0.23994214769013408"/>
    <n v="0"/>
    <x v="384"/>
    <n v="6"/>
    <x v="1"/>
    <x v="0"/>
    <n v="1"/>
    <n v="0"/>
    <n v="0"/>
    <x v="0"/>
    <x v="0"/>
    <s v="Normal"/>
    <s v="Maxed Out"/>
    <m/>
    <m/>
    <m/>
  </r>
  <r>
    <x v="0"/>
    <x v="2"/>
    <x v="1"/>
    <x v="10"/>
    <n v="5.2003410059676042E-2"/>
    <n v="0"/>
    <s v="DOWN"/>
    <n v="5.3999999999999999E-2"/>
    <n v="0.1884731009108449"/>
    <n v="1.0109678696460058E-2"/>
    <n v="0.17556416633612926"/>
    <n v="1.0159443463701825"/>
    <n v="-1"/>
    <x v="385"/>
    <n v="7"/>
    <x v="1"/>
    <x v="0"/>
    <n v="1"/>
    <n v="0"/>
    <n v="0"/>
    <x v="0"/>
    <x v="1"/>
    <s v="Normal"/>
    <s v="Maxed Out"/>
    <m/>
    <m/>
    <m/>
  </r>
  <r>
    <x v="0"/>
    <x v="2"/>
    <x v="1"/>
    <x v="11"/>
    <n v="4.5376712328767117E-2"/>
    <n v="0"/>
    <s v="DOWN"/>
    <n v="5.3999999999999999E-2"/>
    <n v="0.1274281383337077"/>
    <n v="1.0109678696460058E-2"/>
    <n v="0.17556416633612926"/>
    <n v="0.66823693060822931"/>
    <n v="-1"/>
    <x v="386"/>
    <n v="7"/>
    <x v="0"/>
    <x v="0"/>
    <n v="0"/>
    <n v="0"/>
    <n v="0"/>
    <x v="0"/>
    <x v="1"/>
    <s v="Normal"/>
    <s v="Maxed Out"/>
    <m/>
    <m/>
    <m/>
  </r>
  <r>
    <x v="0"/>
    <x v="2"/>
    <x v="1"/>
    <x v="12"/>
    <n v="3.8826574633304571E-2"/>
    <n v="0"/>
    <s v="DOWN"/>
    <n v="5.3999999999999999E-2"/>
    <n v="0.14435020430755199"/>
    <n v="1.0109678696460058E-2"/>
    <n v="0.17556416633612926"/>
    <n v="0.7646237179976666"/>
    <n v="-1"/>
    <x v="387"/>
    <n v="7"/>
    <x v="0"/>
    <x v="0"/>
    <n v="0"/>
    <n v="0"/>
    <n v="0"/>
    <x v="0"/>
    <x v="1"/>
    <s v="Normal"/>
    <s v="Maxed Out"/>
    <m/>
    <m/>
    <m/>
  </r>
  <r>
    <x v="0"/>
    <x v="2"/>
    <x v="1"/>
    <x v="13"/>
    <n v="5.1020408163265307E-2"/>
    <n v="0"/>
    <s v="DOWN"/>
    <n v="5.3999999999999999E-2"/>
    <n v="-0.31405895691609992"/>
    <n v="1.0109678696460058E-2"/>
    <n v="0.17556416633612926"/>
    <n v="-1.8464396373000034"/>
    <n v="1"/>
    <x v="388"/>
    <n v="7"/>
    <x v="0"/>
    <x v="0"/>
    <n v="0"/>
    <n v="0"/>
    <n v="0"/>
    <x v="1"/>
    <x v="1"/>
    <s v="Abnormal"/>
    <s v="Maxed Out"/>
    <m/>
    <m/>
    <m/>
  </r>
  <r>
    <x v="0"/>
    <x v="2"/>
    <x v="1"/>
    <x v="14"/>
    <n v="5.0818260120585712E-2"/>
    <n v="0"/>
    <s v="DOWN"/>
    <n v="5.3999999999999999E-2"/>
    <n v="3.9621016365200658E-3"/>
    <n v="1.0109678696460058E-2"/>
    <n v="0.17556416633612926"/>
    <n v="-3.5016126515077385E-2"/>
    <n v="0"/>
    <x v="389"/>
    <n v="7"/>
    <x v="0"/>
    <x v="0"/>
    <n v="0"/>
    <n v="0"/>
    <n v="0"/>
    <x v="1"/>
    <x v="1"/>
    <s v="Normal"/>
    <s v="Maxed Out"/>
    <m/>
    <m/>
    <m/>
  </r>
  <r>
    <x v="0"/>
    <x v="2"/>
    <x v="1"/>
    <x v="15"/>
    <n v="4.6511627906976737E-2"/>
    <n v="0"/>
    <s v="DOWN"/>
    <n v="5.3999999999999999E-2"/>
    <n v="8.4745762711864736E-2"/>
    <n v="1.0109678696460058E-2"/>
    <n v="0.17556416633612926"/>
    <n v="0.4251213990473941"/>
    <n v="0"/>
    <x v="390"/>
    <n v="7"/>
    <x v="0"/>
    <x v="0"/>
    <n v="0"/>
    <n v="0"/>
    <n v="0"/>
    <x v="0"/>
    <x v="1"/>
    <s v="Normal"/>
    <s v="Maxed Out"/>
    <m/>
    <m/>
    <m/>
  </r>
  <r>
    <x v="0"/>
    <x v="2"/>
    <x v="2"/>
    <x v="0"/>
    <n v="7.7134986225895319E-2"/>
    <n v="0"/>
    <s v="DOWN"/>
    <n v="6.6000000000000003E-2"/>
    <n v="7.6951331496786027E-2"/>
    <n v="-2.475667272801203E-2"/>
    <n v="0.42334565134305008"/>
    <n v="0.24024813743127579"/>
    <n v="0"/>
    <x v="391"/>
    <n v="0"/>
    <x v="0"/>
    <x v="0"/>
    <n v="0"/>
    <n v="0"/>
    <n v="0"/>
    <x v="0"/>
    <x v="0"/>
    <s v="Normal"/>
    <s v="Allowed"/>
    <m/>
    <m/>
    <m/>
  </r>
  <r>
    <x v="0"/>
    <x v="2"/>
    <x v="2"/>
    <x v="1"/>
    <n v="9.1644204851752023E-2"/>
    <n v="0"/>
    <s v="DOWN"/>
    <n v="6.6000000000000003E-2"/>
    <n v="-0.18810165575664231"/>
    <n v="-2.475667272801203E-2"/>
    <n v="0.42334565134305008"/>
    <n v="-0.38584306348824826"/>
    <n v="0"/>
    <x v="392"/>
    <n v="0"/>
    <x v="0"/>
    <x v="0"/>
    <n v="0"/>
    <n v="0"/>
    <n v="0"/>
    <x v="1"/>
    <x v="0"/>
    <s v="Normal"/>
    <s v="Allowed"/>
    <m/>
    <m/>
    <m/>
  </r>
  <r>
    <x v="0"/>
    <x v="2"/>
    <x v="2"/>
    <x v="2"/>
    <n v="7.7994428969359333E-2"/>
    <n v="0"/>
    <s v="DOWN"/>
    <n v="6.6000000000000003E-2"/>
    <n v="0.1489431427166967"/>
    <n v="-2.475667272801203E-2"/>
    <n v="0.42334565134305008"/>
    <n v="0.41030258582709378"/>
    <n v="0"/>
    <x v="393"/>
    <n v="0"/>
    <x v="0"/>
    <x v="0"/>
    <n v="0"/>
    <n v="0"/>
    <n v="0"/>
    <x v="0"/>
    <x v="0"/>
    <s v="Normal"/>
    <s v="Allowed"/>
    <m/>
    <m/>
    <m/>
  </r>
  <r>
    <x v="0"/>
    <x v="2"/>
    <x v="2"/>
    <x v="3"/>
    <n v="7.3239437000000004E-2"/>
    <n v="0"/>
    <s v="DOWN"/>
    <n v="6.6000000000000003E-2"/>
    <n v="6.0965789892857107E-2"/>
    <n v="-2.475667272801203E-2"/>
    <n v="0.42334565134305008"/>
    <n v="0.20248811426057514"/>
    <n v="0"/>
    <x v="394"/>
    <n v="0"/>
    <x v="0"/>
    <x v="0"/>
    <n v="0"/>
    <n v="0"/>
    <n v="0"/>
    <x v="0"/>
    <x v="0"/>
    <s v="Normal"/>
    <s v="Allowed"/>
    <m/>
    <m/>
    <m/>
  </r>
  <r>
    <x v="0"/>
    <x v="2"/>
    <x v="2"/>
    <x v="4"/>
    <n v="6.8181818181818177E-2"/>
    <n v="0"/>
    <s v="DOWN"/>
    <n v="6.6000000000000003E-2"/>
    <n v="6.9055948889692145E-2"/>
    <n v="-2.475667272801203E-2"/>
    <n v="0.42334565134305008"/>
    <n v="0.22159817000620352"/>
    <n v="0"/>
    <x v="395"/>
    <n v="0"/>
    <x v="0"/>
    <x v="0"/>
    <n v="0"/>
    <n v="0"/>
    <n v="0"/>
    <x v="0"/>
    <x v="0"/>
    <s v="Normal"/>
    <s v="Allowed"/>
    <m/>
    <m/>
    <m/>
  </r>
  <r>
    <x v="0"/>
    <x v="2"/>
    <x v="2"/>
    <x v="5"/>
    <n v="5.8495821727019497E-2"/>
    <n v="0"/>
    <s v="DOWN"/>
    <n v="6.6000000000000003E-2"/>
    <n v="0.14206128133704729"/>
    <n v="-2.475667272801203E-2"/>
    <n v="0.42334565134305008"/>
    <n v="0.39404669337179882"/>
    <n v="0"/>
    <x v="396"/>
    <n v="0"/>
    <x v="0"/>
    <x v="0"/>
    <n v="0"/>
    <n v="0"/>
    <n v="0"/>
    <x v="0"/>
    <x v="1"/>
    <s v="Normal"/>
    <s v="Allowed"/>
    <m/>
    <m/>
    <m/>
  </r>
  <r>
    <x v="0"/>
    <x v="2"/>
    <x v="2"/>
    <x v="6"/>
    <n v="5.8988764044943819E-2"/>
    <n v="0"/>
    <s v="DOWN"/>
    <n v="6.6000000000000003E-2"/>
    <n v="-8.4269662921348382E-3"/>
    <n v="-2.475667272801203E-2"/>
    <n v="0.42334565134305008"/>
    <n v="3.8572987307349767E-2"/>
    <n v="0"/>
    <x v="397"/>
    <n v="0"/>
    <x v="0"/>
    <x v="0"/>
    <n v="0"/>
    <n v="0"/>
    <n v="0"/>
    <x v="1"/>
    <x v="1"/>
    <s v="Normal"/>
    <s v="Allowed"/>
    <m/>
    <m/>
    <m/>
  </r>
  <r>
    <x v="0"/>
    <x v="2"/>
    <x v="2"/>
    <x v="7"/>
    <n v="4.8022598870056499E-2"/>
    <n v="0"/>
    <s v="DOWN"/>
    <n v="6.6000000000000003E-2"/>
    <n v="0.1859026096314231"/>
    <n v="-2.475667272801203E-2"/>
    <n v="0.42334565134305008"/>
    <n v="0.49760587286328684"/>
    <n v="0"/>
    <x v="398"/>
    <n v="0"/>
    <x v="0"/>
    <x v="0"/>
    <n v="0"/>
    <n v="0"/>
    <n v="0"/>
    <x v="0"/>
    <x v="1"/>
    <s v="Normal"/>
    <s v="Allowed"/>
    <m/>
    <m/>
    <m/>
  </r>
  <r>
    <x v="0"/>
    <x v="2"/>
    <x v="2"/>
    <x v="8"/>
    <n v="5.4285714285714277E-2"/>
    <n v="0"/>
    <s v="DOWN"/>
    <n v="6.6000000000000003E-2"/>
    <n v="-0.1304201680672267"/>
    <n v="-2.475667272801203E-2"/>
    <n v="0.42334565134305008"/>
    <n v="-0.24959154535779621"/>
    <n v="0"/>
    <x v="399"/>
    <n v="0"/>
    <x v="0"/>
    <x v="0"/>
    <n v="0"/>
    <n v="0"/>
    <n v="0"/>
    <x v="1"/>
    <x v="1"/>
    <s v="Normal"/>
    <s v="Allowed"/>
    <m/>
    <m/>
    <m/>
  </r>
  <r>
    <x v="0"/>
    <x v="2"/>
    <x v="2"/>
    <x v="9"/>
    <n v="6.8965517241379309E-2"/>
    <n v="0"/>
    <s v="DOWN"/>
    <n v="6.6000000000000003E-2"/>
    <n v="-0.2704174228675138"/>
    <n v="-2.475667272801203E-2"/>
    <n v="0.42334565134305008"/>
    <n v="-0.58028409967163042"/>
    <n v="1"/>
    <x v="400"/>
    <n v="0"/>
    <x v="0"/>
    <x v="1"/>
    <n v="0"/>
    <n v="1"/>
    <n v="1"/>
    <x v="1"/>
    <x v="0"/>
    <s v="Abnormal"/>
    <s v="Allowed"/>
    <m/>
    <m/>
    <m/>
  </r>
  <r>
    <x v="0"/>
    <x v="2"/>
    <x v="2"/>
    <x v="10"/>
    <n v="4.6511627906976737E-2"/>
    <n v="0"/>
    <s v="DOWN"/>
    <n v="6.6000000000000003E-2"/>
    <n v="0.32558139534883729"/>
    <n v="-2.475667272801203E-2"/>
    <n v="0.42334565134305008"/>
    <n v="0.82754615989419844"/>
    <n v="-1"/>
    <x v="401"/>
    <n v="0"/>
    <x v="0"/>
    <x v="0"/>
    <n v="0"/>
    <n v="0"/>
    <n v="0"/>
    <x v="0"/>
    <x v="1"/>
    <s v="Normal"/>
    <s v="Allowed"/>
    <m/>
    <m/>
    <m/>
  </r>
  <r>
    <x v="0"/>
    <x v="2"/>
    <x v="2"/>
    <x v="11"/>
    <n v="4.4817927170868348E-2"/>
    <n v="0"/>
    <s v="DOWN"/>
    <n v="6.6000000000000003E-2"/>
    <n v="3.6414565826330368E-2"/>
    <n v="-2.475667272801203E-2"/>
    <n v="0.42334565134305008"/>
    <n v="0.14449478425083301"/>
    <n v="0"/>
    <x v="402"/>
    <n v="0"/>
    <x v="0"/>
    <x v="0"/>
    <n v="0"/>
    <n v="0"/>
    <n v="0"/>
    <x v="0"/>
    <x v="1"/>
    <s v="Normal"/>
    <s v="Allowed"/>
    <m/>
    <m/>
    <m/>
  </r>
  <r>
    <x v="0"/>
    <x v="2"/>
    <x v="2"/>
    <x v="12"/>
    <n v="3.6827195467422087E-2"/>
    <n v="0"/>
    <s v="DOWN"/>
    <n v="6.6000000000000003E-2"/>
    <n v="0.1782932011331447"/>
    <n v="-2.475667272801203E-2"/>
    <n v="0.42334565134305008"/>
    <n v="0.47963141517336416"/>
    <n v="0"/>
    <x v="403"/>
    <n v="0"/>
    <x v="0"/>
    <x v="0"/>
    <n v="0"/>
    <n v="0"/>
    <n v="0"/>
    <x v="0"/>
    <x v="1"/>
    <s v="Normal"/>
    <s v="Allowed"/>
    <m/>
    <m/>
    <m/>
  </r>
  <r>
    <x v="0"/>
    <x v="2"/>
    <x v="2"/>
    <x v="13"/>
    <n v="6.5934065934065936E-2"/>
    <n v="0"/>
    <s v="DOWN"/>
    <n v="6.6000000000000003E-2"/>
    <n v="-0.79036348267117551"/>
    <n v="-2.475667272801203E-2"/>
    <n v="0.42334565134305008"/>
    <n v="-1.80846740131687"/>
    <n v="1"/>
    <x v="404"/>
    <n v="0"/>
    <x v="0"/>
    <x v="0"/>
    <n v="0"/>
    <n v="0"/>
    <n v="0"/>
    <x v="1"/>
    <x v="1"/>
    <s v="Abnormal"/>
    <s v="Allowed"/>
    <m/>
    <m/>
    <m/>
  </r>
  <r>
    <x v="0"/>
    <x v="2"/>
    <x v="2"/>
    <x v="14"/>
    <n v="5.8495821727019497E-2"/>
    <n v="0"/>
    <s v="DOWN"/>
    <n v="6.6000000000000003E-2"/>
    <n v="0.11281337047353771"/>
    <n v="-2.475667272801203E-2"/>
    <n v="0.42334565134305008"/>
    <n v="0.3249591504367963"/>
    <n v="0"/>
    <x v="396"/>
    <n v="0"/>
    <x v="0"/>
    <x v="0"/>
    <n v="0"/>
    <n v="0"/>
    <n v="0"/>
    <x v="0"/>
    <x v="1"/>
    <s v="Normal"/>
    <s v="Allowed"/>
    <m/>
    <m/>
    <m/>
  </r>
  <r>
    <x v="0"/>
    <x v="2"/>
    <x v="2"/>
    <x v="15"/>
    <n v="6.1281337047353758E-2"/>
    <n v="0"/>
    <s v="DOWN"/>
    <n v="6.6000000000000003E-2"/>
    <n v="-4.7619047619047623E-2"/>
    <n v="-2.475667272801203E-2"/>
    <n v="0.42334565134305008"/>
    <n v="-5.4004038587630379E-2"/>
    <n v="0"/>
    <x v="405"/>
    <n v="0"/>
    <x v="0"/>
    <x v="0"/>
    <n v="0"/>
    <n v="0"/>
    <n v="0"/>
    <x v="1"/>
    <x v="1"/>
    <s v="Normal"/>
    <s v="Allowed"/>
    <m/>
    <m/>
    <m/>
  </r>
  <r>
    <x v="0"/>
    <x v="2"/>
    <x v="3"/>
    <x v="0"/>
    <n v="4.1666666666666657E-2"/>
    <n v="0"/>
    <s v="UP"/>
    <n v="0.16400000000000001"/>
    <n v="1.0416666666666661"/>
    <n v="2.6472445732452773E-2"/>
    <n v="0.13493378643970674"/>
    <n v="7.5236473215538089"/>
    <n v="-1"/>
    <x v="406"/>
    <n v="0"/>
    <x v="0"/>
    <x v="0"/>
    <n v="0"/>
    <n v="0"/>
    <n v="0"/>
    <x v="0"/>
    <x v="0"/>
    <s v="Normal"/>
    <s v="Allowed"/>
    <m/>
    <m/>
    <m/>
  </r>
  <r>
    <x v="0"/>
    <x v="2"/>
    <x v="3"/>
    <x v="1"/>
    <n v="4.1666666666666657E-2"/>
    <n v="0"/>
    <s v="UP"/>
    <n v="0.16400000000000001"/>
    <n v="0"/>
    <n v="2.6472445732452773E-2"/>
    <n v="0.13493378643970674"/>
    <n v="-0.19618841530309838"/>
    <n v="0"/>
    <x v="406"/>
    <n v="0"/>
    <x v="0"/>
    <x v="0"/>
    <n v="0"/>
    <n v="0"/>
    <n v="0"/>
    <x v="1"/>
    <x v="0"/>
    <s v="Normal"/>
    <s v="Allowed"/>
    <m/>
    <m/>
    <m/>
  </r>
  <r>
    <x v="0"/>
    <x v="2"/>
    <x v="3"/>
    <x v="2"/>
    <n v="4.2553191489361701E-2"/>
    <n v="0"/>
    <s v="UP"/>
    <n v="0.16400000000000001"/>
    <n v="2.1276595744681048E-2"/>
    <n v="2.6472445732452773E-2"/>
    <n v="0.13493378643970674"/>
    <n v="-3.85066640821898E-2"/>
    <n v="0"/>
    <x v="407"/>
    <n v="0"/>
    <x v="0"/>
    <x v="0"/>
    <n v="0"/>
    <n v="0"/>
    <n v="0"/>
    <x v="0"/>
    <x v="0"/>
    <s v="Normal"/>
    <s v="Allowed"/>
    <m/>
    <m/>
    <m/>
  </r>
  <r>
    <x v="0"/>
    <x v="2"/>
    <x v="3"/>
    <x v="3"/>
    <n v="6.25E-2"/>
    <n v="0"/>
    <s v="UP"/>
    <n v="0.16400000000000001"/>
    <n v="0.46875000000000011"/>
    <n v="2.6472445732452773E-2"/>
    <n v="0.13493378643970674"/>
    <n v="3.2777376662825128"/>
    <n v="-1"/>
    <x v="408"/>
    <n v="0"/>
    <x v="0"/>
    <x v="0"/>
    <n v="0"/>
    <n v="0"/>
    <n v="0"/>
    <x v="0"/>
    <x v="0"/>
    <s v="Normal"/>
    <s v="Allowed"/>
    <m/>
    <m/>
    <m/>
  </r>
  <r>
    <x v="0"/>
    <x v="2"/>
    <x v="3"/>
    <x v="4"/>
    <n v="6.1224489795918373E-2"/>
    <n v="0"/>
    <s v="UP"/>
    <n v="0.16400000000000001"/>
    <n v="-2.0408163265306031E-2"/>
    <n v="2.6472445732452773E-2"/>
    <n v="0.13493378643970674"/>
    <n v="-0.34743417667825355"/>
    <n v="0"/>
    <x v="409"/>
    <n v="0"/>
    <x v="0"/>
    <x v="0"/>
    <n v="0"/>
    <n v="0"/>
    <n v="0"/>
    <x v="1"/>
    <x v="0"/>
    <s v="Normal"/>
    <s v="Allowed"/>
    <m/>
    <m/>
    <m/>
  </r>
  <r>
    <x v="0"/>
    <x v="2"/>
    <x v="3"/>
    <x v="5"/>
    <n v="4.0816326530612242E-2"/>
    <n v="0"/>
    <s v="UP"/>
    <n v="0.16400000000000001"/>
    <n v="-0.33333333333333343"/>
    <n v="2.6472445732452773E-2"/>
    <n v="0.13493378643970674"/>
    <n v="-2.6665358510973109"/>
    <n v="1"/>
    <x v="410"/>
    <n v="0"/>
    <x v="0"/>
    <x v="1"/>
    <n v="0"/>
    <n v="1"/>
    <n v="1"/>
    <x v="1"/>
    <x v="0"/>
    <s v="Abnormal"/>
    <s v="Allowed"/>
    <m/>
    <m/>
    <m/>
  </r>
  <r>
    <x v="0"/>
    <x v="2"/>
    <x v="3"/>
    <x v="6"/>
    <n v="5.8823529411764712E-2"/>
    <n v="0"/>
    <s v="UP"/>
    <n v="0.16400000000000001"/>
    <n v="0.44117647058823561"/>
    <n v="2.6472445732452773E-2"/>
    <n v="0.13493378643970674"/>
    <n v="3.0733890732480664"/>
    <n v="-1"/>
    <x v="411"/>
    <n v="0"/>
    <x v="0"/>
    <x v="0"/>
    <n v="0"/>
    <n v="0"/>
    <n v="0"/>
    <x v="0"/>
    <x v="0"/>
    <s v="Normal"/>
    <s v="Allowed"/>
    <m/>
    <m/>
    <m/>
  </r>
  <r>
    <x v="0"/>
    <x v="2"/>
    <x v="3"/>
    <x v="7"/>
    <n v="5.7692307692307702E-2"/>
    <n v="0"/>
    <s v="UP"/>
    <n v="0.16400000000000001"/>
    <n v="-1.9230769230769159E-2"/>
    <n v="2.6472445732452773E-2"/>
    <n v="0.13493378643970674"/>
    <n v="-0.33870845967584085"/>
    <n v="0"/>
    <x v="412"/>
    <n v="0"/>
    <x v="0"/>
    <x v="0"/>
    <n v="0"/>
    <n v="0"/>
    <n v="0"/>
    <x v="1"/>
    <x v="0"/>
    <s v="Normal"/>
    <s v="Allowed"/>
    <m/>
    <m/>
    <m/>
  </r>
  <r>
    <x v="0"/>
    <x v="2"/>
    <x v="3"/>
    <x v="8"/>
    <n v="5.8823529411764712E-2"/>
    <n v="0"/>
    <s v="UP"/>
    <n v="0.16400000000000001"/>
    <n v="1.9607843137254829E-2"/>
    <n v="2.6472445732452773E-2"/>
    <n v="0.13493378643970674"/>
    <n v="-5.0873860256380597E-2"/>
    <n v="0"/>
    <x v="411"/>
    <n v="0"/>
    <x v="0"/>
    <x v="0"/>
    <n v="0"/>
    <n v="0"/>
    <n v="0"/>
    <x v="0"/>
    <x v="0"/>
    <s v="Normal"/>
    <s v="Allowed"/>
    <m/>
    <m/>
    <m/>
  </r>
  <r>
    <x v="0"/>
    <x v="2"/>
    <x v="3"/>
    <x v="9"/>
    <n v="0.06"/>
    <n v="0"/>
    <s v="UP"/>
    <n v="0.16400000000000001"/>
    <n v="1.9999999999999851E-2"/>
    <n v="2.6472445732452773E-2"/>
    <n v="0.13493378643970674"/>
    <n v="-4.7967569155446789E-2"/>
    <n v="0"/>
    <x v="413"/>
    <n v="0"/>
    <x v="0"/>
    <x v="0"/>
    <n v="0"/>
    <n v="0"/>
    <n v="0"/>
    <x v="0"/>
    <x v="0"/>
    <s v="Normal"/>
    <s v="Allowed"/>
    <m/>
    <m/>
    <m/>
  </r>
  <r>
    <x v="0"/>
    <x v="2"/>
    <x v="3"/>
    <x v="10"/>
    <n v="5.8823529411764712E-2"/>
    <n v="0"/>
    <s v="UP"/>
    <n v="0.16400000000000001"/>
    <n v="-1.9607843137254759E-2"/>
    <n v="2.6472445732452773E-2"/>
    <n v="0.13493378643970674"/>
    <n v="-0.34150297034981569"/>
    <n v="0"/>
    <x v="411"/>
    <n v="0"/>
    <x v="0"/>
    <x v="0"/>
    <n v="0"/>
    <n v="0"/>
    <n v="0"/>
    <x v="1"/>
    <x v="0"/>
    <s v="Normal"/>
    <s v="Allowed"/>
    <m/>
    <m/>
    <m/>
  </r>
  <r>
    <x v="0"/>
    <x v="2"/>
    <x v="3"/>
    <x v="11"/>
    <n v="5.7692307692307702E-2"/>
    <n v="0"/>
    <s v="UP"/>
    <n v="0.16400000000000001"/>
    <n v="-1.9230769230769159E-2"/>
    <n v="2.6472445732452773E-2"/>
    <n v="0.13493378643970674"/>
    <n v="-0.33870845967584085"/>
    <n v="0"/>
    <x v="412"/>
    <n v="0"/>
    <x v="0"/>
    <x v="0"/>
    <n v="0"/>
    <n v="0"/>
    <n v="0"/>
    <x v="1"/>
    <x v="0"/>
    <s v="Normal"/>
    <s v="Allowed"/>
    <m/>
    <m/>
    <m/>
  </r>
  <r>
    <x v="0"/>
    <x v="2"/>
    <x v="3"/>
    <x v="12"/>
    <n v="5.7692307692307702E-2"/>
    <n v="0"/>
    <s v="UP"/>
    <n v="0.16400000000000001"/>
    <n v="0"/>
    <n v="2.6472445732452773E-2"/>
    <n v="0.13493378643970674"/>
    <n v="-0.19618841530309838"/>
    <n v="0"/>
    <x v="412"/>
    <n v="0"/>
    <x v="0"/>
    <x v="0"/>
    <n v="0"/>
    <n v="0"/>
    <n v="0"/>
    <x v="1"/>
    <x v="0"/>
    <s v="Normal"/>
    <s v="Allowed"/>
    <m/>
    <m/>
    <m/>
  </r>
  <r>
    <x v="0"/>
    <x v="2"/>
    <x v="3"/>
    <x v="13"/>
    <n v="5.5555555555555552E-2"/>
    <n v="0"/>
    <s v="UP"/>
    <n v="0.16400000000000001"/>
    <n v="-3.7037037037037257E-2"/>
    <n v="2.6472445732452773E-2"/>
    <n v="0.13493378643970674"/>
    <n v="-0.47067146372467911"/>
    <n v="0"/>
    <x v="414"/>
    <n v="0"/>
    <x v="0"/>
    <x v="0"/>
    <n v="0"/>
    <n v="0"/>
    <n v="0"/>
    <x v="1"/>
    <x v="0"/>
    <s v="Normal"/>
    <s v="Allowed"/>
    <m/>
    <m/>
    <m/>
  </r>
  <r>
    <x v="0"/>
    <x v="2"/>
    <x v="3"/>
    <x v="14"/>
    <n v="5.5555555555555552E-2"/>
    <n v="0"/>
    <s v="UP"/>
    <n v="0.16400000000000001"/>
    <n v="0"/>
    <n v="2.6472445732452773E-2"/>
    <n v="0.13493378643970674"/>
    <n v="-0.19618841530309838"/>
    <n v="0"/>
    <x v="414"/>
    <n v="0"/>
    <x v="0"/>
    <x v="0"/>
    <n v="0"/>
    <n v="0"/>
    <n v="0"/>
    <x v="1"/>
    <x v="0"/>
    <s v="Normal"/>
    <s v="Allowed"/>
    <m/>
    <m/>
    <m/>
  </r>
  <r>
    <x v="0"/>
    <x v="2"/>
    <x v="3"/>
    <x v="15"/>
    <n v="5.5555555555555552E-2"/>
    <n v="0"/>
    <s v="UP"/>
    <n v="0.16400000000000001"/>
    <n v="0"/>
    <n v="2.6472445732452773E-2"/>
    <n v="0.13493378643970674"/>
    <n v="-0.19618841530309838"/>
    <n v="0"/>
    <x v="414"/>
    <n v="0"/>
    <x v="0"/>
    <x v="0"/>
    <n v="0"/>
    <n v="0"/>
    <n v="0"/>
    <x v="1"/>
    <x v="0"/>
    <s v="Normal"/>
    <s v="Allowed"/>
    <m/>
    <m/>
    <m/>
  </r>
  <r>
    <x v="0"/>
    <x v="2"/>
    <x v="4"/>
    <x v="0"/>
    <n v="8.4315503173164094E-2"/>
    <n v="0"/>
    <s v="DOWN"/>
    <n v="0.104"/>
    <n v="-7.5757975078538362E-2"/>
    <n v="1.7244519882342341E-3"/>
    <n v="8.3117651155014696E-2"/>
    <n v="-0.9322018366744701"/>
    <n v="1"/>
    <x v="415"/>
    <n v="0"/>
    <x v="0"/>
    <x v="0"/>
    <n v="0"/>
    <n v="0"/>
    <n v="0"/>
    <x v="1"/>
    <x v="1"/>
    <s v="Abnormal"/>
    <s v="Allowed"/>
    <m/>
    <m/>
    <m/>
  </r>
  <r>
    <x v="0"/>
    <x v="2"/>
    <x v="4"/>
    <x v="1"/>
    <n v="8.3859332732191164E-2"/>
    <n v="0"/>
    <s v="DOWN"/>
    <n v="0.104"/>
    <n v="5.4102795311090583E-3"/>
    <n v="1.7244519882342341E-3"/>
    <n v="8.3117651155014696E-2"/>
    <n v="4.4344702859814261E-2"/>
    <n v="0"/>
    <x v="416"/>
    <n v="0"/>
    <x v="0"/>
    <x v="0"/>
    <n v="0"/>
    <n v="0"/>
    <n v="0"/>
    <x v="1"/>
    <x v="1"/>
    <s v="Normal"/>
    <s v="Allowed"/>
    <m/>
    <m/>
    <m/>
  </r>
  <r>
    <x v="0"/>
    <x v="2"/>
    <x v="4"/>
    <x v="2"/>
    <n v="8.6363295599370268E-2"/>
    <n v="0"/>
    <s v="DOWN"/>
    <n v="0.104"/>
    <n v="-2.9859084082813191E-2"/>
    <n v="1.7244519882342341E-3"/>
    <n v="8.3117651155014696E-2"/>
    <n v="-0.37998590711068131"/>
    <n v="0"/>
    <x v="417"/>
    <n v="0"/>
    <x v="0"/>
    <x v="0"/>
    <n v="0"/>
    <n v="0"/>
    <n v="0"/>
    <x v="1"/>
    <x v="1"/>
    <s v="Normal"/>
    <s v="Allowed"/>
    <m/>
    <m/>
    <m/>
  </r>
  <r>
    <x v="0"/>
    <x v="2"/>
    <x v="4"/>
    <x v="3"/>
    <n v="8.6989014000000003E-2"/>
    <n v="0"/>
    <s v="DOWN"/>
    <n v="0.104"/>
    <n v="-7.2451890156250308E-3"/>
    <n v="1.7244519882342341E-3"/>
    <n v="8.3117651155014696E-2"/>
    <n v="-0.10791499614360918"/>
    <n v="0"/>
    <x v="418"/>
    <n v="0"/>
    <x v="0"/>
    <x v="0"/>
    <n v="0"/>
    <n v="0"/>
    <n v="0"/>
    <x v="1"/>
    <x v="1"/>
    <s v="Normal"/>
    <s v="Allowed"/>
    <m/>
    <m/>
    <m/>
  </r>
  <r>
    <x v="0"/>
    <x v="2"/>
    <x v="4"/>
    <x v="4"/>
    <n v="9.3945720250521919E-2"/>
    <n v="0"/>
    <s v="DOWN"/>
    <n v="0.104"/>
    <n v="-7.9972239374065279E-2"/>
    <n v="1.7244519882342341E-3"/>
    <n v="8.3117651155014696E-2"/>
    <n v="-0.98290423546660277"/>
    <n v="1"/>
    <x v="419"/>
    <n v="0"/>
    <x v="0"/>
    <x v="0"/>
    <n v="0"/>
    <n v="0"/>
    <n v="0"/>
    <x v="1"/>
    <x v="1"/>
    <s v="Abnormal"/>
    <s v="Allowed"/>
    <m/>
    <m/>
    <m/>
  </r>
  <r>
    <x v="0"/>
    <x v="2"/>
    <x v="4"/>
    <x v="5"/>
    <n v="9.7299709886186123E-2"/>
    <n v="0"/>
    <s v="DOWN"/>
    <n v="0.104"/>
    <n v="-3.5701356344070068E-2"/>
    <n v="1.7244519882342341E-3"/>
    <n v="8.3117651155014696E-2"/>
    <n v="-0.45027509574957841"/>
    <n v="0"/>
    <x v="420"/>
    <n v="0"/>
    <x v="0"/>
    <x v="0"/>
    <n v="0"/>
    <n v="0"/>
    <n v="0"/>
    <x v="1"/>
    <x v="1"/>
    <s v="Normal"/>
    <s v="Allowed"/>
    <m/>
    <m/>
    <m/>
  </r>
  <r>
    <x v="0"/>
    <x v="2"/>
    <x v="4"/>
    <x v="6"/>
    <n v="9.5365418894830661E-2"/>
    <n v="0"/>
    <s v="DOWN"/>
    <n v="0.104"/>
    <n v="1.9879720028128031E-2"/>
    <n v="1.7244519882342341E-3"/>
    <n v="8.3117651155014696E-2"/>
    <n v="0.21842855022495961"/>
    <n v="0"/>
    <x v="421"/>
    <n v="0"/>
    <x v="0"/>
    <x v="0"/>
    <n v="0"/>
    <n v="0"/>
    <n v="0"/>
    <x v="0"/>
    <x v="1"/>
    <s v="Normal"/>
    <s v="Allowed"/>
    <m/>
    <m/>
    <m/>
  </r>
  <r>
    <x v="0"/>
    <x v="2"/>
    <x v="4"/>
    <x v="7"/>
    <n v="9.5153401511783017E-2"/>
    <n v="0"/>
    <s v="DOWN"/>
    <n v="0.104"/>
    <n v="2.2232103156958559E-3"/>
    <n v="1.7244519882342341E-3"/>
    <n v="8.3117651155014696E-2"/>
    <n v="6.0006306786922533E-3"/>
    <n v="0"/>
    <x v="422"/>
    <n v="0"/>
    <x v="0"/>
    <x v="0"/>
    <n v="0"/>
    <n v="0"/>
    <n v="0"/>
    <x v="1"/>
    <x v="1"/>
    <s v="Normal"/>
    <s v="Allowed"/>
    <m/>
    <m/>
    <m/>
  </r>
  <r>
    <x v="0"/>
    <x v="2"/>
    <x v="4"/>
    <x v="8"/>
    <n v="9.8586337058692908E-2"/>
    <n v="0"/>
    <s v="DOWN"/>
    <n v="0.104"/>
    <n v="-3.6077906752338053E-2"/>
    <n v="1.7244519882342341E-3"/>
    <n v="8.3117651155014696E-2"/>
    <n v="-0.45480542598672286"/>
    <n v="0"/>
    <x v="423"/>
    <n v="0"/>
    <x v="0"/>
    <x v="0"/>
    <n v="0"/>
    <n v="0"/>
    <n v="0"/>
    <x v="1"/>
    <x v="1"/>
    <s v="Normal"/>
    <s v="Allowed"/>
    <m/>
    <m/>
    <m/>
  </r>
  <r>
    <x v="0"/>
    <x v="2"/>
    <x v="4"/>
    <x v="9"/>
    <n v="9.8542576015388017E-2"/>
    <n v="0"/>
    <s v="DOWN"/>
    <n v="0.104"/>
    <n v="4.4388547754683078E-4"/>
    <n v="1.7244519882342341E-3"/>
    <n v="8.3117651155014696E-2"/>
    <n v="-1.5406673466976857E-2"/>
    <n v="0"/>
    <x v="424"/>
    <n v="0"/>
    <x v="0"/>
    <x v="0"/>
    <n v="0"/>
    <n v="0"/>
    <n v="0"/>
    <x v="1"/>
    <x v="1"/>
    <s v="Normal"/>
    <s v="Allowed"/>
    <m/>
    <m/>
    <m/>
  </r>
  <r>
    <x v="0"/>
    <x v="2"/>
    <x v="4"/>
    <x v="10"/>
    <n v="0.1003998223011995"/>
    <n v="0"/>
    <s v="DOWN"/>
    <n v="0.104"/>
    <n v="-1.884714567966498E-2"/>
    <n v="1.7244519882342341E-3"/>
    <n v="8.3117651155014696E-2"/>
    <n v="-0.24749974743070055"/>
    <n v="0"/>
    <x v="425"/>
    <n v="0"/>
    <x v="0"/>
    <x v="0"/>
    <n v="0"/>
    <n v="0"/>
    <n v="0"/>
    <x v="1"/>
    <x v="1"/>
    <s v="Normal"/>
    <s v="Allowed"/>
    <m/>
    <m/>
    <m/>
  </r>
  <r>
    <x v="0"/>
    <x v="2"/>
    <x v="4"/>
    <x v="11"/>
    <n v="0.10237388724035611"/>
    <n v="0"/>
    <s v="DOWN"/>
    <n v="0.104"/>
    <n v="-1.9662036186024471E-2"/>
    <n v="1.7244519882342341E-3"/>
    <n v="8.3117651155014696E-2"/>
    <n v="-0.25730380824131849"/>
    <n v="0"/>
    <x v="426"/>
    <n v="0"/>
    <x v="0"/>
    <x v="0"/>
    <n v="0"/>
    <n v="0"/>
    <n v="0"/>
    <x v="1"/>
    <x v="1"/>
    <s v="Normal"/>
    <s v="Allowed"/>
    <m/>
    <m/>
    <m/>
  </r>
  <r>
    <x v="0"/>
    <x v="2"/>
    <x v="4"/>
    <x v="12"/>
    <n v="9.3666369313113299E-2"/>
    <n v="0"/>
    <s v="DOWN"/>
    <n v="0.104"/>
    <n v="8.505604468060364E-2"/>
    <n v="1.7244519882342341E-3"/>
    <n v="8.3117651155014696E-2"/>
    <n v="1.0025739603367245"/>
    <n v="-1"/>
    <x v="427"/>
    <n v="0"/>
    <x v="0"/>
    <x v="0"/>
    <n v="0"/>
    <n v="0"/>
    <n v="0"/>
    <x v="0"/>
    <x v="1"/>
    <s v="Normal"/>
    <s v="Allowed"/>
    <m/>
    <m/>
    <m/>
  </r>
  <r>
    <x v="0"/>
    <x v="2"/>
    <x v="4"/>
    <x v="13"/>
    <n v="9.3016322575836627E-2"/>
    <n v="0"/>
    <s v="DOWN"/>
    <n v="0.104"/>
    <n v="6.9400227855918933E-3"/>
    <n v="1.7244519882342341E-3"/>
    <n v="8.3117651155014696E-2"/>
    <n v="6.2749256323793398E-2"/>
    <n v="0"/>
    <x v="428"/>
    <n v="0"/>
    <x v="0"/>
    <x v="0"/>
    <n v="0"/>
    <n v="0"/>
    <n v="0"/>
    <x v="1"/>
    <x v="1"/>
    <s v="Normal"/>
    <s v="Allowed"/>
    <m/>
    <m/>
    <m/>
  </r>
  <r>
    <x v="0"/>
    <x v="2"/>
    <x v="4"/>
    <x v="14"/>
    <n v="9.6759743168582935E-2"/>
    <n v="0"/>
    <s v="DOWN"/>
    <n v="0.104"/>
    <n v="-4.0244770907754177E-2"/>
    <n v="1.7244519882342341E-3"/>
    <n v="8.3117651155014696E-2"/>
    <n v="-0.50493754711277472"/>
    <n v="1"/>
    <x v="429"/>
    <n v="0"/>
    <x v="0"/>
    <x v="0"/>
    <n v="0"/>
    <n v="0"/>
    <n v="0"/>
    <x v="1"/>
    <x v="1"/>
    <s v="Abnormal"/>
    <s v="Allowed"/>
    <m/>
    <m/>
    <m/>
  </r>
  <r>
    <x v="0"/>
    <x v="2"/>
    <x v="4"/>
    <x v="15"/>
    <n v="9.7889537494387072E-2"/>
    <n v="0"/>
    <s v="DOWN"/>
    <n v="0.104"/>
    <n v="-1.1676284876404789E-2"/>
    <n v="1.7244519882342341E-3"/>
    <n v="8.3117651155014696E-2"/>
    <n v="-0.16122612559932192"/>
    <n v="0"/>
    <x v="430"/>
    <n v="0"/>
    <x v="0"/>
    <x v="0"/>
    <n v="0"/>
    <n v="0"/>
    <n v="0"/>
    <x v="1"/>
    <x v="1"/>
    <s v="Normal"/>
    <s v="Allowed"/>
    <m/>
    <m/>
    <m/>
  </r>
  <r>
    <x v="0"/>
    <x v="2"/>
    <x v="5"/>
    <x v="0"/>
    <n v="0.1100196463654224"/>
    <n v="1"/>
    <s v="DOWN"/>
    <n v="0.1"/>
    <n v="-0.1445099323291858"/>
    <n v="-3.0570725046180952E-3"/>
    <n v="0.17799866497296365"/>
    <n v="-0.79468494803628487"/>
    <n v="1"/>
    <x v="431"/>
    <n v="0"/>
    <x v="0"/>
    <x v="1"/>
    <n v="0"/>
    <n v="1"/>
    <n v="1"/>
    <x v="1"/>
    <x v="0"/>
    <s v="Abnormal"/>
    <s v="Allowed"/>
    <m/>
    <m/>
    <m/>
  </r>
  <r>
    <x v="0"/>
    <x v="2"/>
    <x v="5"/>
    <x v="1"/>
    <n v="0.1078998073217726"/>
    <n v="1"/>
    <s v="DOWN"/>
    <n v="0.1"/>
    <n v="1.9267822736031261E-2"/>
    <n v="-3.0570725046180952E-3"/>
    <n v="0.17799866497296365"/>
    <n v="0.12542170046073267"/>
    <n v="0"/>
    <x v="432"/>
    <n v="1"/>
    <x v="1"/>
    <x v="0"/>
    <n v="1"/>
    <n v="0"/>
    <n v="0"/>
    <x v="0"/>
    <x v="0"/>
    <s v="Normal"/>
    <s v="Allowed"/>
    <m/>
    <m/>
    <m/>
  </r>
  <r>
    <x v="0"/>
    <x v="2"/>
    <x v="5"/>
    <x v="2"/>
    <n v="0.105993690851735"/>
    <n v="1"/>
    <s v="DOWN"/>
    <n v="0.1"/>
    <n v="1.766561514195554E-2"/>
    <n v="-3.0570725046180952E-3"/>
    <n v="0.17799866497296365"/>
    <n v="0.11642046669125984"/>
    <n v="0"/>
    <x v="433"/>
    <n v="2"/>
    <x v="1"/>
    <x v="0"/>
    <n v="1"/>
    <n v="0"/>
    <n v="0"/>
    <x v="0"/>
    <x v="0"/>
    <s v="Normal"/>
    <s v="Allowed"/>
    <m/>
    <m/>
    <m/>
  </r>
  <r>
    <x v="0"/>
    <x v="2"/>
    <x v="5"/>
    <x v="3"/>
    <n v="0.104347826"/>
    <n v="0"/>
    <s v="DOWN"/>
    <n v="0.1"/>
    <n v="1.5527951130952219E-2"/>
    <n v="-3.0570725046180952E-3"/>
    <n v="0.17799866497296365"/>
    <n v="0.10441102824222422"/>
    <n v="0"/>
    <x v="434"/>
    <n v="3"/>
    <x v="1"/>
    <x v="0"/>
    <n v="1"/>
    <n v="0"/>
    <n v="0"/>
    <x v="0"/>
    <x v="0"/>
    <s v="Normal"/>
    <s v="Allowed"/>
    <m/>
    <m/>
    <m/>
  </r>
  <r>
    <x v="0"/>
    <x v="2"/>
    <x v="5"/>
    <x v="4"/>
    <n v="0.1175750153092468"/>
    <n v="1"/>
    <s v="DOWN"/>
    <n v="0.1"/>
    <n v="-0.1267605643192489"/>
    <n v="-3.0570725046180952E-3"/>
    <n v="0.17799866497296365"/>
    <n v="-0.69496864953127724"/>
    <n v="1"/>
    <x v="435"/>
    <n v="3"/>
    <x v="0"/>
    <x v="1"/>
    <n v="0"/>
    <n v="1"/>
    <n v="1"/>
    <x v="1"/>
    <x v="0"/>
    <s v="Abnormal"/>
    <s v="Allowed"/>
    <m/>
    <m/>
    <m/>
  </r>
  <r>
    <x v="0"/>
    <x v="2"/>
    <x v="5"/>
    <x v="5"/>
    <n v="0.12311406155703079"/>
    <n v="1"/>
    <s v="DOWN"/>
    <n v="0.1"/>
    <n v="-4.7110742305371149E-2"/>
    <n v="-3.0570725046180952E-3"/>
    <n v="0.17799866497296365"/>
    <n v="-0.24749438321598868"/>
    <n v="0"/>
    <x v="436"/>
    <n v="4"/>
    <x v="2"/>
    <x v="0"/>
    <n v="1"/>
    <n v="0"/>
    <n v="0"/>
    <x v="1"/>
    <x v="0"/>
    <s v="Normal"/>
    <s v="Allowed"/>
    <m/>
    <m/>
    <m/>
  </r>
  <r>
    <x v="0"/>
    <x v="2"/>
    <x v="5"/>
    <x v="6"/>
    <n v="0.1"/>
    <n v="0"/>
    <s v="DOWN"/>
    <n v="0.1"/>
    <n v="0.18774509803921571"/>
    <n v="-3.0570725046180952E-3"/>
    <n v="0.17799866497296365"/>
    <n v="1.0719303460664431"/>
    <n v="-1"/>
    <x v="96"/>
    <n v="5"/>
    <x v="1"/>
    <x v="0"/>
    <n v="1"/>
    <n v="0"/>
    <n v="0"/>
    <x v="0"/>
    <x v="1"/>
    <s v="Normal"/>
    <s v="Maxed Out"/>
    <m/>
    <m/>
    <m/>
  </r>
  <r>
    <x v="0"/>
    <x v="2"/>
    <x v="5"/>
    <x v="7"/>
    <n v="9.8823529411764713E-2"/>
    <n v="0"/>
    <s v="DOWN"/>
    <n v="0.1"/>
    <n v="1.1764705882352931E-2"/>
    <n v="-3.0570725046180952E-3"/>
    <n v="0.17799866497296365"/>
    <n v="8.3269042434797561E-2"/>
    <n v="0"/>
    <x v="437"/>
    <n v="5"/>
    <x v="0"/>
    <x v="0"/>
    <n v="0"/>
    <n v="0"/>
    <n v="0"/>
    <x v="0"/>
    <x v="1"/>
    <s v="Normal"/>
    <s v="Maxed Out"/>
    <m/>
    <m/>
    <m/>
  </r>
  <r>
    <x v="0"/>
    <x v="2"/>
    <x v="5"/>
    <x v="8"/>
    <n v="0.1050788091068301"/>
    <n v="0"/>
    <s v="DOWN"/>
    <n v="0.1"/>
    <n v="-6.3297473104828278E-2"/>
    <n v="-3.0570725046180952E-3"/>
    <n v="0.17799866497296365"/>
    <n v="-0.33843175514468121"/>
    <n v="0"/>
    <x v="438"/>
    <n v="5"/>
    <x v="0"/>
    <x v="0"/>
    <n v="0"/>
    <n v="0"/>
    <n v="0"/>
    <x v="1"/>
    <x v="0"/>
    <s v="Normal"/>
    <s v="Maxed Out"/>
    <m/>
    <m/>
    <m/>
  </r>
  <r>
    <x v="0"/>
    <x v="2"/>
    <x v="5"/>
    <x v="9"/>
    <n v="0.11175785797438879"/>
    <n v="1"/>
    <s v="DOWN"/>
    <n v="0.1"/>
    <n v="-6.3562281722933628E-2"/>
    <n v="-3.0570725046180952E-3"/>
    <n v="0.17799866497296365"/>
    <n v="-0.33991945516841776"/>
    <n v="0"/>
    <x v="439"/>
    <n v="5"/>
    <x v="0"/>
    <x v="0"/>
    <n v="0"/>
    <n v="0"/>
    <n v="0"/>
    <x v="1"/>
    <x v="0"/>
    <s v="Normal"/>
    <s v="Maxed Out"/>
    <m/>
    <m/>
    <m/>
  </r>
  <r>
    <x v="0"/>
    <x v="2"/>
    <x v="5"/>
    <x v="10"/>
    <n v="9.1553133514986382E-2"/>
    <n v="0"/>
    <s v="DOWN"/>
    <n v="0.1"/>
    <n v="0.18079019073569461"/>
    <n v="-3.0570725046180952E-3"/>
    <n v="0.17799866497296365"/>
    <n v="1.0328575400733337"/>
    <n v="-1"/>
    <x v="440"/>
    <n v="6"/>
    <x v="1"/>
    <x v="0"/>
    <n v="1"/>
    <n v="0"/>
    <n v="0"/>
    <x v="0"/>
    <x v="1"/>
    <s v="Normal"/>
    <s v="Maxed Out"/>
    <m/>
    <m/>
    <m/>
  </r>
  <r>
    <x v="0"/>
    <x v="2"/>
    <x v="5"/>
    <x v="11"/>
    <n v="9.5238095238095233E-2"/>
    <n v="0"/>
    <s v="DOWN"/>
    <n v="0.1"/>
    <n v="-4.024943310657584E-2"/>
    <n v="-3.0570725046180952E-3"/>
    <n v="0.17799866497296365"/>
    <n v="-0.20894741321575033"/>
    <n v="0"/>
    <x v="441"/>
    <n v="6"/>
    <x v="0"/>
    <x v="0"/>
    <n v="0"/>
    <n v="0"/>
    <n v="0"/>
    <x v="1"/>
    <x v="1"/>
    <s v="Normal"/>
    <s v="Maxed Out"/>
    <m/>
    <m/>
    <m/>
  </r>
  <r>
    <x v="0"/>
    <x v="2"/>
    <x v="5"/>
    <x v="12"/>
    <n v="8.3931947069943294E-2"/>
    <n v="0"/>
    <s v="DOWN"/>
    <n v="0.1"/>
    <n v="0.11871455576559541"/>
    <n v="-3.0570725046180952E-3"/>
    <n v="0.17799866497296365"/>
    <n v="0.68411540215040079"/>
    <n v="-1"/>
    <x v="442"/>
    <n v="6"/>
    <x v="0"/>
    <x v="0"/>
    <n v="0"/>
    <n v="0"/>
    <n v="0"/>
    <x v="0"/>
    <x v="1"/>
    <s v="Normal"/>
    <s v="Maxed Out"/>
    <m/>
    <m/>
    <m/>
  </r>
  <r>
    <x v="0"/>
    <x v="2"/>
    <x v="5"/>
    <x v="13"/>
    <n v="9.0943539219401293E-2"/>
    <n v="0"/>
    <s v="DOWN"/>
    <n v="0.1"/>
    <n v="-8.3539014573497314E-2"/>
    <n v="-3.0570725046180952E-3"/>
    <n v="0.17799866497296365"/>
    <n v="-0.45214913314717098"/>
    <n v="0"/>
    <x v="443"/>
    <n v="6"/>
    <x v="0"/>
    <x v="0"/>
    <n v="0"/>
    <n v="0"/>
    <n v="0"/>
    <x v="1"/>
    <x v="1"/>
    <s v="Normal"/>
    <s v="Maxed Out"/>
    <m/>
    <m/>
    <m/>
  </r>
  <r>
    <x v="0"/>
    <x v="2"/>
    <x v="5"/>
    <x v="14"/>
    <n v="8.6461888509670085E-2"/>
    <n v="0"/>
    <s v="DOWN"/>
    <n v="0.1"/>
    <n v="4.9279484262419397E-2"/>
    <n v="-3.0570725046180952E-3"/>
    <n v="0.17799866497296365"/>
    <n v="0.29402780506801518"/>
    <n v="0"/>
    <x v="444"/>
    <n v="6"/>
    <x v="0"/>
    <x v="0"/>
    <n v="0"/>
    <n v="0"/>
    <n v="0"/>
    <x v="0"/>
    <x v="1"/>
    <s v="Normal"/>
    <s v="Maxed Out"/>
    <m/>
    <m/>
    <m/>
  </r>
  <r>
    <x v="0"/>
    <x v="2"/>
    <x v="5"/>
    <x v="15"/>
    <n v="8.9689536220774246E-2"/>
    <n v="0"/>
    <s v="DOWN"/>
    <n v="0.1"/>
    <n v="-3.7330293921849451E-2"/>
    <n v="-3.0570725046180952E-3"/>
    <n v="0.17799866497296365"/>
    <n v="-0.19254763187373983"/>
    <n v="0"/>
    <x v="445"/>
    <n v="6"/>
    <x v="0"/>
    <x v="0"/>
    <n v="0"/>
    <n v="0"/>
    <n v="0"/>
    <x v="1"/>
    <x v="1"/>
    <s v="Normal"/>
    <s v="Maxed Out"/>
    <m/>
    <m/>
    <m/>
  </r>
  <r>
    <x v="1"/>
    <x v="2"/>
    <x v="6"/>
    <x v="0"/>
    <n v="0.77400000000000002"/>
    <n v="0"/>
    <s v="DOWN"/>
    <n v="0.59"/>
    <n v="-0.32989690721649501"/>
    <n v="-4.8849805534298088E-2"/>
    <n v="0.44966933193859487"/>
    <n v="-0.62500838220511701"/>
    <n v="1"/>
    <x v="446"/>
    <n v="0"/>
    <x v="0"/>
    <x v="1"/>
    <n v="0"/>
    <n v="1"/>
    <n v="1"/>
    <x v="1"/>
    <x v="0"/>
    <s v="Abnormal"/>
    <s v="Allowed"/>
    <m/>
    <m/>
    <m/>
  </r>
  <r>
    <x v="1"/>
    <x v="2"/>
    <x v="6"/>
    <x v="1"/>
    <n v="0.755"/>
    <n v="0"/>
    <s v="DOWN"/>
    <n v="0.59"/>
    <n v="2.4547803617571081E-2"/>
    <n v="-4.8849805534298088E-2"/>
    <n v="0.44966933193859487"/>
    <n v="0.16322573931257572"/>
    <n v="0"/>
    <x v="447"/>
    <n v="0"/>
    <x v="0"/>
    <x v="0"/>
    <n v="0"/>
    <n v="0"/>
    <n v="0"/>
    <x v="0"/>
    <x v="0"/>
    <s v="Normal"/>
    <s v="Allowed"/>
    <m/>
    <m/>
    <m/>
  </r>
  <r>
    <x v="1"/>
    <x v="2"/>
    <x v="6"/>
    <x v="2"/>
    <n v="0.74"/>
    <n v="0"/>
    <s v="DOWN"/>
    <n v="0.59"/>
    <n v="1.986754966887419E-2"/>
    <n v="-4.8849805534298088E-2"/>
    <n v="0.44966933193859487"/>
    <n v="0.15281752684115904"/>
    <n v="0"/>
    <x v="279"/>
    <n v="0"/>
    <x v="0"/>
    <x v="0"/>
    <n v="0"/>
    <n v="0"/>
    <n v="0"/>
    <x v="0"/>
    <x v="0"/>
    <s v="Normal"/>
    <s v="Allowed"/>
    <m/>
    <m/>
    <m/>
  </r>
  <r>
    <x v="1"/>
    <x v="2"/>
    <x v="6"/>
    <x v="3"/>
    <n v="0.63"/>
    <n v="0"/>
    <s v="DOWN"/>
    <n v="0.59"/>
    <n v="0.1486486486486486"/>
    <n v="-4.8849805534298088E-2"/>
    <n v="0.44966933193859487"/>
    <n v="0.43920819178728498"/>
    <n v="0"/>
    <x v="94"/>
    <n v="0"/>
    <x v="0"/>
    <x v="0"/>
    <n v="0"/>
    <n v="0"/>
    <n v="0"/>
    <x v="0"/>
    <x v="0"/>
    <s v="Normal"/>
    <s v="Allowed"/>
    <m/>
    <m/>
    <m/>
  </r>
  <r>
    <x v="1"/>
    <x v="2"/>
    <x v="6"/>
    <x v="4"/>
    <n v="0.69"/>
    <n v="0"/>
    <s v="DOWN"/>
    <n v="0.59"/>
    <n v="-9.523809523809515E-2"/>
    <n v="-4.8849805534298088E-2"/>
    <n v="0.44966933193859487"/>
    <n v="-0.10316089270266639"/>
    <n v="0"/>
    <x v="278"/>
    <n v="0"/>
    <x v="0"/>
    <x v="0"/>
    <n v="0"/>
    <n v="0"/>
    <n v="0"/>
    <x v="1"/>
    <x v="0"/>
    <s v="Normal"/>
    <s v="Allowed"/>
    <m/>
    <m/>
    <m/>
  </r>
  <r>
    <x v="1"/>
    <x v="2"/>
    <x v="6"/>
    <x v="5"/>
    <n v="0.71"/>
    <n v="0"/>
    <s v="DOWN"/>
    <n v="0.59"/>
    <n v="-2.898550724637684E-2"/>
    <n v="-4.8849805534298088E-2"/>
    <n v="0.44966933193859487"/>
    <n v="4.4175345919818788E-2"/>
    <n v="0"/>
    <x v="448"/>
    <n v="0"/>
    <x v="0"/>
    <x v="0"/>
    <n v="0"/>
    <n v="0"/>
    <n v="0"/>
    <x v="1"/>
    <x v="0"/>
    <s v="Normal"/>
    <s v="Allowed"/>
    <m/>
    <m/>
    <m/>
  </r>
  <r>
    <x v="1"/>
    <x v="2"/>
    <x v="6"/>
    <x v="6"/>
    <n v="0.68"/>
    <n v="0"/>
    <s v="DOWN"/>
    <n v="0.59"/>
    <n v="4.2253521126760438E-2"/>
    <n v="-4.8849805534298088E-2"/>
    <n v="0.44966933193859487"/>
    <n v="0.20260071165693649"/>
    <n v="0"/>
    <x v="277"/>
    <n v="0"/>
    <x v="0"/>
    <x v="0"/>
    <n v="0"/>
    <n v="0"/>
    <n v="0"/>
    <x v="0"/>
    <x v="0"/>
    <s v="Normal"/>
    <s v="Allowed"/>
    <m/>
    <m/>
    <m/>
  </r>
  <r>
    <x v="1"/>
    <x v="2"/>
    <x v="6"/>
    <x v="7"/>
    <n v="0.69"/>
    <n v="0"/>
    <s v="DOWN"/>
    <n v="0.59"/>
    <n v="-1.4705882352941031E-2"/>
    <n v="-4.8849805534298088E-2"/>
    <n v="0.44966933193859487"/>
    <n v="7.5931180439095691E-2"/>
    <n v="0"/>
    <x v="278"/>
    <n v="0"/>
    <x v="0"/>
    <x v="0"/>
    <n v="0"/>
    <n v="0"/>
    <n v="0"/>
    <x v="1"/>
    <x v="0"/>
    <s v="Normal"/>
    <s v="Allowed"/>
    <m/>
    <m/>
    <m/>
  </r>
  <r>
    <x v="1"/>
    <x v="2"/>
    <x v="6"/>
    <x v="8"/>
    <n v="0.57999999999999996"/>
    <n v="0"/>
    <s v="DOWN"/>
    <n v="0.59"/>
    <n v="0.15942028985507251"/>
    <n v="-4.8849805534298088E-2"/>
    <n v="0.44966933193859487"/>
    <n v="0.46316277450251186"/>
    <n v="0"/>
    <x v="100"/>
    <n v="0"/>
    <x v="0"/>
    <x v="0"/>
    <n v="0"/>
    <n v="0"/>
    <n v="0"/>
    <x v="0"/>
    <x v="1"/>
    <s v="Normal"/>
    <s v="Allowed"/>
    <m/>
    <m/>
    <m/>
  </r>
  <r>
    <x v="1"/>
    <x v="2"/>
    <x v="6"/>
    <x v="9"/>
    <n v="0.57999999999999996"/>
    <n v="0"/>
    <s v="DOWN"/>
    <n v="0.59"/>
    <n v="0"/>
    <n v="-4.8849805534298088E-2"/>
    <n v="0.44966933193859487"/>
    <n v="0.10863495031715623"/>
    <n v="0"/>
    <x v="100"/>
    <n v="0"/>
    <x v="0"/>
    <x v="0"/>
    <n v="0"/>
    <n v="0"/>
    <n v="0"/>
    <x v="1"/>
    <x v="1"/>
    <s v="Normal"/>
    <s v="Allowed"/>
    <m/>
    <m/>
    <m/>
  </r>
  <r>
    <x v="1"/>
    <x v="2"/>
    <x v="6"/>
    <x v="10"/>
    <n v="0.67"/>
    <n v="0"/>
    <s v="DOWN"/>
    <n v="0.59"/>
    <n v="-0.15517241379310359"/>
    <n v="-4.8849805534298088E-2"/>
    <n v="0.44966933193859487"/>
    <n v="-0.23644620770652092"/>
    <n v="0"/>
    <x v="449"/>
    <n v="0"/>
    <x v="0"/>
    <x v="0"/>
    <n v="0"/>
    <n v="0"/>
    <n v="0"/>
    <x v="1"/>
    <x v="0"/>
    <s v="Normal"/>
    <s v="Allowed"/>
    <m/>
    <m/>
    <m/>
  </r>
  <r>
    <x v="1"/>
    <x v="2"/>
    <x v="6"/>
    <x v="11"/>
    <n v="0.59"/>
    <n v="0"/>
    <s v="DOWN"/>
    <n v="0.59"/>
    <n v="0.119402985074627"/>
    <n v="-4.8849805534298088E-2"/>
    <n v="0.44966933193859487"/>
    <n v="0.37417003708827767"/>
    <n v="0"/>
    <x v="96"/>
    <n v="0"/>
    <x v="0"/>
    <x v="0"/>
    <n v="0"/>
    <n v="0"/>
    <n v="0"/>
    <x v="0"/>
    <x v="1"/>
    <s v="Normal"/>
    <s v="Allowed"/>
    <m/>
    <m/>
    <m/>
  </r>
  <r>
    <x v="1"/>
    <x v="2"/>
    <x v="6"/>
    <x v="12"/>
    <n v="0.52"/>
    <n v="0"/>
    <s v="DOWN"/>
    <n v="0.59"/>
    <n v="0.1186440677966101"/>
    <n v="-4.8849805534298088E-2"/>
    <n v="0.44966933193859487"/>
    <n v="0.37248231407913879"/>
    <n v="0"/>
    <x v="450"/>
    <n v="0"/>
    <x v="0"/>
    <x v="0"/>
    <n v="0"/>
    <n v="0"/>
    <n v="0"/>
    <x v="0"/>
    <x v="1"/>
    <s v="Normal"/>
    <s v="Allowed"/>
    <m/>
    <m/>
    <m/>
  </r>
  <r>
    <x v="1"/>
    <x v="2"/>
    <x v="6"/>
    <x v="13"/>
    <n v="0.49"/>
    <n v="0"/>
    <s v="DOWN"/>
    <n v="0.59"/>
    <n v="5.7692307692307737E-2"/>
    <n v="-4.8849805534298088E-2"/>
    <n v="0.44966933193859487"/>
    <n v="0.23693435522339515"/>
    <n v="0"/>
    <x v="451"/>
    <n v="0"/>
    <x v="0"/>
    <x v="0"/>
    <n v="0"/>
    <n v="0"/>
    <n v="0"/>
    <x v="0"/>
    <x v="1"/>
    <s v="Normal"/>
    <s v="Allowed"/>
    <m/>
    <m/>
    <m/>
  </r>
  <r>
    <x v="1"/>
    <x v="2"/>
    <x v="6"/>
    <x v="14"/>
    <n v="0.73"/>
    <n v="0"/>
    <s v="DOWN"/>
    <n v="0.59"/>
    <n v="-0.48979591836734693"/>
    <n v="-4.8849805534298088E-2"/>
    <n v="0.44966933193859487"/>
    <n v="-0.98060081378478969"/>
    <n v="1"/>
    <x v="452"/>
    <n v="0"/>
    <x v="0"/>
    <x v="1"/>
    <n v="0"/>
    <n v="1"/>
    <n v="1"/>
    <x v="1"/>
    <x v="0"/>
    <s v="Abnormal"/>
    <s v="Allowed"/>
    <m/>
    <m/>
    <m/>
  </r>
  <r>
    <x v="1"/>
    <x v="2"/>
    <x v="7"/>
    <x v="0"/>
    <n v="0.73899999999999999"/>
    <n v="1"/>
    <s v="DOWN"/>
    <n v="0.56999999999999995"/>
    <n v="2.7631578947368441E-2"/>
    <n v="-2.6703176088529658E-2"/>
    <n v="0.34089784338901952"/>
    <n v="0.15938720672366757"/>
    <n v="0"/>
    <x v="453"/>
    <n v="0"/>
    <x v="0"/>
    <x v="0"/>
    <n v="0"/>
    <n v="0"/>
    <n v="0"/>
    <x v="0"/>
    <x v="0"/>
    <s v="Normal"/>
    <s v="Allowed"/>
    <m/>
    <m/>
    <m/>
  </r>
  <r>
    <x v="1"/>
    <x v="2"/>
    <x v="7"/>
    <x v="1"/>
    <n v="0.73"/>
    <n v="0"/>
    <s v="DOWN"/>
    <n v="0.56999999999999995"/>
    <n v="1.217861975642762E-2"/>
    <n v="-2.6703176088529658E-2"/>
    <n v="0.34089784338901952"/>
    <n v="0.11405703086419021"/>
    <n v="0"/>
    <x v="454"/>
    <n v="1"/>
    <x v="1"/>
    <x v="0"/>
    <n v="1"/>
    <n v="0"/>
    <n v="0"/>
    <x v="0"/>
    <x v="0"/>
    <s v="Normal"/>
    <s v="Allowed"/>
    <m/>
    <m/>
    <m/>
  </r>
  <r>
    <x v="1"/>
    <x v="2"/>
    <x v="7"/>
    <x v="2"/>
    <n v="0.74399999999999999"/>
    <n v="1"/>
    <s v="DOWN"/>
    <n v="0.56999999999999995"/>
    <n v="-1.917808219178084E-2"/>
    <n v="-2.6703176088529658E-2"/>
    <n v="0.34089784338901952"/>
    <n v="2.2074337056340571E-2"/>
    <n v="0"/>
    <x v="455"/>
    <n v="1"/>
    <x v="0"/>
    <x v="0"/>
    <n v="0"/>
    <n v="0"/>
    <n v="0"/>
    <x v="1"/>
    <x v="0"/>
    <s v="Normal"/>
    <s v="Allowed"/>
    <m/>
    <m/>
    <m/>
  </r>
  <r>
    <x v="1"/>
    <x v="2"/>
    <x v="7"/>
    <x v="3"/>
    <n v="0.85699999999999998"/>
    <n v="1"/>
    <s v="DOWN"/>
    <n v="0.56999999999999995"/>
    <n v="-0.1518817204301075"/>
    <n v="-2.6703176088529658E-2"/>
    <n v="0.34089784338901952"/>
    <n v="-0.36720251174698371"/>
    <n v="0"/>
    <x v="456"/>
    <n v="2"/>
    <x v="2"/>
    <x v="0"/>
    <n v="1"/>
    <n v="0"/>
    <n v="0"/>
    <x v="1"/>
    <x v="0"/>
    <s v="Normal"/>
    <s v="Allowed"/>
    <m/>
    <m/>
    <m/>
  </r>
  <r>
    <x v="1"/>
    <x v="2"/>
    <x v="7"/>
    <x v="4"/>
    <n v="0.74399999999999999"/>
    <n v="1"/>
    <s v="DOWN"/>
    <n v="0.56999999999999995"/>
    <n v="0.13185530921820299"/>
    <n v="-2.6703176088529658E-2"/>
    <n v="0.34089784338901952"/>
    <n v="0.46512023581736711"/>
    <n v="0"/>
    <x v="455"/>
    <n v="3"/>
    <x v="1"/>
    <x v="0"/>
    <n v="1"/>
    <n v="0"/>
    <n v="0"/>
    <x v="0"/>
    <x v="0"/>
    <s v="Normal"/>
    <s v="Allowed"/>
    <m/>
    <m/>
    <m/>
  </r>
  <r>
    <x v="1"/>
    <x v="2"/>
    <x v="7"/>
    <x v="5"/>
    <n v="0.82099999999999995"/>
    <n v="0"/>
    <s v="DOWN"/>
    <n v="0.56999999999999995"/>
    <n v="-0.1034946236559139"/>
    <n v="-2.6703176088529658E-2"/>
    <n v="0.34089784338901952"/>
    <n v="-0.22526234488304694"/>
    <n v="0"/>
    <x v="289"/>
    <n v="4"/>
    <x v="2"/>
    <x v="0"/>
    <n v="1"/>
    <n v="0"/>
    <n v="0"/>
    <x v="1"/>
    <x v="0"/>
    <s v="Normal"/>
    <s v="Allowed"/>
    <m/>
    <m/>
    <m/>
  </r>
  <r>
    <x v="1"/>
    <x v="2"/>
    <x v="7"/>
    <x v="6"/>
    <n v="0.76"/>
    <n v="0"/>
    <s v="DOWN"/>
    <n v="0.56999999999999995"/>
    <n v="7.4299634591960956E-2"/>
    <n v="-2.6703176088529658E-2"/>
    <n v="0.34089784338901952"/>
    <n v="0.29628468656878559"/>
    <n v="0"/>
    <x v="457"/>
    <n v="4"/>
    <x v="0"/>
    <x v="0"/>
    <n v="0"/>
    <n v="0"/>
    <n v="0"/>
    <x v="0"/>
    <x v="0"/>
    <s v="Normal"/>
    <s v="Allowed"/>
    <m/>
    <m/>
    <m/>
  </r>
  <r>
    <x v="1"/>
    <x v="2"/>
    <x v="7"/>
    <x v="7"/>
    <n v="0.79400000000000004"/>
    <n v="1"/>
    <s v="DOWN"/>
    <n v="0.56999999999999995"/>
    <n v="-4.47368421052632E-2"/>
    <n v="-2.6703176088529658E-2"/>
    <n v="0.34089784338901952"/>
    <n v="-5.2900498980729002E-2"/>
    <n v="0"/>
    <x v="458"/>
    <n v="4"/>
    <x v="0"/>
    <x v="0"/>
    <n v="0"/>
    <n v="0"/>
    <n v="0"/>
    <x v="1"/>
    <x v="0"/>
    <s v="Normal"/>
    <s v="Allowed"/>
    <m/>
    <m/>
    <m/>
  </r>
  <r>
    <x v="1"/>
    <x v="2"/>
    <x v="7"/>
    <x v="8"/>
    <n v="0.76900000000000002"/>
    <n v="0"/>
    <s v="DOWN"/>
    <n v="0.56999999999999995"/>
    <n v="3.1486146095717912E-2"/>
    <n v="-2.6703176088529658E-2"/>
    <n v="0.34089784338901952"/>
    <n v="0.17069431007765032"/>
    <n v="0"/>
    <x v="459"/>
    <n v="5"/>
    <x v="1"/>
    <x v="0"/>
    <n v="1"/>
    <n v="0"/>
    <n v="0"/>
    <x v="0"/>
    <x v="0"/>
    <s v="Normal"/>
    <s v="Maxed Out"/>
    <m/>
    <m/>
    <m/>
  </r>
  <r>
    <x v="1"/>
    <x v="2"/>
    <x v="7"/>
    <x v="9"/>
    <n v="0.621"/>
    <n v="1"/>
    <s v="DOWN"/>
    <n v="0.56999999999999995"/>
    <n v="0.19245773732119639"/>
    <n v="-2.6703176088529658E-2"/>
    <n v="0.34089784338901952"/>
    <n v="0.64289322346820488"/>
    <n v="-1"/>
    <x v="110"/>
    <n v="5"/>
    <x v="0"/>
    <x v="0"/>
    <n v="0"/>
    <n v="0"/>
    <n v="0"/>
    <x v="0"/>
    <x v="0"/>
    <s v="Normal"/>
    <s v="Maxed Out"/>
    <m/>
    <m/>
    <m/>
  </r>
  <r>
    <x v="1"/>
    <x v="2"/>
    <x v="7"/>
    <x v="10"/>
    <n v="0.78900000000000003"/>
    <n v="1"/>
    <s v="DOWN"/>
    <n v="0.56999999999999995"/>
    <n v="-0.27053140096618361"/>
    <n v="-2.6703176088529658E-2"/>
    <n v="0.34089784338901952"/>
    <n v="-0.71525305778894754"/>
    <n v="1"/>
    <x v="460"/>
    <n v="6"/>
    <x v="2"/>
    <x v="2"/>
    <n v="1"/>
    <n v="-1"/>
    <n v="0"/>
    <x v="1"/>
    <x v="0"/>
    <s v="Abnormal"/>
    <s v="Maxed Out"/>
    <m/>
    <m/>
    <m/>
  </r>
  <r>
    <x v="1"/>
    <x v="2"/>
    <x v="7"/>
    <x v="11"/>
    <n v="0.8"/>
    <n v="0"/>
    <s v="DOWN"/>
    <n v="0.56999999999999995"/>
    <n v="-1.3941698352344749E-2"/>
    <n v="-2.6703176088529658E-2"/>
    <n v="0.34089784338901952"/>
    <n v="3.7434903105626284E-2"/>
    <n v="0"/>
    <x v="461"/>
    <n v="7"/>
    <x v="2"/>
    <x v="0"/>
    <n v="1"/>
    <n v="0"/>
    <n v="0"/>
    <x v="1"/>
    <x v="0"/>
    <s v="Normal"/>
    <s v="Maxed Out"/>
    <m/>
    <m/>
    <m/>
  </r>
  <r>
    <x v="1"/>
    <x v="2"/>
    <x v="7"/>
    <x v="12"/>
    <n v="0.85"/>
    <n v="1"/>
    <s v="DOWN"/>
    <n v="0.56999999999999995"/>
    <n v="-6.2499999999999917E-2"/>
    <n v="-2.6703176088529658E-2"/>
    <n v="0.34089784338901952"/>
    <n v="-0.10500748128998956"/>
    <n v="0"/>
    <x v="462"/>
    <n v="7"/>
    <x v="0"/>
    <x v="0"/>
    <n v="0"/>
    <n v="0"/>
    <n v="0"/>
    <x v="1"/>
    <x v="0"/>
    <s v="Normal"/>
    <s v="Maxed Out"/>
    <m/>
    <m/>
    <m/>
  </r>
  <r>
    <x v="1"/>
    <x v="2"/>
    <x v="7"/>
    <x v="13"/>
    <n v="0.66"/>
    <n v="1"/>
    <s v="DOWN"/>
    <n v="0.56999999999999995"/>
    <n v="0.22352941176470581"/>
    <n v="-2.6703176088529658E-2"/>
    <n v="0.34089784338901952"/>
    <n v="0.73403980901011356"/>
    <n v="-1"/>
    <x v="116"/>
    <n v="8"/>
    <x v="1"/>
    <x v="0"/>
    <n v="1"/>
    <n v="0"/>
    <n v="0"/>
    <x v="0"/>
    <x v="0"/>
    <s v="Normal"/>
    <s v="Maxed Out"/>
    <m/>
    <m/>
    <m/>
  </r>
  <r>
    <x v="1"/>
    <x v="2"/>
    <x v="7"/>
    <x v="14"/>
    <n v="0.66"/>
    <n v="1"/>
    <s v="DOWN"/>
    <n v="0.56999999999999995"/>
    <n v="0"/>
    <n v="-2.6703176088529658E-2"/>
    <n v="0.34089784338901952"/>
    <n v="7.8331900909261606E-2"/>
    <n v="0"/>
    <x v="116"/>
    <n v="9"/>
    <x v="2"/>
    <x v="0"/>
    <n v="1"/>
    <n v="0"/>
    <n v="0"/>
    <x v="1"/>
    <x v="0"/>
    <s v="Normal"/>
    <s v="Maxed Out"/>
    <m/>
    <m/>
    <m/>
  </r>
  <r>
    <x v="2"/>
    <x v="2"/>
    <x v="8"/>
    <x v="0"/>
    <n v="0.66669999999999996"/>
    <n v="1"/>
    <s v="UP"/>
    <n v="0.85"/>
    <n v="-7.4541921154914051E-2"/>
    <n v="4.5902054585511267E-3"/>
    <n v="7.1528610508022367E-2"/>
    <n v="-1.1063003468324053"/>
    <n v="1"/>
    <x v="463"/>
    <n v="0"/>
    <x v="2"/>
    <x v="1"/>
    <n v="1"/>
    <n v="1"/>
    <n v="1"/>
    <x v="1"/>
    <x v="0"/>
    <s v="Abnormal"/>
    <s v="Allowed"/>
    <m/>
    <m/>
    <m/>
  </r>
  <r>
    <x v="2"/>
    <x v="2"/>
    <x v="8"/>
    <x v="1"/>
    <n v="0.74439999999999995"/>
    <n v="1"/>
    <s v="UP"/>
    <n v="0.85"/>
    <n v="0.1165441727913604"/>
    <n v="4.5902054585511267E-3"/>
    <n v="7.1528610508022367E-2"/>
    <n v="1.5651634574986319"/>
    <n v="-1"/>
    <x v="464"/>
    <n v="1"/>
    <x v="1"/>
    <x v="0"/>
    <n v="1"/>
    <n v="0"/>
    <n v="0"/>
    <x v="0"/>
    <x v="0"/>
    <s v="Normal"/>
    <s v="Allowed"/>
    <m/>
    <m/>
    <m/>
  </r>
  <r>
    <x v="2"/>
    <x v="2"/>
    <x v="8"/>
    <x v="2"/>
    <n v="0.8478"/>
    <n v="1"/>
    <s v="UP"/>
    <n v="0.85"/>
    <n v="0.13890381515314351"/>
    <n v="4.5902054585511267E-3"/>
    <n v="7.1528610508022367E-2"/>
    <n v="1.8777606434774559"/>
    <n v="-1"/>
    <x v="465"/>
    <n v="2"/>
    <x v="1"/>
    <x v="0"/>
    <n v="1"/>
    <n v="0"/>
    <n v="0"/>
    <x v="0"/>
    <x v="1"/>
    <s v="Normal"/>
    <s v="Allowed"/>
    <m/>
    <m/>
    <m/>
  </r>
  <r>
    <x v="2"/>
    <x v="2"/>
    <x v="8"/>
    <x v="3"/>
    <n v="0.85709999999999997"/>
    <n v="0"/>
    <s v="UP"/>
    <n v="0.85"/>
    <n v="1.0969568294409031E-2"/>
    <n v="4.5902054585511267E-3"/>
    <n v="7.1528610508022367E-2"/>
    <n v="8.918617026878245E-2"/>
    <n v="0"/>
    <x v="466"/>
    <n v="3"/>
    <x v="1"/>
    <x v="0"/>
    <n v="1"/>
    <n v="0"/>
    <n v="0"/>
    <x v="0"/>
    <x v="1"/>
    <s v="Normal"/>
    <s v="Allowed"/>
    <m/>
    <m/>
    <m/>
  </r>
  <r>
    <x v="2"/>
    <x v="2"/>
    <x v="8"/>
    <x v="4"/>
    <n v="0.80810000000000004"/>
    <n v="1"/>
    <s v="UP"/>
    <n v="0.85"/>
    <n v="-5.7169525142923727E-2"/>
    <n v="4.5902054585511267E-3"/>
    <n v="7.1528610508022367E-2"/>
    <n v="-0.86342695828752503"/>
    <n v="1"/>
    <x v="467"/>
    <n v="3"/>
    <x v="0"/>
    <x v="1"/>
    <n v="0"/>
    <n v="1"/>
    <n v="1"/>
    <x v="1"/>
    <x v="0"/>
    <s v="Abnormal"/>
    <s v="Allowed"/>
    <m/>
    <m/>
    <m/>
  </r>
  <r>
    <x v="2"/>
    <x v="2"/>
    <x v="8"/>
    <x v="5"/>
    <n v="0.74729999999999996"/>
    <n v="1"/>
    <s v="UP"/>
    <n v="0.85"/>
    <n v="-7.5238213092439152E-2"/>
    <n v="4.5902054585511267E-3"/>
    <n v="7.1528610508022367E-2"/>
    <n v="-1.1160348003969269"/>
    <n v="1"/>
    <x v="468"/>
    <n v="4"/>
    <x v="2"/>
    <x v="1"/>
    <n v="1"/>
    <n v="1"/>
    <n v="1"/>
    <x v="1"/>
    <x v="0"/>
    <s v="Abnormal"/>
    <s v="Allowed"/>
    <m/>
    <m/>
    <m/>
  </r>
  <r>
    <x v="2"/>
    <x v="2"/>
    <x v="8"/>
    <x v="6"/>
    <n v="0.65480000000000005"/>
    <n v="1"/>
    <s v="UP"/>
    <n v="0.85"/>
    <n v="-0.1237789375083633"/>
    <n v="4.5902054585511267E-3"/>
    <n v="7.1528610508022367E-2"/>
    <n v="-1.7946545033545291"/>
    <n v="1"/>
    <x v="469"/>
    <n v="5"/>
    <x v="2"/>
    <x v="2"/>
    <n v="1"/>
    <n v="-1"/>
    <n v="0"/>
    <x v="1"/>
    <x v="0"/>
    <s v="Abnormal"/>
    <s v="Maxed Out"/>
    <m/>
    <m/>
    <m/>
  </r>
  <r>
    <x v="2"/>
    <x v="2"/>
    <x v="8"/>
    <x v="7"/>
    <n v="0.78949999999999998"/>
    <n v="1"/>
    <s v="UP"/>
    <n v="0.85"/>
    <n v="0.2057116676847891"/>
    <n v="4.5902054585511267E-3"/>
    <n v="7.1528610508022367E-2"/>
    <n v="2.8117624653659528"/>
    <n v="-1"/>
    <x v="470"/>
    <n v="6"/>
    <x v="1"/>
    <x v="0"/>
    <n v="1"/>
    <n v="0"/>
    <n v="0"/>
    <x v="0"/>
    <x v="0"/>
    <s v="Normal"/>
    <s v="Maxed Out"/>
    <m/>
    <m/>
    <m/>
  </r>
  <r>
    <x v="2"/>
    <x v="2"/>
    <x v="8"/>
    <x v="8"/>
    <n v="0.76249999999999996"/>
    <n v="1"/>
    <s v="UP"/>
    <n v="0.85"/>
    <n v="-3.4198860037998761E-2"/>
    <n v="4.5902054585511267E-3"/>
    <n v="7.1528610508022367E-2"/>
    <n v="-0.54228741787455048"/>
    <n v="1"/>
    <x v="471"/>
    <n v="7"/>
    <x v="2"/>
    <x v="2"/>
    <n v="1"/>
    <n v="-1"/>
    <n v="0"/>
    <x v="1"/>
    <x v="0"/>
    <s v="Abnormal"/>
    <s v="Maxed Out"/>
    <m/>
    <m/>
    <m/>
  </r>
  <r>
    <x v="2"/>
    <x v="2"/>
    <x v="8"/>
    <x v="9"/>
    <n v="0.85"/>
    <n v="0"/>
    <s v="UP"/>
    <n v="0.85"/>
    <n v="0.1147540983606558"/>
    <n v="4.5902054585511267E-3"/>
    <n v="7.1528610508022367E-2"/>
    <n v="1.5401374655495248"/>
    <n v="-1"/>
    <x v="96"/>
    <n v="8"/>
    <x v="1"/>
    <x v="0"/>
    <n v="1"/>
    <n v="0"/>
    <n v="0"/>
    <x v="0"/>
    <x v="1"/>
    <s v="Normal"/>
    <s v="Maxed Out"/>
    <m/>
    <m/>
    <m/>
  </r>
  <r>
    <x v="2"/>
    <x v="2"/>
    <x v="8"/>
    <x v="10"/>
    <n v="0.76"/>
    <n v="0"/>
    <s v="UP"/>
    <n v="0.85"/>
    <n v="-0.1058823529411764"/>
    <n v="4.5902054585511267E-3"/>
    <n v="7.1528610508022367E-2"/>
    <n v="-1.5444527387727931"/>
    <n v="1"/>
    <x v="472"/>
    <n v="8"/>
    <x v="0"/>
    <x v="2"/>
    <n v="0"/>
    <n v="-1"/>
    <n v="0"/>
    <x v="1"/>
    <x v="0"/>
    <s v="Abnormal"/>
    <s v="Maxed Out"/>
    <m/>
    <m/>
    <m/>
  </r>
  <r>
    <x v="2"/>
    <x v="2"/>
    <x v="8"/>
    <x v="11"/>
    <n v="0.83899999999999997"/>
    <n v="1"/>
    <s v="UP"/>
    <n v="0.85"/>
    <n v="0.10394736842105259"/>
    <n v="4.5902054585511267E-3"/>
    <n v="7.1528610508022367E-2"/>
    <n v="1.3890548447233986"/>
    <n v="-1"/>
    <x v="473"/>
    <n v="8"/>
    <x v="0"/>
    <x v="0"/>
    <n v="0"/>
    <n v="0"/>
    <n v="0"/>
    <x v="0"/>
    <x v="1"/>
    <s v="Normal"/>
    <s v="Maxed Out"/>
    <m/>
    <m/>
    <m/>
  </r>
  <r>
    <x v="2"/>
    <x v="2"/>
    <x v="8"/>
    <x v="12"/>
    <n v="0.81699999999999995"/>
    <n v="1"/>
    <s v="UP"/>
    <n v="0.85"/>
    <n v="-2.6221692491060811E-2"/>
    <n v="4.5902054585511267E-3"/>
    <n v="7.1528610508022367E-2"/>
    <n v="-0.43076326704481693"/>
    <n v="0"/>
    <x v="474"/>
    <n v="9"/>
    <x v="2"/>
    <x v="0"/>
    <n v="1"/>
    <n v="0"/>
    <n v="0"/>
    <x v="1"/>
    <x v="0"/>
    <s v="Normal"/>
    <s v="Maxed Out"/>
    <m/>
    <m/>
    <m/>
  </r>
  <r>
    <x v="2"/>
    <x v="2"/>
    <x v="8"/>
    <x v="13"/>
    <n v="0.76100000000000001"/>
    <n v="1"/>
    <s v="UP"/>
    <n v="0.85"/>
    <n v="-6.8543451652386705E-2"/>
    <n v="4.5902054585511267E-3"/>
    <n v="7.1528610508022367E-2"/>
    <n v="-1.022439225248692"/>
    <n v="1"/>
    <x v="341"/>
    <n v="10"/>
    <x v="2"/>
    <x v="2"/>
    <n v="1"/>
    <n v="-1"/>
    <n v="0"/>
    <x v="1"/>
    <x v="0"/>
    <s v="Abnormal"/>
    <s v="Maxed Out"/>
    <m/>
    <m/>
    <m/>
  </r>
  <r>
    <x v="2"/>
    <x v="2"/>
    <x v="8"/>
    <x v="14"/>
    <n v="0.79600000000000004"/>
    <n v="1"/>
    <s v="UP"/>
    <n v="0.85"/>
    <n v="4.5992115637319357E-2"/>
    <n v="4.5902054585511267E-3"/>
    <n v="7.1528610508022367E-2"/>
    <n v="0.57881608330871681"/>
    <n v="-1"/>
    <x v="475"/>
    <n v="11"/>
    <x v="1"/>
    <x v="0"/>
    <n v="1"/>
    <n v="0"/>
    <n v="0"/>
    <x v="0"/>
    <x v="0"/>
    <s v="Normal"/>
    <s v="Maxed Out"/>
    <m/>
    <m/>
    <m/>
  </r>
  <r>
    <x v="2"/>
    <x v="2"/>
    <x v="8"/>
    <x v="15"/>
    <n v="0.79500000000000004"/>
    <n v="1"/>
    <s v="UP"/>
    <n v="0.85"/>
    <n v="-1.256281407035177E-3"/>
    <n v="4.5902054585511267E-3"/>
    <n v="7.1528610508022367E-2"/>
    <n v="-8.1736340522518394E-2"/>
    <n v="0"/>
    <x v="476"/>
    <n v="12"/>
    <x v="2"/>
    <x v="0"/>
    <n v="1"/>
    <n v="0"/>
    <n v="0"/>
    <x v="1"/>
    <x v="0"/>
    <s v="Normal"/>
    <s v="Maxed Out"/>
    <m/>
    <m/>
    <m/>
  </r>
  <r>
    <x v="2"/>
    <x v="2"/>
    <x v="9"/>
    <x v="0"/>
    <n v="0.75229999999999997"/>
    <n v="0"/>
    <s v="UP"/>
    <n v="0.65"/>
    <n v="-4.8564563045402798E-2"/>
    <n v="1.2057533289701232E-2"/>
    <n v="0.17981498891186962"/>
    <n v="-0.33713594568479466"/>
    <n v="0"/>
    <x v="477"/>
    <n v="0"/>
    <x v="0"/>
    <x v="0"/>
    <n v="0"/>
    <n v="0"/>
    <n v="0"/>
    <x v="1"/>
    <x v="1"/>
    <s v="Normal"/>
    <s v="Allowed"/>
    <m/>
    <m/>
    <m/>
  </r>
  <r>
    <x v="2"/>
    <x v="2"/>
    <x v="9"/>
    <x v="1"/>
    <n v="0.73029999999999995"/>
    <n v="0"/>
    <s v="UP"/>
    <n v="0.65"/>
    <n v="-2.9243652798085901E-2"/>
    <n v="1.2057533289701232E-2"/>
    <n v="0.17981498891186962"/>
    <n v="-0.22968711528286193"/>
    <n v="0"/>
    <x v="478"/>
    <n v="0"/>
    <x v="0"/>
    <x v="0"/>
    <n v="0"/>
    <n v="0"/>
    <n v="0"/>
    <x v="1"/>
    <x v="1"/>
    <s v="Normal"/>
    <s v="Allowed"/>
    <m/>
    <m/>
    <m/>
  </r>
  <r>
    <x v="2"/>
    <x v="2"/>
    <x v="9"/>
    <x v="2"/>
    <n v="0.74"/>
    <n v="0"/>
    <s v="UP"/>
    <n v="0.65"/>
    <n v="1.328221278926474E-2"/>
    <n v="1.2057533289701232E-2"/>
    <n v="0.17981498891186962"/>
    <n v="6.8107753807094707E-3"/>
    <n v="0"/>
    <x v="479"/>
    <n v="0"/>
    <x v="0"/>
    <x v="0"/>
    <n v="0"/>
    <n v="0"/>
    <n v="0"/>
    <x v="0"/>
    <x v="1"/>
    <s v="Normal"/>
    <s v="Allowed"/>
    <m/>
    <m/>
    <m/>
  </r>
  <r>
    <x v="2"/>
    <x v="2"/>
    <x v="9"/>
    <x v="3"/>
    <n v="0.8085"/>
    <n v="0"/>
    <s v="UP"/>
    <n v="0.65"/>
    <n v="9.256756756756758E-2"/>
    <n v="1.2057533289701232E-2"/>
    <n v="0.17981498891186962"/>
    <n v="0.44773817113391856"/>
    <n v="0"/>
    <x v="480"/>
    <n v="0"/>
    <x v="0"/>
    <x v="0"/>
    <n v="0"/>
    <n v="0"/>
    <n v="0"/>
    <x v="0"/>
    <x v="1"/>
    <s v="Normal"/>
    <s v="Allowed"/>
    <m/>
    <m/>
    <m/>
  </r>
  <r>
    <x v="2"/>
    <x v="2"/>
    <x v="9"/>
    <x v="4"/>
    <n v="0.78790000000000004"/>
    <n v="0"/>
    <s v="UP"/>
    <n v="0.65"/>
    <n v="-2.547928262213971E-2"/>
    <n v="1.2057533289701232E-2"/>
    <n v="0.17981498891186962"/>
    <n v="-0.20875243014495515"/>
    <n v="0"/>
    <x v="481"/>
    <n v="0"/>
    <x v="0"/>
    <x v="0"/>
    <n v="0"/>
    <n v="0"/>
    <n v="0"/>
    <x v="1"/>
    <x v="1"/>
    <s v="Normal"/>
    <s v="Allowed"/>
    <m/>
    <m/>
    <m/>
  </r>
  <r>
    <x v="2"/>
    <x v="2"/>
    <x v="9"/>
    <x v="5"/>
    <n v="0.79820000000000002"/>
    <n v="0"/>
    <s v="UP"/>
    <n v="0.65"/>
    <n v="1.307272496509706E-2"/>
    <n v="1.2057533289701232E-2"/>
    <n v="0.17981498891186962"/>
    <n v="5.6457566832395206E-3"/>
    <n v="0"/>
    <x v="482"/>
    <n v="0"/>
    <x v="0"/>
    <x v="0"/>
    <n v="0"/>
    <n v="0"/>
    <n v="0"/>
    <x v="0"/>
    <x v="1"/>
    <s v="Normal"/>
    <s v="Allowed"/>
    <m/>
    <m/>
    <m/>
  </r>
  <r>
    <x v="2"/>
    <x v="2"/>
    <x v="9"/>
    <x v="6"/>
    <n v="0.75529999999999997"/>
    <n v="0"/>
    <s v="UP"/>
    <n v="0.65"/>
    <n v="-5.3745928338762267E-2"/>
    <n v="1.2057533289701232E-2"/>
    <n v="0.17981498891186962"/>
    <n v="-0.36595092559672482"/>
    <n v="0"/>
    <x v="483"/>
    <n v="0"/>
    <x v="0"/>
    <x v="0"/>
    <n v="0"/>
    <n v="0"/>
    <n v="0"/>
    <x v="1"/>
    <x v="1"/>
    <s v="Normal"/>
    <s v="Allowed"/>
    <m/>
    <m/>
    <m/>
  </r>
  <r>
    <x v="2"/>
    <x v="2"/>
    <x v="9"/>
    <x v="7"/>
    <n v="0.6522"/>
    <n v="0"/>
    <s v="UP"/>
    <n v="0.65"/>
    <n v="-0.13650205216470271"/>
    <n v="1.2057533289701232E-2"/>
    <n v="0.17981498891186962"/>
    <n v="-0.8261802108567019"/>
    <n v="1"/>
    <x v="484"/>
    <n v="0"/>
    <x v="0"/>
    <x v="0"/>
    <n v="0"/>
    <n v="0"/>
    <n v="0"/>
    <x v="1"/>
    <x v="1"/>
    <s v="Abnormal"/>
    <s v="Allowed"/>
    <m/>
    <m/>
    <m/>
  </r>
  <r>
    <x v="2"/>
    <x v="2"/>
    <x v="9"/>
    <x v="8"/>
    <n v="0.75"/>
    <n v="0"/>
    <s v="UP"/>
    <n v="0.65"/>
    <n v="0.14995400183992641"/>
    <n v="1.2057533289701232E-2"/>
    <n v="0.17981498891186962"/>
    <n v="0.76687972112163894"/>
    <n v="-1"/>
    <x v="485"/>
    <n v="0"/>
    <x v="0"/>
    <x v="0"/>
    <n v="0"/>
    <n v="0"/>
    <n v="0"/>
    <x v="0"/>
    <x v="1"/>
    <s v="Normal"/>
    <s v="Allowed"/>
    <m/>
    <m/>
    <m/>
  </r>
  <r>
    <x v="2"/>
    <x v="2"/>
    <x v="9"/>
    <x v="9"/>
    <n v="0.72409999999999997"/>
    <n v="0"/>
    <s v="UP"/>
    <n v="0.65"/>
    <n v="-3.4533333333333381E-2"/>
    <n v="1.2057533289701232E-2"/>
    <n v="0.17981498891186962"/>
    <n v="-0.2591044656787182"/>
    <n v="0"/>
    <x v="486"/>
    <n v="0"/>
    <x v="0"/>
    <x v="0"/>
    <n v="0"/>
    <n v="0"/>
    <n v="0"/>
    <x v="1"/>
    <x v="1"/>
    <s v="Normal"/>
    <s v="Allowed"/>
    <m/>
    <m/>
    <m/>
  </r>
  <r>
    <x v="2"/>
    <x v="2"/>
    <x v="9"/>
    <x v="10"/>
    <n v="0.81820000000000004"/>
    <n v="0"/>
    <s v="UP"/>
    <n v="0.65"/>
    <n v="0.12995442618422881"/>
    <n v="1.2057533289701232E-2"/>
    <n v="0.17981498891186962"/>
    <n v="0.65565664802454737"/>
    <n v="-1"/>
    <x v="487"/>
    <n v="0"/>
    <x v="0"/>
    <x v="0"/>
    <n v="0"/>
    <n v="0"/>
    <n v="0"/>
    <x v="0"/>
    <x v="1"/>
    <s v="Normal"/>
    <s v="Allowed"/>
    <m/>
    <m/>
    <m/>
  </r>
  <r>
    <x v="2"/>
    <x v="2"/>
    <x v="9"/>
    <x v="11"/>
    <n v="0.76300000000000001"/>
    <n v="0"/>
    <s v="UP"/>
    <n v="0.65"/>
    <n v="-6.7465167440723575E-2"/>
    <n v="1.2057533289701232E-2"/>
    <n v="0.17981498891186962"/>
    <n v="-0.44224734106788077"/>
    <n v="0"/>
    <x v="488"/>
    <n v="0"/>
    <x v="0"/>
    <x v="0"/>
    <n v="0"/>
    <n v="0"/>
    <n v="0"/>
    <x v="1"/>
    <x v="1"/>
    <s v="Normal"/>
    <s v="Allowed"/>
    <m/>
    <m/>
    <m/>
  </r>
  <r>
    <x v="2"/>
    <x v="2"/>
    <x v="9"/>
    <x v="12"/>
    <n v="0.76500000000000001"/>
    <n v="0"/>
    <s v="UP"/>
    <n v="0.65"/>
    <n v="2.6212319790301459E-3"/>
    <n v="1.2057533289701232E-2"/>
    <n v="0.17981498891186962"/>
    <n v="-5.2477834955660892E-2"/>
    <n v="0"/>
    <x v="489"/>
    <n v="0"/>
    <x v="0"/>
    <x v="0"/>
    <n v="0"/>
    <n v="0"/>
    <n v="0"/>
    <x v="1"/>
    <x v="1"/>
    <s v="Normal"/>
    <s v="Allowed"/>
    <m/>
    <m/>
    <m/>
  </r>
  <r>
    <x v="2"/>
    <x v="2"/>
    <x v="9"/>
    <x v="13"/>
    <n v="0.74299999999999999"/>
    <n v="0"/>
    <s v="UP"/>
    <n v="0.65"/>
    <n v="-2.8758169934640549E-2"/>
    <n v="1.2057533289701232E-2"/>
    <n v="0.17981498891186962"/>
    <n v="-0.22698721319804019"/>
    <n v="0"/>
    <x v="490"/>
    <n v="0"/>
    <x v="0"/>
    <x v="0"/>
    <n v="0"/>
    <n v="0"/>
    <n v="0"/>
    <x v="1"/>
    <x v="1"/>
    <s v="Normal"/>
    <s v="Allowed"/>
    <m/>
    <m/>
    <m/>
  </r>
  <r>
    <x v="2"/>
    <x v="2"/>
    <x v="9"/>
    <x v="14"/>
    <n v="0.81"/>
    <n v="0"/>
    <s v="UP"/>
    <n v="0.65"/>
    <n v="9.0174966352624578E-2"/>
    <n v="1.2057533289701232E-2"/>
    <n v="0.17981498891186962"/>
    <n v="0.43443226582857353"/>
    <n v="0"/>
    <x v="491"/>
    <n v="0"/>
    <x v="0"/>
    <x v="0"/>
    <n v="0"/>
    <n v="0"/>
    <n v="0"/>
    <x v="0"/>
    <x v="1"/>
    <s v="Normal"/>
    <s v="Allowed"/>
    <m/>
    <m/>
    <m/>
  </r>
  <r>
    <x v="2"/>
    <x v="2"/>
    <x v="9"/>
    <x v="15"/>
    <n v="0.79"/>
    <n v="0"/>
    <s v="UP"/>
    <n v="0.65"/>
    <n v="-2.4691358024691381E-2"/>
    <n v="1.2057533289701232E-2"/>
    <n v="0.17981498891186962"/>
    <n v="-0.20437056741918144"/>
    <n v="0"/>
    <x v="492"/>
    <n v="0"/>
    <x v="0"/>
    <x v="0"/>
    <n v="0"/>
    <n v="0"/>
    <n v="0"/>
    <x v="1"/>
    <x v="1"/>
    <s v="Normal"/>
    <s v="Allowed"/>
    <m/>
    <m/>
    <m/>
  </r>
  <r>
    <x v="2"/>
    <x v="2"/>
    <x v="10"/>
    <x v="0"/>
    <n v="0.875"/>
    <n v="0"/>
    <s v="UP"/>
    <n v="0.85"/>
    <n v="4.2162934730824192E-2"/>
    <n v="1.8209321594669165E-2"/>
    <n v="0.22834931756330515"/>
    <n v="0.10489899156153326"/>
    <n v="0"/>
    <x v="156"/>
    <n v="0"/>
    <x v="0"/>
    <x v="0"/>
    <n v="0"/>
    <n v="0"/>
    <n v="0"/>
    <x v="0"/>
    <x v="1"/>
    <s v="Normal"/>
    <s v="Allowed"/>
    <m/>
    <m/>
    <m/>
  </r>
  <r>
    <x v="2"/>
    <x v="2"/>
    <x v="10"/>
    <x v="1"/>
    <n v="0.82350000000000001"/>
    <n v="0"/>
    <s v="UP"/>
    <n v="0.85"/>
    <n v="-5.8857142857142837E-2"/>
    <n v="1.8209321594669165E-2"/>
    <n v="0.22834931756330515"/>
    <n v="-0.33749373667581428"/>
    <n v="0"/>
    <x v="493"/>
    <n v="0"/>
    <x v="0"/>
    <x v="0"/>
    <n v="0"/>
    <n v="0"/>
    <n v="0"/>
    <x v="1"/>
    <x v="0"/>
    <s v="Normal"/>
    <s v="Allowed"/>
    <m/>
    <m/>
    <m/>
  </r>
  <r>
    <x v="2"/>
    <x v="2"/>
    <x v="10"/>
    <x v="2"/>
    <n v="0.84"/>
    <n v="0"/>
    <s v="UP"/>
    <n v="0.85"/>
    <n v="2.00364298724954E-2"/>
    <n v="1.8209321594669165E-2"/>
    <n v="0.22834931756330515"/>
    <n v="8.0013739358765854E-3"/>
    <n v="0"/>
    <x v="494"/>
    <n v="0"/>
    <x v="0"/>
    <x v="0"/>
    <n v="0"/>
    <n v="0"/>
    <n v="0"/>
    <x v="0"/>
    <x v="1"/>
    <s v="Normal"/>
    <s v="Allowed"/>
    <m/>
    <m/>
    <m/>
  </r>
  <r>
    <x v="2"/>
    <x v="2"/>
    <x v="10"/>
    <x v="3"/>
    <n v="0.88370000000000004"/>
    <n v="0"/>
    <s v="UP"/>
    <n v="0.85"/>
    <n v="5.2023809523809611E-2"/>
    <n v="1.8209321594669165E-2"/>
    <n v="0.22834931756330515"/>
    <n v="0.14808228152364011"/>
    <n v="0"/>
    <x v="495"/>
    <n v="0"/>
    <x v="0"/>
    <x v="0"/>
    <n v="0"/>
    <n v="0"/>
    <n v="0"/>
    <x v="0"/>
    <x v="1"/>
    <s v="Normal"/>
    <s v="Allowed"/>
    <m/>
    <m/>
    <m/>
  </r>
  <r>
    <x v="2"/>
    <x v="2"/>
    <x v="10"/>
    <x v="4"/>
    <n v="0.86739999999999995"/>
    <n v="0"/>
    <s v="UP"/>
    <n v="0.85"/>
    <n v="-1.844517370148251E-2"/>
    <n v="1.8209321594669165E-2"/>
    <n v="0.22834931756330515"/>
    <n v="-0.16051939934521578"/>
    <n v="0"/>
    <x v="496"/>
    <n v="0"/>
    <x v="0"/>
    <x v="0"/>
    <n v="0"/>
    <n v="0"/>
    <n v="0"/>
    <x v="1"/>
    <x v="1"/>
    <s v="Normal"/>
    <s v="Allowed"/>
    <m/>
    <m/>
    <m/>
  </r>
  <r>
    <x v="2"/>
    <x v="2"/>
    <x v="10"/>
    <x v="5"/>
    <n v="0.85589999999999999"/>
    <n v="0"/>
    <s v="UP"/>
    <n v="0.85"/>
    <n v="-1.325801245100295E-2"/>
    <n v="1.8209321594669165E-2"/>
    <n v="0.22834931756330515"/>
    <n v="-0.13780349502007358"/>
    <n v="0"/>
    <x v="158"/>
    <n v="0"/>
    <x v="0"/>
    <x v="0"/>
    <n v="0"/>
    <n v="0"/>
    <n v="0"/>
    <x v="1"/>
    <x v="1"/>
    <s v="Normal"/>
    <s v="Allowed"/>
    <m/>
    <m/>
    <m/>
  </r>
  <r>
    <x v="2"/>
    <x v="2"/>
    <x v="10"/>
    <x v="6"/>
    <n v="0.86019999999999996"/>
    <n v="0"/>
    <s v="UP"/>
    <n v="0.85"/>
    <n v="5.023951396191109E-3"/>
    <n v="1.8209321594669165E-2"/>
    <n v="0.22834931756330515"/>
    <n v="-5.7742104680574238E-2"/>
    <n v="0"/>
    <x v="497"/>
    <n v="0"/>
    <x v="0"/>
    <x v="0"/>
    <n v="0"/>
    <n v="0"/>
    <n v="0"/>
    <x v="1"/>
    <x v="1"/>
    <s v="Normal"/>
    <s v="Allowed"/>
    <m/>
    <m/>
    <m/>
  </r>
  <r>
    <x v="2"/>
    <x v="2"/>
    <x v="10"/>
    <x v="7"/>
    <n v="0.87270000000000003"/>
    <n v="0"/>
    <s v="UP"/>
    <n v="0.85"/>
    <n v="1.4531504301325351E-2"/>
    <n v="1.8209321594669165E-2"/>
    <n v="0.22834931756330515"/>
    <n v="-1.6106101531589711E-2"/>
    <n v="0"/>
    <x v="498"/>
    <n v="0"/>
    <x v="0"/>
    <x v="0"/>
    <n v="0"/>
    <n v="0"/>
    <n v="0"/>
    <x v="0"/>
    <x v="1"/>
    <s v="Normal"/>
    <s v="Allowed"/>
    <m/>
    <m/>
    <m/>
  </r>
  <r>
    <x v="2"/>
    <x v="2"/>
    <x v="10"/>
    <x v="8"/>
    <n v="0.83830000000000005"/>
    <n v="0"/>
    <s v="UP"/>
    <n v="0.85"/>
    <n v="-3.9417898475994022E-2"/>
    <n v="1.8209321594669165E-2"/>
    <n v="0.22834931756330515"/>
    <n v="-0.25236431921758307"/>
    <n v="0"/>
    <x v="499"/>
    <n v="0"/>
    <x v="0"/>
    <x v="0"/>
    <n v="0"/>
    <n v="0"/>
    <n v="0"/>
    <x v="1"/>
    <x v="1"/>
    <s v="Normal"/>
    <s v="Allowed"/>
    <m/>
    <m/>
    <m/>
  </r>
  <r>
    <x v="2"/>
    <x v="2"/>
    <x v="10"/>
    <x v="9"/>
    <n v="0.8"/>
    <n v="0"/>
    <s v="UP"/>
    <n v="0.85"/>
    <n v="-4.5687701300250502E-2"/>
    <n v="1.8209321594669165E-2"/>
    <n v="0.22834931756330515"/>
    <n v="-0.27982138758617281"/>
    <n v="0"/>
    <x v="500"/>
    <n v="0"/>
    <x v="0"/>
    <x v="0"/>
    <n v="0"/>
    <n v="0"/>
    <n v="0"/>
    <x v="1"/>
    <x v="0"/>
    <s v="Normal"/>
    <s v="Allowed"/>
    <m/>
    <m/>
    <m/>
  </r>
  <r>
    <x v="2"/>
    <x v="2"/>
    <x v="10"/>
    <x v="10"/>
    <n v="0.92"/>
    <n v="0"/>
    <s v="UP"/>
    <n v="0.85"/>
    <n v="0.15"/>
    <n v="1.8209321594669165E-2"/>
    <n v="0.22834931756330515"/>
    <n v="0.57714505045014886"/>
    <n v="-1"/>
    <x v="501"/>
    <n v="0"/>
    <x v="0"/>
    <x v="0"/>
    <n v="0"/>
    <n v="0"/>
    <n v="0"/>
    <x v="0"/>
    <x v="1"/>
    <s v="Normal"/>
    <s v="Allowed"/>
    <m/>
    <m/>
    <m/>
  </r>
  <r>
    <x v="2"/>
    <x v="2"/>
    <x v="10"/>
    <x v="11"/>
    <n v="0.85299999999999998"/>
    <n v="0"/>
    <s v="UP"/>
    <n v="0.85"/>
    <n v="-7.2826086956521804E-2"/>
    <n v="1.8209321594669165E-2"/>
    <n v="0.22834931756330515"/>
    <n v="-0.39866731165488711"/>
    <n v="0"/>
    <x v="161"/>
    <n v="0"/>
    <x v="0"/>
    <x v="0"/>
    <n v="0"/>
    <n v="0"/>
    <n v="0"/>
    <x v="1"/>
    <x v="1"/>
    <s v="Normal"/>
    <s v="Allowed"/>
    <m/>
    <m/>
    <m/>
  </r>
  <r>
    <x v="2"/>
    <x v="2"/>
    <x v="10"/>
    <x v="12"/>
    <n v="0.90300000000000002"/>
    <n v="0"/>
    <s v="UP"/>
    <n v="0.85"/>
    <n v="5.8616647127784353E-2"/>
    <n v="1.8209321594669165E-2"/>
    <n v="0.22834931756330515"/>
    <n v="0.1769540017211266"/>
    <n v="0"/>
    <x v="502"/>
    <n v="0"/>
    <x v="0"/>
    <x v="0"/>
    <n v="0"/>
    <n v="0"/>
    <n v="0"/>
    <x v="0"/>
    <x v="1"/>
    <s v="Normal"/>
    <s v="Allowed"/>
    <m/>
    <m/>
    <m/>
  </r>
  <r>
    <x v="2"/>
    <x v="2"/>
    <x v="10"/>
    <x v="13"/>
    <n v="0.80900000000000005"/>
    <n v="0"/>
    <s v="UP"/>
    <n v="0.85"/>
    <n v="-0.1040974529346622"/>
    <n v="1.8209321594669165E-2"/>
    <n v="0.22834931756330515"/>
    <n v="-0.53561261244156921"/>
    <n v="1"/>
    <x v="503"/>
    <n v="0"/>
    <x v="0"/>
    <x v="1"/>
    <n v="0"/>
    <n v="1"/>
    <n v="1"/>
    <x v="1"/>
    <x v="0"/>
    <s v="Abnormal"/>
    <s v="Allowed"/>
    <m/>
    <m/>
    <m/>
  </r>
  <r>
    <x v="2"/>
    <x v="2"/>
    <x v="10"/>
    <x v="14"/>
    <n v="0.85699999999999998"/>
    <n v="0"/>
    <s v="UP"/>
    <n v="0.85"/>
    <n v="5.9332509270704492E-2"/>
    <n v="1.8209321594669165E-2"/>
    <n v="0.22834931756330515"/>
    <n v="0.18008894493251451"/>
    <n v="0"/>
    <x v="504"/>
    <n v="0"/>
    <x v="0"/>
    <x v="0"/>
    <n v="0"/>
    <n v="0"/>
    <n v="0"/>
    <x v="0"/>
    <x v="1"/>
    <s v="Normal"/>
    <s v="Allowed"/>
    <m/>
    <m/>
    <m/>
  </r>
  <r>
    <x v="2"/>
    <x v="2"/>
    <x v="10"/>
    <x v="15"/>
    <n v="0.83"/>
    <n v="0"/>
    <s v="UP"/>
    <n v="0.85"/>
    <n v="-3.1505250875145878E-2"/>
    <n v="1.8209321594669165E-2"/>
    <n v="0.22834931756330515"/>
    <n v="-0.21771281386042551"/>
    <n v="0"/>
    <x v="505"/>
    <n v="0"/>
    <x v="0"/>
    <x v="0"/>
    <n v="0"/>
    <n v="0"/>
    <n v="0"/>
    <x v="1"/>
    <x v="0"/>
    <s v="Normal"/>
    <s v="Allowed"/>
    <m/>
    <m/>
    <m/>
  </r>
  <r>
    <x v="2"/>
    <x v="2"/>
    <x v="11"/>
    <x v="0"/>
    <n v="0.64290000000000003"/>
    <n v="1"/>
    <s v="UP"/>
    <n v="0.7"/>
    <n v="-9.1050473632122167E-2"/>
    <n v="1.9288787744816144E-2"/>
    <n v="0.27585788879837708"/>
    <n v="-0.3999858835198461"/>
    <n v="0"/>
    <x v="506"/>
    <n v="0"/>
    <x v="0"/>
    <x v="0"/>
    <n v="0"/>
    <n v="0"/>
    <n v="0"/>
    <x v="1"/>
    <x v="0"/>
    <s v="Normal"/>
    <s v="Allowed"/>
    <m/>
    <m/>
    <m/>
  </r>
  <r>
    <x v="2"/>
    <x v="2"/>
    <x v="11"/>
    <x v="1"/>
    <n v="0.70240000000000002"/>
    <n v="1"/>
    <s v="UP"/>
    <n v="0.7"/>
    <n v="9.2549385596515779E-2"/>
    <n v="1.9288787744816144E-2"/>
    <n v="0.27585788879837708"/>
    <n v="0.26557369147867793"/>
    <n v="0"/>
    <x v="507"/>
    <n v="1"/>
    <x v="1"/>
    <x v="0"/>
    <n v="1"/>
    <n v="0"/>
    <n v="0"/>
    <x v="0"/>
    <x v="1"/>
    <s v="Normal"/>
    <s v="Allowed"/>
    <m/>
    <m/>
    <m/>
  </r>
  <r>
    <x v="2"/>
    <x v="2"/>
    <x v="11"/>
    <x v="2"/>
    <n v="0.72919999999999996"/>
    <n v="0"/>
    <s v="UP"/>
    <n v="0.7"/>
    <n v="3.8154897494305152E-2"/>
    <n v="1.9288787744816144E-2"/>
    <n v="0.27585788879837708"/>
    <n v="6.8390684173176342E-2"/>
    <n v="0"/>
    <x v="508"/>
    <n v="2"/>
    <x v="1"/>
    <x v="0"/>
    <n v="1"/>
    <n v="0"/>
    <n v="0"/>
    <x v="0"/>
    <x v="1"/>
    <s v="Normal"/>
    <s v="Allowed"/>
    <m/>
    <m/>
    <m/>
  </r>
  <r>
    <x v="2"/>
    <x v="2"/>
    <x v="11"/>
    <x v="3"/>
    <n v="0.77529999999999999"/>
    <n v="0"/>
    <s v="UP"/>
    <n v="0.7"/>
    <n v="6.3219967087218915E-2"/>
    <n v="1.9288787744816144E-2"/>
    <n v="0.27585788879837708"/>
    <n v="0.1592529382928462"/>
    <n v="0"/>
    <x v="509"/>
    <n v="2"/>
    <x v="0"/>
    <x v="0"/>
    <n v="0"/>
    <n v="0"/>
    <n v="0"/>
    <x v="0"/>
    <x v="1"/>
    <s v="Normal"/>
    <s v="Allowed"/>
    <m/>
    <m/>
    <m/>
  </r>
  <r>
    <x v="2"/>
    <x v="2"/>
    <x v="11"/>
    <x v="4"/>
    <n v="0.86599999999999999"/>
    <n v="0"/>
    <s v="UP"/>
    <n v="0.7"/>
    <n v="0.1169869727847285"/>
    <n v="1.9288787744816144E-2"/>
    <n v="0.27585788879837708"/>
    <n v="0.35416128741317016"/>
    <n v="0"/>
    <x v="510"/>
    <n v="2"/>
    <x v="0"/>
    <x v="0"/>
    <n v="0"/>
    <n v="0"/>
    <n v="0"/>
    <x v="0"/>
    <x v="1"/>
    <s v="Normal"/>
    <s v="Allowed"/>
    <m/>
    <m/>
    <m/>
  </r>
  <r>
    <x v="2"/>
    <x v="2"/>
    <x v="11"/>
    <x v="5"/>
    <n v="0.67889999999999995"/>
    <n v="0"/>
    <s v="UP"/>
    <n v="0.7"/>
    <n v="-0.21605080831408779"/>
    <n v="1.9288787744816144E-2"/>
    <n v="0.27585788879837708"/>
    <n v="-0.85311896311550572"/>
    <n v="1"/>
    <x v="511"/>
    <n v="2"/>
    <x v="0"/>
    <x v="1"/>
    <n v="0"/>
    <n v="1"/>
    <n v="1"/>
    <x v="1"/>
    <x v="0"/>
    <s v="Abnormal"/>
    <s v="Allowed"/>
    <m/>
    <m/>
    <m/>
  </r>
  <r>
    <x v="2"/>
    <x v="2"/>
    <x v="11"/>
    <x v="6"/>
    <n v="0.72040000000000004"/>
    <n v="0"/>
    <s v="UP"/>
    <n v="0.7"/>
    <n v="6.1128295772573421E-2"/>
    <n v="1.9288787744816144E-2"/>
    <n v="0.27585788879837708"/>
    <n v="0.15167051487999145"/>
    <n v="0"/>
    <x v="512"/>
    <n v="2"/>
    <x v="0"/>
    <x v="0"/>
    <n v="0"/>
    <n v="0"/>
    <n v="0"/>
    <x v="0"/>
    <x v="1"/>
    <s v="Normal"/>
    <s v="Allowed"/>
    <m/>
    <m/>
    <m/>
  </r>
  <r>
    <x v="2"/>
    <x v="2"/>
    <x v="11"/>
    <x v="7"/>
    <n v="0.85450000000000004"/>
    <n v="0"/>
    <s v="UP"/>
    <n v="0.7"/>
    <n v="0.18614658523042751"/>
    <n v="1.9288787744816144E-2"/>
    <n v="0.27585788879837708"/>
    <n v="0.60486868152451767"/>
    <n v="-1"/>
    <x v="513"/>
    <n v="2"/>
    <x v="0"/>
    <x v="0"/>
    <n v="0"/>
    <n v="0"/>
    <n v="0"/>
    <x v="0"/>
    <x v="1"/>
    <s v="Normal"/>
    <s v="Allowed"/>
    <m/>
    <m/>
    <m/>
  </r>
  <r>
    <x v="2"/>
    <x v="2"/>
    <x v="11"/>
    <x v="8"/>
    <n v="0.75790000000000002"/>
    <n v="0"/>
    <s v="UP"/>
    <n v="0.7"/>
    <n v="-0.11304856641310709"/>
    <n v="1.9288787744816144E-2"/>
    <n v="0.27585788879837708"/>
    <n v="-0.47973017822465774"/>
    <n v="0"/>
    <x v="514"/>
    <n v="2"/>
    <x v="0"/>
    <x v="0"/>
    <n v="0"/>
    <n v="0"/>
    <n v="0"/>
    <x v="1"/>
    <x v="1"/>
    <s v="Normal"/>
    <s v="Allowed"/>
    <m/>
    <m/>
    <m/>
  </r>
  <r>
    <x v="2"/>
    <x v="2"/>
    <x v="11"/>
    <x v="9"/>
    <n v="0.85089999999999999"/>
    <n v="0"/>
    <s v="UP"/>
    <n v="0.7"/>
    <n v="0.1227074811980472"/>
    <n v="1.9288787744816144E-2"/>
    <n v="0.27585788879837708"/>
    <n v="0.37489844464378969"/>
    <n v="0"/>
    <x v="515"/>
    <n v="2"/>
    <x v="0"/>
    <x v="0"/>
    <n v="0"/>
    <n v="0"/>
    <n v="0"/>
    <x v="0"/>
    <x v="1"/>
    <s v="Normal"/>
    <s v="Allowed"/>
    <m/>
    <m/>
    <m/>
  </r>
  <r>
    <x v="2"/>
    <x v="2"/>
    <x v="11"/>
    <x v="10"/>
    <n v="0.83160000000000001"/>
    <n v="0"/>
    <s v="UP"/>
    <n v="0.7"/>
    <n v="-2.268186625925489E-2"/>
    <n v="1.9288787744816144E-2"/>
    <n v="0.27585788879837708"/>
    <n v="-0.15214592624808759"/>
    <n v="0"/>
    <x v="516"/>
    <n v="2"/>
    <x v="0"/>
    <x v="0"/>
    <n v="0"/>
    <n v="0"/>
    <n v="0"/>
    <x v="1"/>
    <x v="1"/>
    <s v="Normal"/>
    <s v="Allowed"/>
    <m/>
    <m/>
    <m/>
  </r>
  <r>
    <x v="2"/>
    <x v="2"/>
    <x v="11"/>
    <x v="11"/>
    <n v="0.86599999999999999"/>
    <n v="0"/>
    <s v="UP"/>
    <n v="0.7"/>
    <n v="4.1366041366041349E-2"/>
    <n v="1.9288787744816144E-2"/>
    <n v="0.27585788879837708"/>
    <n v="8.0031257099054148E-2"/>
    <n v="0"/>
    <x v="510"/>
    <n v="2"/>
    <x v="0"/>
    <x v="0"/>
    <n v="0"/>
    <n v="0"/>
    <n v="0"/>
    <x v="0"/>
    <x v="1"/>
    <s v="Normal"/>
    <s v="Allowed"/>
    <m/>
    <m/>
    <m/>
  </r>
  <r>
    <x v="2"/>
    <x v="2"/>
    <x v="11"/>
    <x v="12"/>
    <n v="0.78300000000000003"/>
    <n v="0"/>
    <s v="UP"/>
    <n v="0.7"/>
    <n v="-9.5842956120092332E-2"/>
    <n v="1.9288787744816144E-2"/>
    <n v="0.27585788879837708"/>
    <n v="-0.4173588957938324"/>
    <n v="0"/>
    <x v="517"/>
    <n v="2"/>
    <x v="0"/>
    <x v="0"/>
    <n v="0"/>
    <n v="0"/>
    <n v="0"/>
    <x v="1"/>
    <x v="1"/>
    <s v="Normal"/>
    <s v="Allowed"/>
    <m/>
    <m/>
    <m/>
  </r>
  <r>
    <x v="2"/>
    <x v="2"/>
    <x v="11"/>
    <x v="13"/>
    <n v="0.77400000000000002"/>
    <n v="0"/>
    <s v="UP"/>
    <n v="0.7"/>
    <n v="-1.149425287356323E-2"/>
    <n v="1.9288787744816144E-2"/>
    <n v="0.27585788879837708"/>
    <n v="-0.11159021317994106"/>
    <n v="0"/>
    <x v="518"/>
    <n v="2"/>
    <x v="0"/>
    <x v="0"/>
    <n v="0"/>
    <n v="0"/>
    <n v="0"/>
    <x v="1"/>
    <x v="1"/>
    <s v="Normal"/>
    <s v="Allowed"/>
    <m/>
    <m/>
    <m/>
  </r>
  <r>
    <x v="2"/>
    <x v="2"/>
    <x v="11"/>
    <x v="14"/>
    <n v="0.82"/>
    <n v="0"/>
    <s v="UP"/>
    <n v="0.7"/>
    <n v="5.9431524547803517E-2"/>
    <n v="1.9288787744816144E-2"/>
    <n v="0.27585788879837708"/>
    <n v="0.14551962598512982"/>
    <n v="0"/>
    <x v="519"/>
    <n v="2"/>
    <x v="0"/>
    <x v="0"/>
    <n v="0"/>
    <n v="0"/>
    <n v="0"/>
    <x v="0"/>
    <x v="1"/>
    <s v="Normal"/>
    <s v="Allowed"/>
    <m/>
    <m/>
    <m/>
  </r>
  <r>
    <x v="2"/>
    <x v="2"/>
    <x v="11"/>
    <x v="15"/>
    <n v="0.81599999999999995"/>
    <n v="0"/>
    <s v="UP"/>
    <n v="0.7"/>
    <n v="-4.8780487804878092E-3"/>
    <n v="1.9288787744816144E-2"/>
    <n v="0.27585788879837708"/>
    <n v="-8.7606109908886287E-2"/>
    <n v="0"/>
    <x v="520"/>
    <n v="2"/>
    <x v="0"/>
    <x v="0"/>
    <n v="0"/>
    <n v="0"/>
    <n v="0"/>
    <x v="1"/>
    <x v="1"/>
    <s v="Normal"/>
    <s v="Allowed"/>
    <m/>
    <m/>
    <m/>
  </r>
  <r>
    <x v="0"/>
    <x v="3"/>
    <x v="0"/>
    <x v="0"/>
    <n v="0.24603481624758219"/>
    <n v="1"/>
    <s v="DOWN"/>
    <n v="0.27"/>
    <n v="-1.449933045677701E-2"/>
    <n v="1.2504550363164104E-2"/>
    <n v="5.3924507863027986E-2"/>
    <n v="-0.50077194748875331"/>
    <n v="1"/>
    <x v="521"/>
    <n v="0"/>
    <x v="0"/>
    <x v="0"/>
    <n v="0"/>
    <n v="0"/>
    <n v="0"/>
    <x v="1"/>
    <x v="1"/>
    <s v="Abnormal"/>
    <s v="Allowed"/>
    <m/>
    <m/>
    <m/>
  </r>
  <r>
    <x v="0"/>
    <x v="3"/>
    <x v="0"/>
    <x v="1"/>
    <n v="0.2068173113749521"/>
    <n v="0"/>
    <s v="DOWN"/>
    <n v="0.27"/>
    <n v="0.15939819197444779"/>
    <n v="1.2504550363164104E-2"/>
    <n v="5.3924507863027986E-2"/>
    <n v="2.7240608664320827"/>
    <n v="-1"/>
    <x v="522"/>
    <n v="1"/>
    <x v="1"/>
    <x v="0"/>
    <n v="1"/>
    <n v="0"/>
    <n v="0"/>
    <x v="0"/>
    <x v="1"/>
    <s v="Normal"/>
    <s v="Allowed"/>
    <m/>
    <m/>
    <m/>
  </r>
  <r>
    <x v="0"/>
    <x v="3"/>
    <x v="0"/>
    <x v="2"/>
    <n v="0.2016806722689076"/>
    <n v="0"/>
    <s v="DOWN"/>
    <n v="0.27"/>
    <n v="2.483660130718927E-2"/>
    <n v="1.2504550363164104E-2"/>
    <n v="5.3924507863027986E-2"/>
    <n v="0.2286910244104487"/>
    <n v="0"/>
    <x v="523"/>
    <n v="1"/>
    <x v="0"/>
    <x v="0"/>
    <n v="0"/>
    <n v="0"/>
    <n v="0"/>
    <x v="0"/>
    <x v="1"/>
    <s v="Normal"/>
    <s v="Allowed"/>
    <m/>
    <m/>
    <m/>
  </r>
  <r>
    <x v="0"/>
    <x v="3"/>
    <x v="0"/>
    <x v="3"/>
    <n v="0.18714340099999999"/>
    <n v="0"/>
    <s v="DOWN"/>
    <n v="0.27"/>
    <n v="7.2080636708333548E-2"/>
    <n v="1.2504550363164104E-2"/>
    <n v="5.3924507863027986E-2"/>
    <n v="1.1048053789660326"/>
    <n v="-1"/>
    <x v="524"/>
    <n v="1"/>
    <x v="0"/>
    <x v="0"/>
    <n v="0"/>
    <n v="0"/>
    <n v="0"/>
    <x v="0"/>
    <x v="1"/>
    <s v="Normal"/>
    <s v="Allowed"/>
    <m/>
    <m/>
    <m/>
  </r>
  <r>
    <x v="0"/>
    <x v="3"/>
    <x v="0"/>
    <x v="4"/>
    <n v="0.20540129326740211"/>
    <n v="0"/>
    <s v="DOWN"/>
    <n v="0.27"/>
    <n v="-9.7560972868084878E-2"/>
    <n v="1.2504550363164104E-2"/>
    <n v="5.3924507863027986E-2"/>
    <n v="-2.0411038986359058"/>
    <n v="1"/>
    <x v="525"/>
    <n v="1"/>
    <x v="0"/>
    <x v="0"/>
    <n v="0"/>
    <n v="0"/>
    <n v="0"/>
    <x v="1"/>
    <x v="1"/>
    <s v="Abnormal"/>
    <s v="Allowed"/>
    <m/>
    <m/>
    <m/>
  </r>
  <r>
    <x v="0"/>
    <x v="3"/>
    <x v="0"/>
    <x v="5"/>
    <n v="0.2151850438763831"/>
    <n v="0"/>
    <s v="DOWN"/>
    <n v="0.27"/>
    <n v="-4.7632371020390737E-2"/>
    <n v="1.2504550363164104E-2"/>
    <n v="5.3924507863027986E-2"/>
    <n v="-1.1152057527591503"/>
    <n v="1"/>
    <x v="526"/>
    <n v="1"/>
    <x v="0"/>
    <x v="0"/>
    <n v="0"/>
    <n v="0"/>
    <n v="0"/>
    <x v="1"/>
    <x v="1"/>
    <s v="Abnormal"/>
    <s v="Allowed"/>
    <m/>
    <m/>
    <m/>
  </r>
  <r>
    <x v="0"/>
    <x v="3"/>
    <x v="0"/>
    <x v="6"/>
    <n v="0.21717366191759721"/>
    <n v="0"/>
    <s v="DOWN"/>
    <n v="0.27"/>
    <n v="-9.2414324220251587E-3"/>
    <n v="1.2504550363164104E-2"/>
    <n v="5.3924507863027986E-2"/>
    <n v="-0.40326715341428021"/>
    <n v="0"/>
    <x v="527"/>
    <n v="1"/>
    <x v="0"/>
    <x v="0"/>
    <n v="0"/>
    <n v="0"/>
    <n v="0"/>
    <x v="1"/>
    <x v="1"/>
    <s v="Normal"/>
    <s v="Allowed"/>
    <m/>
    <m/>
    <m/>
  </r>
  <r>
    <x v="0"/>
    <x v="3"/>
    <x v="0"/>
    <x v="7"/>
    <n v="0.20560747663551401"/>
    <n v="0"/>
    <s v="DOWN"/>
    <n v="0.27"/>
    <n v="5.3257771591436277E-2"/>
    <n v="1.2504550363164104E-2"/>
    <n v="5.3924507863027986E-2"/>
    <n v="0.75574581657357354"/>
    <n v="-1"/>
    <x v="528"/>
    <n v="1"/>
    <x v="0"/>
    <x v="0"/>
    <n v="0"/>
    <n v="0"/>
    <n v="0"/>
    <x v="0"/>
    <x v="1"/>
    <s v="Normal"/>
    <s v="Allowed"/>
    <m/>
    <m/>
    <m/>
  </r>
  <r>
    <x v="0"/>
    <x v="3"/>
    <x v="0"/>
    <x v="8"/>
    <n v="0.20371101460718519"/>
    <n v="0"/>
    <s v="DOWN"/>
    <n v="0.27"/>
    <n v="9.2237016832356581E-3"/>
    <n v="1.2504550363164104E-2"/>
    <n v="5.3924507863027986E-2"/>
    <n v="-6.0841513626086877E-2"/>
    <n v="0"/>
    <x v="529"/>
    <n v="1"/>
    <x v="0"/>
    <x v="0"/>
    <n v="0"/>
    <n v="0"/>
    <n v="0"/>
    <x v="1"/>
    <x v="1"/>
    <s v="Normal"/>
    <s v="Allowed"/>
    <m/>
    <m/>
    <m/>
  </r>
  <r>
    <x v="0"/>
    <x v="3"/>
    <x v="0"/>
    <x v="9"/>
    <n v="0.17767106842737099"/>
    <n v="0"/>
    <s v="DOWN"/>
    <n v="0.27"/>
    <n v="0.1278278753361809"/>
    <n v="1.2504550363164104E-2"/>
    <n v="5.3924507863027986E-2"/>
    <n v="2.138606907010558"/>
    <n v="-1"/>
    <x v="530"/>
    <n v="1"/>
    <x v="0"/>
    <x v="0"/>
    <n v="0"/>
    <n v="0"/>
    <n v="0"/>
    <x v="0"/>
    <x v="1"/>
    <s v="Normal"/>
    <s v="Allowed"/>
    <m/>
    <m/>
    <m/>
  </r>
  <r>
    <x v="0"/>
    <x v="3"/>
    <x v="0"/>
    <x v="10"/>
    <n v="0.19448946515397081"/>
    <n v="0"/>
    <s v="DOWN"/>
    <n v="0.27"/>
    <n v="-9.4660300494984112E-2"/>
    <n v="1.2504550363164104E-2"/>
    <n v="5.3924507863027986E-2"/>
    <n v="-1.98731254312704"/>
    <n v="1"/>
    <x v="531"/>
    <n v="1"/>
    <x v="0"/>
    <x v="0"/>
    <n v="0"/>
    <n v="0"/>
    <n v="0"/>
    <x v="1"/>
    <x v="1"/>
    <s v="Abnormal"/>
    <s v="Allowed"/>
    <m/>
    <m/>
    <m/>
  </r>
  <r>
    <x v="0"/>
    <x v="3"/>
    <x v="0"/>
    <x v="11"/>
    <n v="0.21199671322925229"/>
    <n v="0"/>
    <s v="DOWN"/>
    <n v="0.27"/>
    <n v="-9.0016433853738947E-2"/>
    <n v="1.2504550363164104E-2"/>
    <n v="5.3924507863027986E-2"/>
    <n v="-1.9011946196581617"/>
    <n v="1"/>
    <x v="532"/>
    <n v="1"/>
    <x v="0"/>
    <x v="0"/>
    <n v="0"/>
    <n v="0"/>
    <n v="0"/>
    <x v="1"/>
    <x v="1"/>
    <s v="Abnormal"/>
    <s v="Allowed"/>
    <m/>
    <m/>
    <m/>
  </r>
  <r>
    <x v="0"/>
    <x v="3"/>
    <x v="0"/>
    <x v="12"/>
    <n v="0.21981681931723571"/>
    <n v="0"/>
    <s v="DOWN"/>
    <n v="0.27"/>
    <n v="-3.6887864763859773E-2"/>
    <n v="1.2504550363164104E-2"/>
    <n v="5.3924507863027986E-2"/>
    <n v="-0.91595486142375304"/>
    <n v="1"/>
    <x v="533"/>
    <n v="1"/>
    <x v="0"/>
    <x v="0"/>
    <n v="0"/>
    <n v="0"/>
    <n v="0"/>
    <x v="1"/>
    <x v="1"/>
    <s v="Abnormal"/>
    <s v="Allowed"/>
    <m/>
    <m/>
    <m/>
  </r>
  <r>
    <x v="0"/>
    <x v="3"/>
    <x v="0"/>
    <x v="13"/>
    <n v="0.23057216054654139"/>
    <n v="0"/>
    <s v="DOWN"/>
    <n v="0.27"/>
    <n v="-4.8928654607561087E-2"/>
    <n v="1.2504550363164104E-2"/>
    <n v="5.3924507863027986E-2"/>
    <n v="-1.1392446107578733"/>
    <n v="1"/>
    <x v="534"/>
    <n v="1"/>
    <x v="0"/>
    <x v="0"/>
    <n v="0"/>
    <n v="0"/>
    <n v="0"/>
    <x v="1"/>
    <x v="1"/>
    <s v="Abnormal"/>
    <s v="Allowed"/>
    <m/>
    <m/>
    <m/>
  </r>
  <r>
    <x v="0"/>
    <x v="3"/>
    <x v="0"/>
    <x v="14"/>
    <n v="0.25688073394495409"/>
    <n v="0"/>
    <s v="DOWN"/>
    <n v="0.27"/>
    <n v="-0.11410125722052319"/>
    <n v="1.2504550363164104E-2"/>
    <n v="5.3924507863027986E-2"/>
    <n v="-2.3478342705560689"/>
    <n v="1"/>
    <x v="535"/>
    <n v="1"/>
    <x v="0"/>
    <x v="0"/>
    <n v="0"/>
    <n v="0"/>
    <n v="0"/>
    <x v="1"/>
    <x v="1"/>
    <s v="Abnormal"/>
    <s v="Allowed"/>
    <m/>
    <m/>
    <m/>
  </r>
  <r>
    <x v="0"/>
    <x v="3"/>
    <x v="0"/>
    <x v="15"/>
    <n v="0.26845637583892618"/>
    <n v="0"/>
    <s v="DOWN"/>
    <n v="0.27"/>
    <n v="-4.5062320230105639E-2"/>
    <n v="1.2504550363164104E-2"/>
    <n v="5.3924507863027986E-2"/>
    <n v="-1.0675455905781026"/>
    <n v="1"/>
    <x v="536"/>
    <n v="1"/>
    <x v="0"/>
    <x v="0"/>
    <n v="0"/>
    <n v="0"/>
    <n v="0"/>
    <x v="1"/>
    <x v="1"/>
    <s v="Abnormal"/>
    <s v="Allowed"/>
    <m/>
    <m/>
    <m/>
  </r>
  <r>
    <x v="0"/>
    <x v="3"/>
    <x v="1"/>
    <x v="0"/>
    <n v="4.3349168646080759E-2"/>
    <n v="0"/>
    <s v="DOWN"/>
    <n v="5.3999999999999999E-2"/>
    <n v="4.5177522190273871E-2"/>
    <n v="1.0109678696460058E-2"/>
    <n v="0.17556416633612926"/>
    <n v="0.1997437417079411"/>
    <n v="0"/>
    <x v="537"/>
    <n v="0"/>
    <x v="0"/>
    <x v="0"/>
    <n v="0"/>
    <n v="0"/>
    <n v="0"/>
    <x v="0"/>
    <x v="1"/>
    <s v="Normal"/>
    <s v="Allowed"/>
    <m/>
    <m/>
    <m/>
  </r>
  <r>
    <x v="0"/>
    <x v="3"/>
    <x v="1"/>
    <x v="1"/>
    <n v="4.730928444707274E-2"/>
    <n v="0"/>
    <s v="DOWN"/>
    <n v="5.3999999999999999E-2"/>
    <n v="-9.1353904231102692E-2"/>
    <n v="1.0109678696460058E-2"/>
    <n v="0.17556416633612926"/>
    <n v="-0.57792877125793418"/>
    <n v="1"/>
    <x v="538"/>
    <n v="0"/>
    <x v="0"/>
    <x v="0"/>
    <n v="0"/>
    <n v="0"/>
    <n v="0"/>
    <x v="1"/>
    <x v="1"/>
    <s v="Abnormal"/>
    <s v="Allowed"/>
    <m/>
    <m/>
    <m/>
  </r>
  <r>
    <x v="0"/>
    <x v="3"/>
    <x v="1"/>
    <x v="2"/>
    <n v="4.1287188828172443E-2"/>
    <n v="0"/>
    <s v="DOWN"/>
    <n v="5.3999999999999999E-2"/>
    <n v="0.12729204614450501"/>
    <n v="1.0109678696460058E-2"/>
    <n v="0.17556416633612926"/>
    <n v="0.66746175995670742"/>
    <n v="-1"/>
    <x v="539"/>
    <n v="0"/>
    <x v="0"/>
    <x v="0"/>
    <n v="0"/>
    <n v="0"/>
    <n v="0"/>
    <x v="0"/>
    <x v="1"/>
    <s v="Normal"/>
    <s v="Allowed"/>
    <m/>
    <m/>
    <m/>
  </r>
  <r>
    <x v="0"/>
    <x v="3"/>
    <x v="1"/>
    <x v="3"/>
    <n v="4.1717049999999999E-2"/>
    <n v="0"/>
    <s v="DOWN"/>
    <n v="5.3999999999999999E-2"/>
    <n v="-1.041149044117624E-2"/>
    <n v="1.0109678696460058E-2"/>
    <n v="0.17556416633612926"/>
    <n v="-0.11688700243275815"/>
    <n v="0"/>
    <x v="540"/>
    <n v="0"/>
    <x v="0"/>
    <x v="0"/>
    <n v="0"/>
    <n v="0"/>
    <n v="0"/>
    <x v="1"/>
    <x v="1"/>
    <s v="Normal"/>
    <s v="Allowed"/>
    <m/>
    <m/>
    <m/>
  </r>
  <r>
    <x v="0"/>
    <x v="3"/>
    <x v="1"/>
    <x v="4"/>
    <n v="5.4523666866387058E-2"/>
    <n v="0"/>
    <s v="DOWN"/>
    <n v="5.3999999999999999E-2"/>
    <n v="-0.30698759539294029"/>
    <n v="1.0109678696460058E-2"/>
    <n v="0.17556416633612926"/>
    <n v="-1.8061617054718135"/>
    <n v="1"/>
    <x v="541"/>
    <n v="0"/>
    <x v="0"/>
    <x v="0"/>
    <n v="0"/>
    <n v="0"/>
    <n v="0"/>
    <x v="1"/>
    <x v="1"/>
    <s v="Abnormal"/>
    <s v="Allowed"/>
    <m/>
    <m/>
    <m/>
  </r>
  <r>
    <x v="0"/>
    <x v="3"/>
    <x v="1"/>
    <x v="5"/>
    <n v="5.1869722557297951E-2"/>
    <n v="0"/>
    <s v="DOWN"/>
    <n v="5.3999999999999999E-2"/>
    <n v="4.8675088482084829E-2"/>
    <n v="1.0109678696460058E-2"/>
    <n v="0.17556416633612926"/>
    <n v="0.21966561053118738"/>
    <n v="0"/>
    <x v="542"/>
    <n v="0"/>
    <x v="0"/>
    <x v="0"/>
    <n v="0"/>
    <n v="0"/>
    <n v="0"/>
    <x v="0"/>
    <x v="1"/>
    <s v="Normal"/>
    <s v="Allowed"/>
    <m/>
    <m/>
    <m/>
  </r>
  <r>
    <x v="0"/>
    <x v="3"/>
    <x v="1"/>
    <x v="6"/>
    <n v="5.3635280095351609E-2"/>
    <n v="0"/>
    <s v="DOWN"/>
    <n v="5.3999999999999999E-2"/>
    <n v="-3.4038306954569358E-2"/>
    <n v="1.0109678696460058E-2"/>
    <n v="0.17556416633612926"/>
    <n v="-0.25146353366042346"/>
    <n v="0"/>
    <x v="543"/>
    <n v="0"/>
    <x v="0"/>
    <x v="0"/>
    <n v="0"/>
    <n v="0"/>
    <n v="0"/>
    <x v="1"/>
    <x v="1"/>
    <s v="Normal"/>
    <s v="Allowed"/>
    <m/>
    <m/>
    <m/>
  </r>
  <r>
    <x v="0"/>
    <x v="3"/>
    <x v="1"/>
    <x v="7"/>
    <n v="4.1169451073985681E-2"/>
    <n v="0"/>
    <s v="DOWN"/>
    <n v="5.3999999999999999E-2"/>
    <n v="0.23241845664280031"/>
    <n v="1.0109678696460058E-2"/>
    <n v="0.17556416633612926"/>
    <n v="1.266253715582913"/>
    <n v="-1"/>
    <x v="544"/>
    <n v="0"/>
    <x v="0"/>
    <x v="0"/>
    <n v="0"/>
    <n v="0"/>
    <n v="0"/>
    <x v="0"/>
    <x v="1"/>
    <s v="Normal"/>
    <s v="Allowed"/>
    <m/>
    <m/>
    <m/>
  </r>
  <r>
    <x v="0"/>
    <x v="3"/>
    <x v="1"/>
    <x v="8"/>
    <n v="3.2628398791540787E-2"/>
    <n v="0"/>
    <s v="DOWN"/>
    <n v="5.3999999999999999E-2"/>
    <n v="0.20746092210692241"/>
    <n v="1.0109678696460058E-2"/>
    <n v="0.17556416633612926"/>
    <n v="1.1240975167598852"/>
    <n v="-1"/>
    <x v="545"/>
    <n v="0"/>
    <x v="0"/>
    <x v="0"/>
    <n v="0"/>
    <n v="0"/>
    <n v="0"/>
    <x v="0"/>
    <x v="1"/>
    <s v="Normal"/>
    <s v="Allowed"/>
    <m/>
    <m/>
    <m/>
  </r>
  <r>
    <x v="0"/>
    <x v="3"/>
    <x v="1"/>
    <x v="9"/>
    <n v="3.7769784172661872E-2"/>
    <n v="0"/>
    <s v="DOWN"/>
    <n v="5.3999999999999999E-2"/>
    <n v="-0.1575739408473221"/>
    <n v="1.0109678696460058E-2"/>
    <n v="0.17556416633612926"/>
    <n v="-0.95511301106138446"/>
    <n v="1"/>
    <x v="546"/>
    <n v="0"/>
    <x v="0"/>
    <x v="0"/>
    <n v="0"/>
    <n v="0"/>
    <n v="0"/>
    <x v="1"/>
    <x v="1"/>
    <s v="Abnormal"/>
    <s v="Allowed"/>
    <m/>
    <m/>
    <m/>
  </r>
  <r>
    <x v="0"/>
    <x v="3"/>
    <x v="1"/>
    <x v="10"/>
    <n v="2.717391304347826E-2"/>
    <n v="0"/>
    <s v="DOWN"/>
    <n v="5.3999999999999999E-2"/>
    <n v="0.28053830227743282"/>
    <n v="1.0109678696460058E-2"/>
    <n v="0.17556416633612926"/>
    <n v="1.5403406584873316"/>
    <n v="-1"/>
    <x v="547"/>
    <n v="0"/>
    <x v="0"/>
    <x v="0"/>
    <n v="0"/>
    <n v="0"/>
    <n v="0"/>
    <x v="0"/>
    <x v="1"/>
    <s v="Normal"/>
    <s v="Allowed"/>
    <m/>
    <m/>
    <m/>
  </r>
  <r>
    <x v="0"/>
    <x v="3"/>
    <x v="1"/>
    <x v="11"/>
    <n v="2.641056422569028E-2"/>
    <n v="0"/>
    <s v="DOWN"/>
    <n v="5.3999999999999999E-2"/>
    <n v="2.809123649459767E-2"/>
    <n v="1.0109678696460058E-2"/>
    <n v="0.17556416633612926"/>
    <n v="0.10242157140262169"/>
    <n v="0"/>
    <x v="548"/>
    <n v="0"/>
    <x v="0"/>
    <x v="0"/>
    <n v="0"/>
    <n v="0"/>
    <n v="0"/>
    <x v="0"/>
    <x v="1"/>
    <s v="Normal"/>
    <s v="Allowed"/>
    <m/>
    <m/>
    <m/>
  </r>
  <r>
    <x v="0"/>
    <x v="3"/>
    <x v="1"/>
    <x v="12"/>
    <n v="2.4361259655377301E-2"/>
    <n v="0"/>
    <s v="DOWN"/>
    <n v="5.3999999999999999E-2"/>
    <n v="7.7594123048668695E-2"/>
    <n v="1.0109678696460058E-2"/>
    <n v="0.17556416633612926"/>
    <n v="0.38438620910263199"/>
    <n v="0"/>
    <x v="549"/>
    <n v="0"/>
    <x v="0"/>
    <x v="0"/>
    <n v="0"/>
    <n v="0"/>
    <n v="0"/>
    <x v="0"/>
    <x v="1"/>
    <s v="Normal"/>
    <s v="Allowed"/>
    <m/>
    <m/>
    <m/>
  </r>
  <r>
    <x v="0"/>
    <x v="3"/>
    <x v="1"/>
    <x v="13"/>
    <n v="2.32419547079857E-2"/>
    <n v="0"/>
    <s v="DOWN"/>
    <n v="5.3999999999999999E-2"/>
    <n v="4.5946103084391808E-2"/>
    <n v="1.0109678696460058E-2"/>
    <n v="0.17556416633612926"/>
    <n v="0.2041215194182652"/>
    <n v="0"/>
    <x v="550"/>
    <n v="0"/>
    <x v="0"/>
    <x v="0"/>
    <n v="0"/>
    <n v="0"/>
    <n v="0"/>
    <x v="0"/>
    <x v="1"/>
    <s v="Normal"/>
    <s v="Allowed"/>
    <m/>
    <m/>
    <m/>
  </r>
  <r>
    <x v="0"/>
    <x v="3"/>
    <x v="1"/>
    <x v="14"/>
    <n v="2.167369054786273E-2"/>
    <n v="0"/>
    <s v="DOWN"/>
    <n v="5.3999999999999999E-2"/>
    <n v="6.7475570786829323E-2"/>
    <n v="1.0109678696460058E-2"/>
    <n v="0.17556416633612926"/>
    <n v="0.32675171299215156"/>
    <n v="0"/>
    <x v="551"/>
    <n v="0"/>
    <x v="0"/>
    <x v="0"/>
    <n v="0"/>
    <n v="0"/>
    <n v="0"/>
    <x v="0"/>
    <x v="1"/>
    <s v="Normal"/>
    <s v="Allowed"/>
    <m/>
    <m/>
    <m/>
  </r>
  <r>
    <x v="0"/>
    <x v="3"/>
    <x v="1"/>
    <x v="15"/>
    <n v="2.990430622009569E-2"/>
    <n v="0"/>
    <s v="DOWN"/>
    <n v="5.3999999999999999E-2"/>
    <n v="-0.37975146198830417"/>
    <n v="1.0109678696460058E-2"/>
    <n v="0.17556416633612926"/>
    <n v="-2.2206190979675728"/>
    <n v="1"/>
    <x v="552"/>
    <n v="0"/>
    <x v="0"/>
    <x v="0"/>
    <n v="0"/>
    <n v="0"/>
    <n v="0"/>
    <x v="1"/>
    <x v="1"/>
    <s v="Abnormal"/>
    <s v="Allowed"/>
    <m/>
    <m/>
    <m/>
  </r>
  <r>
    <x v="0"/>
    <x v="3"/>
    <x v="2"/>
    <x v="0"/>
    <n v="5.4151624548736461E-2"/>
    <n v="0"/>
    <s v="DOWN"/>
    <n v="6.6000000000000003E-2"/>
    <n v="-8.7043722422783812E-2"/>
    <n v="-2.475667272801203E-2"/>
    <n v="0.42334565134305008"/>
    <n v="-0.1471304819056678"/>
    <n v="0"/>
    <x v="553"/>
    <n v="0"/>
    <x v="0"/>
    <x v="0"/>
    <n v="0"/>
    <n v="0"/>
    <n v="0"/>
    <x v="1"/>
    <x v="1"/>
    <s v="Normal"/>
    <s v="Allowed"/>
    <m/>
    <m/>
    <m/>
  </r>
  <r>
    <x v="0"/>
    <x v="3"/>
    <x v="2"/>
    <x v="1"/>
    <n v="4.8300536672629693E-2"/>
    <n v="0"/>
    <s v="DOWN"/>
    <n v="6.6000000000000003E-2"/>
    <n v="0.1080500894454383"/>
    <n v="-2.475667272801203E-2"/>
    <n v="0.42334565134305008"/>
    <n v="0.31370763288137077"/>
    <n v="0"/>
    <x v="554"/>
    <n v="0"/>
    <x v="0"/>
    <x v="0"/>
    <n v="0"/>
    <n v="0"/>
    <n v="0"/>
    <x v="0"/>
    <x v="1"/>
    <s v="Normal"/>
    <s v="Allowed"/>
    <m/>
    <m/>
    <m/>
  </r>
  <r>
    <x v="0"/>
    <x v="3"/>
    <x v="2"/>
    <x v="2"/>
    <n v="4.0219378427787937E-2"/>
    <n v="0"/>
    <s v="DOWN"/>
    <n v="6.6000000000000003E-2"/>
    <n v="0.16730990588394601"/>
    <n v="-2.475667272801203E-2"/>
    <n v="0.42334565134305008"/>
    <n v="0.45368737815691068"/>
    <n v="0"/>
    <x v="555"/>
    <n v="0"/>
    <x v="0"/>
    <x v="0"/>
    <n v="0"/>
    <n v="0"/>
    <n v="0"/>
    <x v="0"/>
    <x v="1"/>
    <s v="Normal"/>
    <s v="Allowed"/>
    <m/>
    <m/>
    <m/>
  </r>
  <r>
    <x v="0"/>
    <x v="3"/>
    <x v="2"/>
    <x v="3"/>
    <n v="4.2435423999999999E-2"/>
    <n v="0"/>
    <s v="DOWN"/>
    <n v="6.6000000000000003E-2"/>
    <n v="-5.5098951272727181E-2"/>
    <n v="-2.475667272801203E-2"/>
    <n v="0.42334565134305008"/>
    <n v="-7.1672588223016531E-2"/>
    <n v="0"/>
    <x v="556"/>
    <n v="0"/>
    <x v="0"/>
    <x v="0"/>
    <n v="0"/>
    <n v="0"/>
    <n v="0"/>
    <x v="1"/>
    <x v="1"/>
    <s v="Normal"/>
    <s v="Allowed"/>
    <m/>
    <m/>
    <m/>
  </r>
  <r>
    <x v="0"/>
    <x v="3"/>
    <x v="2"/>
    <x v="4"/>
    <n v="6.363636363636363E-2"/>
    <n v="0"/>
    <s v="DOWN"/>
    <n v="6.6000000000000003E-2"/>
    <n v="-0.49960475560144352"/>
    <n v="-2.475667272801203E-2"/>
    <n v="0.42334565134305008"/>
    <n v="-1.1216557471819817"/>
    <n v="1"/>
    <x v="557"/>
    <n v="0"/>
    <x v="0"/>
    <x v="0"/>
    <n v="0"/>
    <n v="0"/>
    <n v="0"/>
    <x v="1"/>
    <x v="1"/>
    <s v="Abnormal"/>
    <s v="Allowed"/>
    <m/>
    <m/>
    <m/>
  </r>
  <r>
    <x v="0"/>
    <x v="3"/>
    <x v="2"/>
    <x v="5"/>
    <n v="6.545454545454546E-2"/>
    <n v="0"/>
    <s v="DOWN"/>
    <n v="6.6000000000000003E-2"/>
    <n v="-2.8571428571428761E-2"/>
    <n v="-2.475667272801203E-2"/>
    <n v="0.42334565134305008"/>
    <n v="-9.0109720775790308E-3"/>
    <n v="0"/>
    <x v="558"/>
    <n v="0"/>
    <x v="0"/>
    <x v="0"/>
    <n v="0"/>
    <n v="0"/>
    <n v="0"/>
    <x v="1"/>
    <x v="1"/>
    <s v="Normal"/>
    <s v="Allowed"/>
    <m/>
    <m/>
    <m/>
  </r>
  <r>
    <x v="0"/>
    <x v="3"/>
    <x v="2"/>
    <x v="6"/>
    <n v="5.6363636363636373E-2"/>
    <n v="0"/>
    <s v="DOWN"/>
    <n v="6.6000000000000003E-2"/>
    <n v="0.13888888888888881"/>
    <n v="-2.475667272801203E-2"/>
    <n v="0.42334565134305008"/>
    <n v="0.38655307098995983"/>
    <n v="0"/>
    <x v="559"/>
    <n v="0"/>
    <x v="0"/>
    <x v="0"/>
    <n v="0"/>
    <n v="0"/>
    <n v="0"/>
    <x v="0"/>
    <x v="1"/>
    <s v="Normal"/>
    <s v="Allowed"/>
    <m/>
    <m/>
    <m/>
  </r>
  <r>
    <x v="0"/>
    <x v="3"/>
    <x v="2"/>
    <x v="7"/>
    <n v="4.5454545454545463E-2"/>
    <n v="0"/>
    <s v="DOWN"/>
    <n v="6.6000000000000003E-2"/>
    <n v="0.19354838709677419"/>
    <n v="-2.475667272801203E-2"/>
    <n v="0.42334565134305008"/>
    <n v="0.51566623899931563"/>
    <n v="-1"/>
    <x v="560"/>
    <n v="0"/>
    <x v="0"/>
    <x v="0"/>
    <n v="0"/>
    <n v="0"/>
    <n v="0"/>
    <x v="0"/>
    <x v="1"/>
    <s v="Normal"/>
    <s v="Allowed"/>
    <m/>
    <m/>
    <m/>
  </r>
  <r>
    <x v="0"/>
    <x v="3"/>
    <x v="2"/>
    <x v="8"/>
    <n v="1.6885553470919329E-2"/>
    <n v="0"/>
    <s v="DOWN"/>
    <n v="6.6000000000000003E-2"/>
    <n v="0.62851782363977482"/>
    <n v="-2.475667272801203E-2"/>
    <n v="0.42334565134305008"/>
    <n v="1.5431232003808122"/>
    <n v="-1"/>
    <x v="561"/>
    <n v="0"/>
    <x v="0"/>
    <x v="0"/>
    <n v="0"/>
    <n v="0"/>
    <n v="0"/>
    <x v="0"/>
    <x v="1"/>
    <s v="Normal"/>
    <s v="Allowed"/>
    <m/>
    <m/>
    <m/>
  </r>
  <r>
    <x v="0"/>
    <x v="3"/>
    <x v="2"/>
    <x v="9"/>
    <n v="3.8321167883211681E-2"/>
    <n v="0"/>
    <s v="DOWN"/>
    <n v="6.6000000000000003E-2"/>
    <n v="-1.269464720194647"/>
    <n v="-2.475667272801203E-2"/>
    <n v="0.42334565134305008"/>
    <n v="-2.940169678176308"/>
    <n v="1"/>
    <x v="562"/>
    <n v="0"/>
    <x v="0"/>
    <x v="0"/>
    <n v="0"/>
    <n v="0"/>
    <n v="0"/>
    <x v="1"/>
    <x v="1"/>
    <s v="Abnormal"/>
    <s v="Allowed"/>
    <m/>
    <m/>
    <m/>
  </r>
  <r>
    <x v="0"/>
    <x v="3"/>
    <x v="2"/>
    <x v="10"/>
    <n v="2.367941712204007E-2"/>
    <n v="0"/>
    <s v="DOWN"/>
    <n v="6.6000000000000003E-2"/>
    <n v="0.38207997224390677"/>
    <n v="-2.475667272801203E-2"/>
    <n v="0.42334565134305008"/>
    <n v="0.96100348186226314"/>
    <n v="-1"/>
    <x v="563"/>
    <n v="0"/>
    <x v="0"/>
    <x v="0"/>
    <n v="0"/>
    <n v="0"/>
    <n v="0"/>
    <x v="0"/>
    <x v="1"/>
    <s v="Normal"/>
    <s v="Allowed"/>
    <m/>
    <m/>
    <m/>
  </r>
  <r>
    <x v="0"/>
    <x v="3"/>
    <x v="2"/>
    <x v="11"/>
    <n v="1.6129032258064519E-2"/>
    <n v="0"/>
    <s v="DOWN"/>
    <n v="6.6000000000000003E-2"/>
    <n v="0.31885856079404451"/>
    <n v="-2.475667272801203E-2"/>
    <n v="0.42334565134305008"/>
    <n v="0.81166591042555547"/>
    <n v="-1"/>
    <x v="564"/>
    <n v="0"/>
    <x v="0"/>
    <x v="0"/>
    <n v="0"/>
    <n v="0"/>
    <n v="0"/>
    <x v="0"/>
    <x v="1"/>
    <s v="Normal"/>
    <s v="Allowed"/>
    <m/>
    <m/>
    <m/>
  </r>
  <r>
    <x v="0"/>
    <x v="3"/>
    <x v="2"/>
    <x v="12"/>
    <n v="1.5929203539823009E-2"/>
    <n v="0"/>
    <s v="DOWN"/>
    <n v="6.6000000000000003E-2"/>
    <n v="1.2389380530973651E-2"/>
    <n v="-2.475667272801203E-2"/>
    <n v="0.42334565134305008"/>
    <n v="8.7744029355542097E-2"/>
    <n v="0"/>
    <x v="565"/>
    <n v="0"/>
    <x v="0"/>
    <x v="0"/>
    <n v="0"/>
    <n v="0"/>
    <n v="0"/>
    <x v="0"/>
    <x v="1"/>
    <s v="Normal"/>
    <s v="Allowed"/>
    <m/>
    <m/>
    <m/>
  </r>
  <r>
    <x v="0"/>
    <x v="3"/>
    <x v="2"/>
    <x v="13"/>
    <n v="1.063829787234043E-2"/>
    <n v="0"/>
    <s v="DOWN"/>
    <n v="6.6000000000000003E-2"/>
    <n v="0.33215130023640632"/>
    <n v="-2.475667272801203E-2"/>
    <n v="0.42334565134305008"/>
    <n v="0.84306516869168158"/>
    <n v="-1"/>
    <x v="566"/>
    <n v="0"/>
    <x v="0"/>
    <x v="0"/>
    <n v="0"/>
    <n v="0"/>
    <n v="0"/>
    <x v="0"/>
    <x v="1"/>
    <s v="Normal"/>
    <s v="Allowed"/>
    <m/>
    <m/>
    <m/>
  </r>
  <r>
    <x v="0"/>
    <x v="3"/>
    <x v="2"/>
    <x v="14"/>
    <n v="1.423487544483986E-2"/>
    <n v="0"/>
    <s v="DOWN"/>
    <n v="6.6000000000000003E-2"/>
    <n v="-0.33807829181494631"/>
    <n v="-2.475667272801203E-2"/>
    <n v="0.42334565134305008"/>
    <n v="-0.74010827344731622"/>
    <n v="1"/>
    <x v="567"/>
    <n v="0"/>
    <x v="0"/>
    <x v="0"/>
    <n v="0"/>
    <n v="0"/>
    <n v="0"/>
    <x v="1"/>
    <x v="1"/>
    <s v="Abnormal"/>
    <s v="Allowed"/>
    <m/>
    <m/>
    <m/>
  </r>
  <r>
    <x v="0"/>
    <x v="3"/>
    <x v="2"/>
    <x v="15"/>
    <n v="2.669039145907473E-2"/>
    <n v="0"/>
    <s v="DOWN"/>
    <n v="6.6000000000000003E-2"/>
    <n v="-0.87499999999999944"/>
    <n v="-2.475667272801203E-2"/>
    <n v="0.42334565134305008"/>
    <n v="-2.0083903651180037"/>
    <n v="1"/>
    <x v="568"/>
    <n v="0"/>
    <x v="0"/>
    <x v="0"/>
    <n v="0"/>
    <n v="0"/>
    <n v="0"/>
    <x v="1"/>
    <x v="1"/>
    <s v="Abnormal"/>
    <s v="Allowed"/>
    <m/>
    <m/>
    <m/>
  </r>
  <r>
    <x v="0"/>
    <x v="3"/>
    <x v="3"/>
    <x v="0"/>
    <n v="9.3333333333333338E-2"/>
    <n v="0"/>
    <s v="UP"/>
    <n v="0.16400000000000001"/>
    <n v="2.6666666666666689E-2"/>
    <n v="2.6472445732452773E-2"/>
    <n v="0.13493378643970674"/>
    <n v="1.4393795604387143E-3"/>
    <n v="0"/>
    <x v="569"/>
    <n v="0"/>
    <x v="0"/>
    <x v="0"/>
    <n v="0"/>
    <n v="0"/>
    <n v="0"/>
    <x v="0"/>
    <x v="0"/>
    <s v="Normal"/>
    <s v="Allowed"/>
    <m/>
    <m/>
    <m/>
  </r>
  <r>
    <x v="0"/>
    <x v="3"/>
    <x v="3"/>
    <x v="1"/>
    <n v="8.1081081081081086E-2"/>
    <n v="1"/>
    <s v="UP"/>
    <n v="0.16400000000000001"/>
    <n v="-0.13127413127413129"/>
    <n v="2.6472445732452773E-2"/>
    <n v="0.13493378643970674"/>
    <n v="-1.1690665560405873"/>
    <n v="1"/>
    <x v="570"/>
    <n v="0"/>
    <x v="0"/>
    <x v="1"/>
    <n v="0"/>
    <n v="1"/>
    <n v="1"/>
    <x v="1"/>
    <x v="0"/>
    <s v="Abnormal"/>
    <s v="Allowed"/>
    <m/>
    <m/>
    <m/>
  </r>
  <r>
    <x v="0"/>
    <x v="3"/>
    <x v="3"/>
    <x v="2"/>
    <n v="9.3333333333333338E-2"/>
    <n v="0"/>
    <s v="UP"/>
    <n v="0.16400000000000001"/>
    <n v="0.15111111111111111"/>
    <n v="2.6472445732452773E-2"/>
    <n v="0.13493378643970674"/>
    <n v="0.92370242225694421"/>
    <n v="-1"/>
    <x v="569"/>
    <n v="1"/>
    <x v="1"/>
    <x v="0"/>
    <n v="1"/>
    <n v="0"/>
    <n v="0"/>
    <x v="0"/>
    <x v="0"/>
    <s v="Normal"/>
    <s v="Allowed"/>
    <m/>
    <m/>
    <m/>
  </r>
  <r>
    <x v="0"/>
    <x v="3"/>
    <x v="3"/>
    <x v="3"/>
    <n v="9.5890410999999995E-2"/>
    <n v="0"/>
    <s v="UP"/>
    <n v="0.16400000000000001"/>
    <n v="2.7397260714285609E-2"/>
    <n v="2.6472445732452773E-2"/>
    <n v="0.13493378643970674"/>
    <n v="6.8538429568644563E-3"/>
    <n v="0"/>
    <x v="571"/>
    <n v="1"/>
    <x v="0"/>
    <x v="0"/>
    <n v="0"/>
    <n v="0"/>
    <n v="0"/>
    <x v="0"/>
    <x v="0"/>
    <s v="Normal"/>
    <s v="Allowed"/>
    <m/>
    <m/>
    <m/>
  </r>
  <r>
    <x v="0"/>
    <x v="3"/>
    <x v="3"/>
    <x v="4"/>
    <n v="0.1081081081081081"/>
    <n v="1"/>
    <s v="UP"/>
    <n v="0.16400000000000001"/>
    <n v="0.1274131269299503"/>
    <n v="2.6472445732452773E-2"/>
    <n v="0.13493378643970674"/>
    <n v="0.74807565889067706"/>
    <n v="-1"/>
    <x v="572"/>
    <n v="1"/>
    <x v="0"/>
    <x v="0"/>
    <n v="0"/>
    <n v="0"/>
    <n v="0"/>
    <x v="0"/>
    <x v="0"/>
    <s v="Normal"/>
    <s v="Allowed"/>
    <m/>
    <m/>
    <m/>
  </r>
  <r>
    <x v="0"/>
    <x v="3"/>
    <x v="3"/>
    <x v="5"/>
    <n v="0.10526315789473679"/>
    <n v="0"/>
    <s v="UP"/>
    <n v="0.16400000000000001"/>
    <n v="-2.631578947368458E-2"/>
    <n v="2.6472445732452773E-2"/>
    <n v="0.13493378643970674"/>
    <n v="-0.39121584444474944"/>
    <n v="0"/>
    <x v="573"/>
    <n v="2"/>
    <x v="2"/>
    <x v="0"/>
    <n v="1"/>
    <n v="0"/>
    <n v="0"/>
    <x v="1"/>
    <x v="0"/>
    <s v="Normal"/>
    <s v="Allowed"/>
    <m/>
    <m/>
    <m/>
  </r>
  <r>
    <x v="0"/>
    <x v="3"/>
    <x v="3"/>
    <x v="6"/>
    <n v="0.11688311688311689"/>
    <n v="0"/>
    <s v="UP"/>
    <n v="0.16400000000000001"/>
    <n v="0.110389610389611"/>
    <n v="2.6472445732452773E-2"/>
    <n v="0.13493378643970674"/>
    <n v="0.62191365758979433"/>
    <n v="-1"/>
    <x v="574"/>
    <n v="2"/>
    <x v="0"/>
    <x v="0"/>
    <n v="0"/>
    <n v="0"/>
    <n v="0"/>
    <x v="0"/>
    <x v="0"/>
    <s v="Normal"/>
    <s v="Allowed"/>
    <m/>
    <m/>
    <m/>
  </r>
  <r>
    <x v="0"/>
    <x v="3"/>
    <x v="3"/>
    <x v="7"/>
    <n v="0.1139240506329114"/>
    <n v="0"/>
    <s v="UP"/>
    <n v="0.16400000000000001"/>
    <n v="-2.5316455696202531E-2"/>
    <n v="2.6472445732452773E-2"/>
    <n v="0.13493378643970674"/>
    <n v="-0.38380973954063347"/>
    <n v="0"/>
    <x v="575"/>
    <n v="2"/>
    <x v="0"/>
    <x v="0"/>
    <n v="0"/>
    <n v="0"/>
    <n v="0"/>
    <x v="1"/>
    <x v="0"/>
    <s v="Normal"/>
    <s v="Allowed"/>
    <m/>
    <m/>
    <m/>
  </r>
  <r>
    <x v="0"/>
    <x v="3"/>
    <x v="3"/>
    <x v="8"/>
    <n v="0.1139240506329114"/>
    <n v="0"/>
    <s v="UP"/>
    <n v="0.16400000000000001"/>
    <n v="0"/>
    <n v="2.6472445732452773E-2"/>
    <n v="0.13493378643970674"/>
    <n v="-0.19618841530309838"/>
    <n v="0"/>
    <x v="575"/>
    <n v="2"/>
    <x v="0"/>
    <x v="0"/>
    <n v="0"/>
    <n v="0"/>
    <n v="0"/>
    <x v="1"/>
    <x v="0"/>
    <s v="Normal"/>
    <s v="Allowed"/>
    <m/>
    <m/>
    <m/>
  </r>
  <r>
    <x v="0"/>
    <x v="3"/>
    <x v="3"/>
    <x v="9"/>
    <n v="0.1125"/>
    <n v="0"/>
    <s v="UP"/>
    <n v="0.16400000000000001"/>
    <n v="-1.250000000000006E-2"/>
    <n v="2.6472445732452773E-2"/>
    <n v="0.13493378643970674"/>
    <n v="-0.28882644414538172"/>
    <n v="0"/>
    <x v="576"/>
    <n v="2"/>
    <x v="0"/>
    <x v="0"/>
    <n v="0"/>
    <n v="0"/>
    <n v="0"/>
    <x v="1"/>
    <x v="0"/>
    <s v="Normal"/>
    <s v="Allowed"/>
    <m/>
    <m/>
    <m/>
  </r>
  <r>
    <x v="0"/>
    <x v="3"/>
    <x v="3"/>
    <x v="10"/>
    <n v="0.1111111111111111"/>
    <n v="0"/>
    <s v="UP"/>
    <n v="0.16400000000000001"/>
    <n v="-1.234567901234576E-2"/>
    <n v="2.6472445732452773E-2"/>
    <n v="0.13493378643970674"/>
    <n v="-0.2876827647769587"/>
    <n v="0"/>
    <x v="577"/>
    <n v="2"/>
    <x v="0"/>
    <x v="0"/>
    <n v="0"/>
    <n v="0"/>
    <n v="0"/>
    <x v="1"/>
    <x v="0"/>
    <s v="Normal"/>
    <s v="Allowed"/>
    <m/>
    <m/>
    <m/>
  </r>
  <r>
    <x v="0"/>
    <x v="3"/>
    <x v="3"/>
    <x v="11"/>
    <n v="0.1097560975609756"/>
    <n v="0"/>
    <s v="UP"/>
    <n v="0.16400000000000001"/>
    <n v="-1.219512195121958E-2"/>
    <n v="2.6472445732452773E-2"/>
    <n v="0.13493378643970674"/>
    <n v="-0.28656698002727737"/>
    <n v="0"/>
    <x v="578"/>
    <n v="2"/>
    <x v="0"/>
    <x v="0"/>
    <n v="0"/>
    <n v="0"/>
    <n v="0"/>
    <x v="1"/>
    <x v="0"/>
    <s v="Normal"/>
    <s v="Allowed"/>
    <m/>
    <m/>
    <m/>
  </r>
  <r>
    <x v="0"/>
    <x v="3"/>
    <x v="3"/>
    <x v="12"/>
    <n v="0.1097560975609756"/>
    <n v="0"/>
    <s v="UP"/>
    <n v="0.16400000000000001"/>
    <n v="0"/>
    <n v="2.6472445732452773E-2"/>
    <n v="0.13493378643970674"/>
    <n v="-0.19618841530309838"/>
    <n v="0"/>
    <x v="578"/>
    <n v="2"/>
    <x v="0"/>
    <x v="0"/>
    <n v="0"/>
    <n v="0"/>
    <n v="0"/>
    <x v="1"/>
    <x v="0"/>
    <s v="Normal"/>
    <s v="Allowed"/>
    <m/>
    <m/>
    <m/>
  </r>
  <r>
    <x v="0"/>
    <x v="3"/>
    <x v="3"/>
    <x v="13"/>
    <n v="0.1097560975609756"/>
    <n v="0"/>
    <s v="UP"/>
    <n v="0.16400000000000001"/>
    <n v="0"/>
    <n v="2.6472445732452773E-2"/>
    <n v="0.13493378643970674"/>
    <n v="-0.19618841530309838"/>
    <n v="0"/>
    <x v="578"/>
    <n v="2"/>
    <x v="0"/>
    <x v="0"/>
    <n v="0"/>
    <n v="0"/>
    <n v="0"/>
    <x v="1"/>
    <x v="0"/>
    <s v="Normal"/>
    <s v="Allowed"/>
    <m/>
    <m/>
    <m/>
  </r>
  <r>
    <x v="0"/>
    <x v="3"/>
    <x v="3"/>
    <x v="14"/>
    <n v="0.1153846153846154"/>
    <n v="0"/>
    <s v="UP"/>
    <n v="0.16400000000000001"/>
    <n v="5.1282051282051599E-2"/>
    <n v="2.6472445732452773E-2"/>
    <n v="0.13493378643970674"/>
    <n v="0.18386503635755191"/>
    <n v="0"/>
    <x v="579"/>
    <n v="2"/>
    <x v="0"/>
    <x v="0"/>
    <n v="0"/>
    <n v="0"/>
    <n v="0"/>
    <x v="0"/>
    <x v="0"/>
    <s v="Normal"/>
    <s v="Allowed"/>
    <m/>
    <m/>
    <m/>
  </r>
  <r>
    <x v="0"/>
    <x v="3"/>
    <x v="3"/>
    <x v="15"/>
    <n v="0.1139240506329114"/>
    <n v="0"/>
    <s v="UP"/>
    <n v="0.16400000000000001"/>
    <n v="-1.2658227848101351E-2"/>
    <n v="2.6472445732452773E-2"/>
    <n v="0.13493378643970674"/>
    <n v="-0.28999907742186654"/>
    <n v="0"/>
    <x v="575"/>
    <n v="2"/>
    <x v="0"/>
    <x v="0"/>
    <n v="0"/>
    <n v="0"/>
    <n v="0"/>
    <x v="1"/>
    <x v="0"/>
    <s v="Normal"/>
    <s v="Allowed"/>
    <m/>
    <m/>
    <m/>
  </r>
  <r>
    <x v="0"/>
    <x v="3"/>
    <x v="4"/>
    <x v="0"/>
    <n v="8.8014881743289919E-2"/>
    <n v="0"/>
    <s v="DOWN"/>
    <n v="0.104"/>
    <n v="5.8964175333729052E-2"/>
    <n v="1.7244519882342341E-3"/>
    <n v="8.3117651155014696E-2"/>
    <n v="0.68865905797485238"/>
    <n v="-1"/>
    <x v="580"/>
    <n v="0"/>
    <x v="0"/>
    <x v="0"/>
    <n v="0"/>
    <n v="0"/>
    <n v="0"/>
    <x v="0"/>
    <x v="1"/>
    <s v="Normal"/>
    <s v="Allowed"/>
    <m/>
    <m/>
    <m/>
  </r>
  <r>
    <x v="0"/>
    <x v="3"/>
    <x v="4"/>
    <x v="1"/>
    <n v="8.6372056099497233E-2"/>
    <n v="0"/>
    <s v="DOWN"/>
    <n v="0.104"/>
    <n v="1.8665316719782249E-2"/>
    <n v="1.7244519882342341E-3"/>
    <n v="8.3117651155014696E-2"/>
    <n v="0.20381789543057766"/>
    <n v="0"/>
    <x v="581"/>
    <n v="0"/>
    <x v="0"/>
    <x v="0"/>
    <n v="0"/>
    <n v="0"/>
    <n v="0"/>
    <x v="0"/>
    <x v="1"/>
    <s v="Normal"/>
    <s v="Allowed"/>
    <m/>
    <m/>
    <m/>
  </r>
  <r>
    <x v="0"/>
    <x v="3"/>
    <x v="4"/>
    <x v="2"/>
    <n v="8.8710529094941384E-2"/>
    <n v="0"/>
    <s v="DOWN"/>
    <n v="0.104"/>
    <n v="-2.707441620644439E-2"/>
    <n v="1.7244519882342341E-3"/>
    <n v="8.3117651155014696E-2"/>
    <n v="-0.34648318130367567"/>
    <n v="0"/>
    <x v="582"/>
    <n v="0"/>
    <x v="0"/>
    <x v="0"/>
    <n v="0"/>
    <n v="0"/>
    <n v="0"/>
    <x v="1"/>
    <x v="1"/>
    <s v="Normal"/>
    <s v="Allowed"/>
    <m/>
    <m/>
    <m/>
  </r>
  <r>
    <x v="0"/>
    <x v="3"/>
    <x v="4"/>
    <x v="3"/>
    <n v="8.4084084000000003E-2"/>
    <n v="0"/>
    <s v="DOWN"/>
    <n v="0.104"/>
    <n v="5.2152153099999918E-2"/>
    <n v="1.7244519882342341E-3"/>
    <n v="8.3117651155014696E-2"/>
    <n v="0.60670267278989698"/>
    <n v="-1"/>
    <x v="583"/>
    <n v="0"/>
    <x v="0"/>
    <x v="0"/>
    <n v="0"/>
    <n v="0"/>
    <n v="0"/>
    <x v="0"/>
    <x v="1"/>
    <s v="Normal"/>
    <s v="Allowed"/>
    <m/>
    <m/>
    <m/>
  </r>
  <r>
    <x v="0"/>
    <x v="3"/>
    <x v="4"/>
    <x v="4"/>
    <n v="8.9001104623638944E-2"/>
    <n v="0"/>
    <s v="DOWN"/>
    <n v="0.104"/>
    <n v="-5.8477423903897673E-2"/>
    <n v="1.7244519882342341E-3"/>
    <n v="8.3117651155014696E-2"/>
    <n v="-0.72429712648947697"/>
    <n v="1"/>
    <x v="584"/>
    <n v="0"/>
    <x v="0"/>
    <x v="0"/>
    <n v="0"/>
    <n v="0"/>
    <n v="0"/>
    <x v="1"/>
    <x v="1"/>
    <s v="Abnormal"/>
    <s v="Allowed"/>
    <m/>
    <m/>
    <m/>
  </r>
  <r>
    <x v="0"/>
    <x v="3"/>
    <x v="4"/>
    <x v="5"/>
    <n v="9.3316519546027737E-2"/>
    <n v="0"/>
    <s v="DOWN"/>
    <n v="0.104"/>
    <n v="-4.8487206317691108E-2"/>
    <n v="1.7244519882342341E-3"/>
    <n v="8.3117651155014696E-2"/>
    <n v="-0.60410343180030956"/>
    <n v="1"/>
    <x v="585"/>
    <n v="0"/>
    <x v="0"/>
    <x v="0"/>
    <n v="0"/>
    <n v="0"/>
    <n v="0"/>
    <x v="1"/>
    <x v="1"/>
    <s v="Abnormal"/>
    <s v="Allowed"/>
    <m/>
    <m/>
    <m/>
  </r>
  <r>
    <x v="0"/>
    <x v="3"/>
    <x v="4"/>
    <x v="6"/>
    <n v="9.4453481660282321E-2"/>
    <n v="0"/>
    <s v="DOWN"/>
    <n v="0.104"/>
    <n v="-1.218393184599844E-2"/>
    <n v="1.7244519882342341E-3"/>
    <n v="8.3117651155014696E-2"/>
    <n v="-0.16733369676548598"/>
    <n v="0"/>
    <x v="586"/>
    <n v="0"/>
    <x v="0"/>
    <x v="0"/>
    <n v="0"/>
    <n v="0"/>
    <n v="0"/>
    <x v="1"/>
    <x v="1"/>
    <s v="Normal"/>
    <s v="Allowed"/>
    <m/>
    <m/>
    <m/>
  </r>
  <r>
    <x v="0"/>
    <x v="3"/>
    <x v="4"/>
    <x v="7"/>
    <n v="9.1156747694886839E-2"/>
    <n v="0"/>
    <s v="DOWN"/>
    <n v="0.104"/>
    <n v="3.4903255099189831E-2"/>
    <n v="1.7244519882342341E-3"/>
    <n v="8.3117651155014696E-2"/>
    <n v="0.39917878633356735"/>
    <n v="0"/>
    <x v="587"/>
    <n v="0"/>
    <x v="0"/>
    <x v="0"/>
    <n v="0"/>
    <n v="0"/>
    <n v="0"/>
    <x v="0"/>
    <x v="1"/>
    <s v="Normal"/>
    <s v="Allowed"/>
    <m/>
    <m/>
    <m/>
  </r>
  <r>
    <x v="0"/>
    <x v="3"/>
    <x v="4"/>
    <x v="8"/>
    <n v="9.296969062450923E-2"/>
    <n v="0"/>
    <s v="DOWN"/>
    <n v="0.104"/>
    <n v="-1.988819232220241E-2"/>
    <n v="1.7244519882342341E-3"/>
    <n v="8.3117651155014696E-2"/>
    <n v="-0.26002472411219835"/>
    <n v="0"/>
    <x v="588"/>
    <n v="0"/>
    <x v="0"/>
    <x v="0"/>
    <n v="0"/>
    <n v="0"/>
    <n v="0"/>
    <x v="1"/>
    <x v="1"/>
    <s v="Normal"/>
    <s v="Allowed"/>
    <m/>
    <m/>
    <m/>
  </r>
  <r>
    <x v="0"/>
    <x v="3"/>
    <x v="4"/>
    <x v="9"/>
    <n v="8.5947302383939772E-2"/>
    <n v="0"/>
    <s v="DOWN"/>
    <n v="0.104"/>
    <n v="7.5534168107881966E-2"/>
    <n v="1.7244519882342341E-3"/>
    <n v="8.3117651155014696E-2"/>
    <n v="0.88801494139905812"/>
    <n v="-1"/>
    <x v="589"/>
    <n v="0"/>
    <x v="0"/>
    <x v="0"/>
    <n v="0"/>
    <n v="0"/>
    <n v="0"/>
    <x v="0"/>
    <x v="1"/>
    <s v="Normal"/>
    <s v="Allowed"/>
    <m/>
    <m/>
    <m/>
  </r>
  <r>
    <x v="0"/>
    <x v="3"/>
    <x v="4"/>
    <x v="10"/>
    <n v="8.6479711734294223E-2"/>
    <n v="0"/>
    <s v="DOWN"/>
    <n v="0.104"/>
    <n v="-6.1946022223722296E-3"/>
    <n v="1.7244519882342341E-3"/>
    <n v="8.3117651155014696E-2"/>
    <n v="-9.5275240584426546E-2"/>
    <n v="0"/>
    <x v="590"/>
    <n v="0"/>
    <x v="0"/>
    <x v="0"/>
    <n v="0"/>
    <n v="0"/>
    <n v="0"/>
    <x v="1"/>
    <x v="1"/>
    <s v="Normal"/>
    <s v="Allowed"/>
    <m/>
    <m/>
    <m/>
  </r>
  <r>
    <x v="0"/>
    <x v="3"/>
    <x v="4"/>
    <x v="11"/>
    <n v="8.5758998435054773E-2"/>
    <n v="0"/>
    <s v="DOWN"/>
    <n v="0.104"/>
    <n v="8.3339003424735721E-3"/>
    <n v="1.7244519882342341E-3"/>
    <n v="8.3117651155014696E-2"/>
    <n v="7.9519190718138733E-2"/>
    <n v="0"/>
    <x v="591"/>
    <n v="0"/>
    <x v="0"/>
    <x v="0"/>
    <n v="0"/>
    <n v="0"/>
    <n v="0"/>
    <x v="1"/>
    <x v="1"/>
    <s v="Normal"/>
    <s v="Allowed"/>
    <m/>
    <m/>
    <m/>
  </r>
  <r>
    <x v="0"/>
    <x v="3"/>
    <x v="4"/>
    <x v="12"/>
    <n v="8.6236525542883927E-2"/>
    <n v="0"/>
    <s v="DOWN"/>
    <n v="0.104"/>
    <n v="-5.5682449252341107E-3"/>
    <n v="1.7244519882342341E-3"/>
    <n v="8.3117651155014696E-2"/>
    <n v="-8.77394489874051E-2"/>
    <n v="0"/>
    <x v="592"/>
    <n v="0"/>
    <x v="0"/>
    <x v="0"/>
    <n v="0"/>
    <n v="0"/>
    <n v="0"/>
    <x v="1"/>
    <x v="1"/>
    <s v="Normal"/>
    <s v="Allowed"/>
    <m/>
    <m/>
    <m/>
  </r>
  <r>
    <x v="0"/>
    <x v="3"/>
    <x v="4"/>
    <x v="13"/>
    <n v="8.3628042438111089E-2"/>
    <n v="0"/>
    <s v="DOWN"/>
    <n v="0.104"/>
    <n v="3.0248007887048799E-2"/>
    <n v="1.7244519882342341E-3"/>
    <n v="8.3117651155014696E-2"/>
    <n v="0.34317086085142173"/>
    <n v="0"/>
    <x v="593"/>
    <n v="0"/>
    <x v="0"/>
    <x v="0"/>
    <n v="0"/>
    <n v="0"/>
    <n v="0"/>
    <x v="0"/>
    <x v="1"/>
    <s v="Normal"/>
    <s v="Allowed"/>
    <m/>
    <m/>
    <m/>
  </r>
  <r>
    <x v="0"/>
    <x v="3"/>
    <x v="4"/>
    <x v="14"/>
    <n v="8.6554927092522438E-2"/>
    <n v="0"/>
    <s v="DOWN"/>
    <n v="0.104"/>
    <n v="-3.4998842123769539E-2"/>
    <n v="1.7244519882342341E-3"/>
    <n v="8.3117651155014696E-2"/>
    <n v="-0.44182304963737129"/>
    <n v="0"/>
    <x v="594"/>
    <n v="0"/>
    <x v="0"/>
    <x v="0"/>
    <n v="0"/>
    <n v="0"/>
    <n v="0"/>
    <x v="1"/>
    <x v="1"/>
    <s v="Normal"/>
    <s v="Allowed"/>
    <m/>
    <m/>
    <m/>
  </r>
  <r>
    <x v="0"/>
    <x v="3"/>
    <x v="4"/>
    <x v="15"/>
    <n v="8.7051142546245922E-2"/>
    <n v="0"/>
    <s v="DOWN"/>
    <n v="0.104"/>
    <n v="-5.7329544416698163E-3"/>
    <n v="1.7244519882342341E-3"/>
    <n v="8.3117651155014696E-2"/>
    <n v="-8.9721092045731213E-2"/>
    <n v="0"/>
    <x v="595"/>
    <n v="0"/>
    <x v="0"/>
    <x v="0"/>
    <n v="0"/>
    <n v="0"/>
    <n v="0"/>
    <x v="1"/>
    <x v="1"/>
    <s v="Normal"/>
    <s v="Allowed"/>
    <m/>
    <m/>
    <m/>
  </r>
  <r>
    <x v="0"/>
    <x v="3"/>
    <x v="5"/>
    <x v="0"/>
    <n v="9.0145824127264684E-2"/>
    <n v="0"/>
    <s v="DOWN"/>
    <n v="0.1"/>
    <n v="0.1119845570621209"/>
    <n v="-3.0570725046180952E-3"/>
    <n v="0.17799866497296365"/>
    <n v="0.64630613709497631"/>
    <n v="-1"/>
    <x v="596"/>
    <n v="0"/>
    <x v="0"/>
    <x v="0"/>
    <n v="0"/>
    <n v="0"/>
    <n v="0"/>
    <x v="0"/>
    <x v="1"/>
    <s v="Normal"/>
    <s v="Allowed"/>
    <m/>
    <m/>
    <m/>
  </r>
  <r>
    <x v="0"/>
    <x v="3"/>
    <x v="5"/>
    <x v="1"/>
    <n v="8.4210526315789472E-2"/>
    <n v="0"/>
    <s v="DOWN"/>
    <n v="0.1"/>
    <n v="6.5841073271413766E-2"/>
    <n v="-3.0570725046180952E-3"/>
    <n v="0.17799866497296365"/>
    <n v="0.38707113778913366"/>
    <n v="0"/>
    <x v="597"/>
    <n v="0"/>
    <x v="0"/>
    <x v="0"/>
    <n v="0"/>
    <n v="0"/>
    <n v="0"/>
    <x v="0"/>
    <x v="1"/>
    <s v="Normal"/>
    <s v="Allowed"/>
    <m/>
    <m/>
    <m/>
  </r>
  <r>
    <x v="0"/>
    <x v="3"/>
    <x v="5"/>
    <x v="2"/>
    <n v="7.8465562336530084E-2"/>
    <n v="0"/>
    <s v="DOWN"/>
    <n v="0.1"/>
    <n v="6.8221447253705228E-2"/>
    <n v="-3.0570725046180952E-3"/>
    <n v="0.17799866497296365"/>
    <n v="0.40044412562953696"/>
    <n v="0"/>
    <x v="598"/>
    <n v="0"/>
    <x v="0"/>
    <x v="0"/>
    <n v="0"/>
    <n v="0"/>
    <n v="0"/>
    <x v="0"/>
    <x v="1"/>
    <s v="Normal"/>
    <s v="Allowed"/>
    <m/>
    <m/>
    <m/>
  </r>
  <r>
    <x v="0"/>
    <x v="3"/>
    <x v="5"/>
    <x v="3"/>
    <n v="7.275877E-2"/>
    <n v="0"/>
    <s v="DOWN"/>
    <n v="0.1"/>
    <n v="7.272989788888895E-2"/>
    <n v="-3.0570725046180952E-3"/>
    <n v="0.17799866497296365"/>
    <n v="0.42577268995258127"/>
    <n v="0"/>
    <x v="599"/>
    <n v="0"/>
    <x v="0"/>
    <x v="0"/>
    <n v="0"/>
    <n v="0"/>
    <n v="0"/>
    <x v="0"/>
    <x v="1"/>
    <s v="Normal"/>
    <s v="Allowed"/>
    <m/>
    <m/>
    <m/>
  </r>
  <r>
    <x v="0"/>
    <x v="3"/>
    <x v="5"/>
    <x v="4"/>
    <n v="9.322399654725938E-2"/>
    <n v="0"/>
    <s v="DOWN"/>
    <n v="0.1"/>
    <n v="-0.28127504831732841"/>
    <n v="-3.0570725046180952E-3"/>
    <n v="0.17799866497296365"/>
    <n v="-1.5630340590193135"/>
    <n v="1"/>
    <x v="600"/>
    <n v="0"/>
    <x v="0"/>
    <x v="0"/>
    <n v="0"/>
    <n v="0"/>
    <n v="0"/>
    <x v="1"/>
    <x v="1"/>
    <s v="Abnormal"/>
    <s v="Allowed"/>
    <m/>
    <m/>
    <m/>
  </r>
  <r>
    <x v="0"/>
    <x v="3"/>
    <x v="5"/>
    <x v="5"/>
    <n v="9.8148945329315535E-2"/>
    <n v="1"/>
    <s v="DOWN"/>
    <n v="0.1"/>
    <n v="-5.2829195963074588E-2"/>
    <n v="-3.0570725046180952E-3"/>
    <n v="0.17799866497296365"/>
    <n v="-0.27962076831315791"/>
    <n v="0"/>
    <x v="601"/>
    <n v="0"/>
    <x v="0"/>
    <x v="0"/>
    <n v="0"/>
    <n v="0"/>
    <n v="0"/>
    <x v="1"/>
    <x v="1"/>
    <s v="Normal"/>
    <s v="Allowed"/>
    <m/>
    <m/>
    <m/>
  </r>
  <r>
    <x v="0"/>
    <x v="3"/>
    <x v="5"/>
    <x v="6"/>
    <n v="9.7980232058444347E-2"/>
    <n v="0"/>
    <s v="DOWN"/>
    <n v="0.1"/>
    <n v="1.7189514396217919E-3"/>
    <n v="-3.0570725046180952E-3"/>
    <n v="0.17799866497296365"/>
    <n v="2.6831796434907646E-2"/>
    <n v="0"/>
    <x v="602"/>
    <n v="1"/>
    <x v="1"/>
    <x v="0"/>
    <n v="1"/>
    <n v="0"/>
    <n v="0"/>
    <x v="1"/>
    <x v="1"/>
    <s v="Normal"/>
    <s v="Allowed"/>
    <m/>
    <m/>
    <m/>
  </r>
  <r>
    <x v="0"/>
    <x v="3"/>
    <x v="5"/>
    <x v="7"/>
    <n v="0.10335917312661499"/>
    <n v="0"/>
    <s v="DOWN"/>
    <n v="0.1"/>
    <n v="-5.4898227480846919E-2"/>
    <n v="-3.0570725046180952E-3"/>
    <n v="0.17799866497296365"/>
    <n v="-0.29124462806562629"/>
    <n v="0"/>
    <x v="603"/>
    <n v="1"/>
    <x v="0"/>
    <x v="0"/>
    <n v="0"/>
    <n v="0"/>
    <n v="0"/>
    <x v="1"/>
    <x v="0"/>
    <s v="Normal"/>
    <s v="Allowed"/>
    <m/>
    <m/>
    <m/>
  </r>
  <r>
    <x v="0"/>
    <x v="3"/>
    <x v="5"/>
    <x v="8"/>
    <n v="0.1244598098530683"/>
    <n v="0"/>
    <s v="DOWN"/>
    <n v="0.1"/>
    <n v="-0.2041486603284357"/>
    <n v="-3.0570725046180952E-3"/>
    <n v="0.17799866497296365"/>
    <n v="-1.1297364946774267"/>
    <n v="1"/>
    <x v="604"/>
    <n v="1"/>
    <x v="0"/>
    <x v="1"/>
    <n v="0"/>
    <n v="1"/>
    <n v="1"/>
    <x v="1"/>
    <x v="0"/>
    <s v="Abnormal"/>
    <s v="Allowed"/>
    <m/>
    <m/>
    <m/>
  </r>
  <r>
    <x v="0"/>
    <x v="3"/>
    <x v="5"/>
    <x v="9"/>
    <n v="0.10398613518197571"/>
    <n v="0"/>
    <s v="DOWN"/>
    <n v="0.1"/>
    <n v="0.1645002888503759"/>
    <n v="-3.0570725046180952E-3"/>
    <n v="0.17799866497296365"/>
    <n v="0.94134055095550517"/>
    <n v="-1"/>
    <x v="605"/>
    <n v="1"/>
    <x v="0"/>
    <x v="0"/>
    <n v="0"/>
    <n v="0"/>
    <n v="0"/>
    <x v="0"/>
    <x v="0"/>
    <s v="Normal"/>
    <s v="Allowed"/>
    <m/>
    <m/>
    <m/>
  </r>
  <r>
    <x v="0"/>
    <x v="3"/>
    <x v="5"/>
    <x v="10"/>
    <n v="9.00829711576452E-2"/>
    <n v="0"/>
    <s v="DOWN"/>
    <n v="0.1"/>
    <n v="0.1337020940339784"/>
    <n v="-3.0570725046180952E-3"/>
    <n v="0.17799866497296365"/>
    <n v="0.76831568685848817"/>
    <n v="-1"/>
    <x v="606"/>
    <n v="1"/>
    <x v="0"/>
    <x v="0"/>
    <n v="0"/>
    <n v="0"/>
    <n v="0"/>
    <x v="0"/>
    <x v="1"/>
    <s v="Normal"/>
    <s v="Allowed"/>
    <m/>
    <m/>
    <m/>
  </r>
  <r>
    <x v="0"/>
    <x v="3"/>
    <x v="5"/>
    <x v="11"/>
    <n v="7.4899033166075143E-2"/>
    <n v="0"/>
    <s v="DOWN"/>
    <n v="0.1"/>
    <n v="0.1685550309502799"/>
    <n v="-3.0570725046180952E-3"/>
    <n v="0.17799866497296365"/>
    <n v="0.96412017180558229"/>
    <n v="-1"/>
    <x v="607"/>
    <n v="1"/>
    <x v="0"/>
    <x v="0"/>
    <n v="0"/>
    <n v="0"/>
    <n v="0"/>
    <x v="0"/>
    <x v="1"/>
    <s v="Normal"/>
    <s v="Allowed"/>
    <m/>
    <m/>
    <m/>
  </r>
  <r>
    <x v="0"/>
    <x v="3"/>
    <x v="5"/>
    <x v="12"/>
    <n v="7.3224310471076387E-2"/>
    <n v="0"/>
    <s v="DOWN"/>
    <n v="0.1"/>
    <n v="2.235973715822686E-2"/>
    <n v="-3.0570725046180952E-3"/>
    <n v="0.17799866497296365"/>
    <n v="0.14279213648431313"/>
    <n v="0"/>
    <x v="608"/>
    <n v="1"/>
    <x v="0"/>
    <x v="0"/>
    <n v="0"/>
    <n v="0"/>
    <n v="0"/>
    <x v="0"/>
    <x v="1"/>
    <s v="Normal"/>
    <s v="Allowed"/>
    <m/>
    <m/>
    <m/>
  </r>
  <r>
    <x v="0"/>
    <x v="3"/>
    <x v="5"/>
    <x v="13"/>
    <n v="7.6014130832013638E-2"/>
    <n v="0"/>
    <s v="DOWN"/>
    <n v="0.1"/>
    <n v="-3.8099646729199729E-2"/>
    <n v="-3.0570725046180952E-3"/>
    <n v="0.17799866497296365"/>
    <n v="-0.19686987107405707"/>
    <n v="0"/>
    <x v="609"/>
    <n v="1"/>
    <x v="0"/>
    <x v="0"/>
    <n v="0"/>
    <n v="0"/>
    <n v="0"/>
    <x v="1"/>
    <x v="1"/>
    <s v="Normal"/>
    <s v="Allowed"/>
    <m/>
    <m/>
    <m/>
  </r>
  <r>
    <x v="0"/>
    <x v="3"/>
    <x v="5"/>
    <x v="14"/>
    <n v="7.437112650382792E-2"/>
    <n v="0"/>
    <s v="DOWN"/>
    <n v="0.1"/>
    <n v="2.1614459182814998E-2"/>
    <n v="-3.0570725046180952E-3"/>
    <n v="0.17799866497296365"/>
    <n v="0.1386051501632356"/>
    <n v="0"/>
    <x v="610"/>
    <n v="1"/>
    <x v="0"/>
    <x v="0"/>
    <n v="0"/>
    <n v="0"/>
    <n v="0"/>
    <x v="0"/>
    <x v="1"/>
    <s v="Normal"/>
    <s v="Allowed"/>
    <m/>
    <m/>
    <m/>
  </r>
  <r>
    <x v="0"/>
    <x v="3"/>
    <x v="5"/>
    <x v="15"/>
    <n v="7.4853228962818E-2"/>
    <n v="0"/>
    <s v="DOWN"/>
    <n v="0.1"/>
    <n v="-6.482387475538187E-3"/>
    <n v="-3.0570725046180952E-3"/>
    <n v="0.17799866497296365"/>
    <n v="-1.9243486862333296E-2"/>
    <n v="0"/>
    <x v="611"/>
    <n v="1"/>
    <x v="0"/>
    <x v="0"/>
    <n v="0"/>
    <n v="0"/>
    <n v="0"/>
    <x v="1"/>
    <x v="1"/>
    <s v="Normal"/>
    <s v="Allowed"/>
    <m/>
    <m/>
    <m/>
  </r>
  <r>
    <x v="1"/>
    <x v="3"/>
    <x v="6"/>
    <x v="0"/>
    <n v="0.81399999999999995"/>
    <n v="0"/>
    <s v="DOWN"/>
    <n v="0.59"/>
    <n v="-1.749999999999988E-2"/>
    <n v="-4.8849805534298088E-2"/>
    <n v="0.44966933193859487"/>
    <n v="6.971746416226407E-2"/>
    <n v="0"/>
    <x v="612"/>
    <n v="0"/>
    <x v="0"/>
    <x v="0"/>
    <n v="0"/>
    <n v="0"/>
    <n v="0"/>
    <x v="1"/>
    <x v="0"/>
    <s v="Normal"/>
    <s v="Allowed"/>
    <m/>
    <m/>
    <m/>
  </r>
  <r>
    <x v="1"/>
    <x v="3"/>
    <x v="6"/>
    <x v="1"/>
    <n v="0.79400000000000004"/>
    <n v="0"/>
    <s v="DOWN"/>
    <n v="0.59"/>
    <n v="2.4570024570024461E-2"/>
    <n v="-4.8849805534298088E-2"/>
    <n v="0.44966933193859487"/>
    <n v="0.16327515551883018"/>
    <n v="0"/>
    <x v="613"/>
    <n v="0"/>
    <x v="0"/>
    <x v="0"/>
    <n v="0"/>
    <n v="0"/>
    <n v="0"/>
    <x v="0"/>
    <x v="0"/>
    <s v="Normal"/>
    <s v="Allowed"/>
    <m/>
    <m/>
    <m/>
  </r>
  <r>
    <x v="1"/>
    <x v="3"/>
    <x v="6"/>
    <x v="2"/>
    <n v="0.78"/>
    <n v="0"/>
    <s v="DOWN"/>
    <n v="0.59"/>
    <n v="1.7632241813602029E-2"/>
    <n v="-4.8849805534298088E-2"/>
    <n v="0.44966933193859487"/>
    <n v="0.14784652326918896"/>
    <n v="0"/>
    <x v="281"/>
    <n v="0"/>
    <x v="0"/>
    <x v="0"/>
    <n v="0"/>
    <n v="0"/>
    <n v="0"/>
    <x v="0"/>
    <x v="0"/>
    <s v="Normal"/>
    <s v="Allowed"/>
    <m/>
    <m/>
    <m/>
  </r>
  <r>
    <x v="1"/>
    <x v="3"/>
    <x v="6"/>
    <x v="3"/>
    <n v="0.98"/>
    <n v="0"/>
    <s v="DOWN"/>
    <n v="0.59"/>
    <n v="-0.25641025641025628"/>
    <n v="-4.8849805534298088E-2"/>
    <n v="0.44966933193859487"/>
    <n v="-0.4615846270439049"/>
    <n v="0"/>
    <x v="614"/>
    <n v="0"/>
    <x v="0"/>
    <x v="0"/>
    <n v="0"/>
    <n v="0"/>
    <n v="0"/>
    <x v="1"/>
    <x v="0"/>
    <s v="Normal"/>
    <s v="Allowed"/>
    <m/>
    <m/>
    <m/>
  </r>
  <r>
    <x v="1"/>
    <x v="3"/>
    <x v="6"/>
    <x v="4"/>
    <n v="0.89"/>
    <n v="0"/>
    <s v="DOWN"/>
    <n v="0.59"/>
    <n v="9.1836734693877514E-2"/>
    <n v="-4.8849805534298088E-2"/>
    <n v="0.44966933193859487"/>
    <n v="0.31286665608627107"/>
    <n v="0"/>
    <x v="615"/>
    <n v="0"/>
    <x v="0"/>
    <x v="0"/>
    <n v="0"/>
    <n v="0"/>
    <n v="0"/>
    <x v="0"/>
    <x v="0"/>
    <s v="Normal"/>
    <s v="Allowed"/>
    <m/>
    <m/>
    <m/>
  </r>
  <r>
    <x v="1"/>
    <x v="3"/>
    <x v="6"/>
    <x v="5"/>
    <n v="0.83"/>
    <n v="0"/>
    <s v="DOWN"/>
    <n v="0.59"/>
    <n v="6.7415730337078705E-2"/>
    <n v="-4.8849805534298088E-2"/>
    <n v="0.44966933193859487"/>
    <n v="0.25855785043231183"/>
    <n v="0"/>
    <x v="616"/>
    <n v="0"/>
    <x v="0"/>
    <x v="0"/>
    <n v="0"/>
    <n v="0"/>
    <n v="0"/>
    <x v="0"/>
    <x v="0"/>
    <s v="Normal"/>
    <s v="Allowed"/>
    <m/>
    <m/>
    <m/>
  </r>
  <r>
    <x v="1"/>
    <x v="3"/>
    <x v="6"/>
    <x v="6"/>
    <n v="0.86"/>
    <n v="0"/>
    <s v="DOWN"/>
    <n v="0.59"/>
    <n v="-3.6144578313253052E-2"/>
    <n v="-4.8849805534298088E-2"/>
    <n v="0.44966933193859487"/>
    <n v="2.8254600255416158E-2"/>
    <n v="0"/>
    <x v="617"/>
    <n v="0"/>
    <x v="0"/>
    <x v="0"/>
    <n v="0"/>
    <n v="0"/>
    <n v="0"/>
    <x v="1"/>
    <x v="0"/>
    <s v="Normal"/>
    <s v="Allowed"/>
    <m/>
    <m/>
    <m/>
  </r>
  <r>
    <x v="1"/>
    <x v="3"/>
    <x v="6"/>
    <x v="7"/>
    <n v="0.73"/>
    <n v="0"/>
    <s v="DOWN"/>
    <n v="0.59"/>
    <n v="0.15116279069767441"/>
    <n v="-4.8849805534298088E-2"/>
    <n v="0.44966933193859487"/>
    <n v="0.44479928255210749"/>
    <n v="0"/>
    <x v="452"/>
    <n v="0"/>
    <x v="0"/>
    <x v="0"/>
    <n v="0"/>
    <n v="0"/>
    <n v="0"/>
    <x v="0"/>
    <x v="0"/>
    <s v="Normal"/>
    <s v="Allowed"/>
    <m/>
    <m/>
    <m/>
  </r>
  <r>
    <x v="1"/>
    <x v="3"/>
    <x v="6"/>
    <x v="8"/>
    <n v="0.69"/>
    <n v="0"/>
    <s v="DOWN"/>
    <n v="0.59"/>
    <n v="5.4794520547945258E-2"/>
    <n v="-4.8849805534298088E-2"/>
    <n v="0.44966933193859487"/>
    <n v="0.23049009287650646"/>
    <n v="0"/>
    <x v="278"/>
    <n v="0"/>
    <x v="0"/>
    <x v="0"/>
    <n v="0"/>
    <n v="0"/>
    <n v="0"/>
    <x v="0"/>
    <x v="0"/>
    <s v="Normal"/>
    <s v="Allowed"/>
    <m/>
    <m/>
    <m/>
  </r>
  <r>
    <x v="1"/>
    <x v="3"/>
    <x v="6"/>
    <x v="9"/>
    <n v="0.76"/>
    <n v="0"/>
    <s v="DOWN"/>
    <n v="0.59"/>
    <n v="-0.1014492753623189"/>
    <n v="-4.8849805534298088E-2"/>
    <n v="0.44966933193859487"/>
    <n v="-0.11697366507352473"/>
    <n v="0"/>
    <x v="618"/>
    <n v="0"/>
    <x v="0"/>
    <x v="0"/>
    <n v="0"/>
    <n v="0"/>
    <n v="0"/>
    <x v="1"/>
    <x v="0"/>
    <s v="Normal"/>
    <s v="Allowed"/>
    <m/>
    <m/>
    <m/>
  </r>
  <r>
    <x v="1"/>
    <x v="3"/>
    <x v="6"/>
    <x v="10"/>
    <n v="0.8"/>
    <n v="0"/>
    <s v="DOWN"/>
    <n v="0.59"/>
    <n v="-5.2631578947368467E-2"/>
    <n v="-4.8849805534298088E-2"/>
    <n v="0.44966933193859487"/>
    <n v="-8.410120825377532E-3"/>
    <n v="0"/>
    <x v="619"/>
    <n v="0"/>
    <x v="0"/>
    <x v="0"/>
    <n v="0"/>
    <n v="0"/>
    <n v="0"/>
    <x v="1"/>
    <x v="0"/>
    <s v="Normal"/>
    <s v="Allowed"/>
    <m/>
    <m/>
    <m/>
  </r>
  <r>
    <x v="1"/>
    <x v="3"/>
    <x v="6"/>
    <x v="11"/>
    <n v="0.77"/>
    <n v="0"/>
    <s v="DOWN"/>
    <n v="0.59"/>
    <n v="3.7500000000000033E-2"/>
    <n v="-4.8849805534298088E-2"/>
    <n v="0.44966933193859487"/>
    <n v="0.19202956350621153"/>
    <n v="0"/>
    <x v="620"/>
    <n v="0"/>
    <x v="0"/>
    <x v="0"/>
    <n v="0"/>
    <n v="0"/>
    <n v="0"/>
    <x v="0"/>
    <x v="0"/>
    <s v="Normal"/>
    <s v="Allowed"/>
    <m/>
    <m/>
    <m/>
  </r>
  <r>
    <x v="1"/>
    <x v="3"/>
    <x v="6"/>
    <x v="12"/>
    <n v="0.78"/>
    <n v="0"/>
    <s v="DOWN"/>
    <n v="0.59"/>
    <n v="-1.2987012987013E-2"/>
    <n v="-4.8849805534298088E-2"/>
    <n v="0.44966933193859487"/>
    <n v="7.9753698996271272E-2"/>
    <n v="0"/>
    <x v="281"/>
    <n v="0"/>
    <x v="0"/>
    <x v="0"/>
    <n v="0"/>
    <n v="0"/>
    <n v="0"/>
    <x v="1"/>
    <x v="0"/>
    <s v="Normal"/>
    <s v="Allowed"/>
    <m/>
    <m/>
    <m/>
  </r>
  <r>
    <x v="1"/>
    <x v="3"/>
    <x v="6"/>
    <x v="13"/>
    <n v="0.68"/>
    <n v="0"/>
    <s v="DOWN"/>
    <n v="0.59"/>
    <n v="0.12820512820512819"/>
    <n v="-4.8849805534298088E-2"/>
    <n v="0.44966933193859487"/>
    <n v="0.39374473899768692"/>
    <n v="0"/>
    <x v="277"/>
    <n v="0"/>
    <x v="0"/>
    <x v="0"/>
    <n v="0"/>
    <n v="0"/>
    <n v="0"/>
    <x v="0"/>
    <x v="0"/>
    <s v="Normal"/>
    <s v="Allowed"/>
    <m/>
    <m/>
    <m/>
  </r>
  <r>
    <x v="1"/>
    <x v="3"/>
    <x v="6"/>
    <x v="14"/>
    <n v="0.7"/>
    <n v="0"/>
    <s v="DOWN"/>
    <n v="0.59"/>
    <n v="-2.941176470588221E-2"/>
    <n v="-4.8849805534298088E-2"/>
    <n v="0.44966933193859487"/>
    <n v="4.3227410561034796E-2"/>
    <n v="0"/>
    <x v="276"/>
    <n v="0"/>
    <x v="0"/>
    <x v="0"/>
    <n v="0"/>
    <n v="0"/>
    <n v="0"/>
    <x v="1"/>
    <x v="0"/>
    <s v="Normal"/>
    <s v="Allowed"/>
    <m/>
    <m/>
    <m/>
  </r>
  <r>
    <x v="1"/>
    <x v="3"/>
    <x v="7"/>
    <x v="0"/>
    <n v="0.51700000000000002"/>
    <n v="0"/>
    <s v="DOWN"/>
    <n v="0.56999999999999995"/>
    <n v="0.17280000000000001"/>
    <n v="-2.6703176088529658E-2"/>
    <n v="0.34089784338901952"/>
    <n v="0.58522862481375193"/>
    <n v="-1"/>
    <x v="621"/>
    <n v="0"/>
    <x v="0"/>
    <x v="0"/>
    <n v="0"/>
    <n v="0"/>
    <n v="0"/>
    <x v="0"/>
    <x v="1"/>
    <s v="Normal"/>
    <s v="Allowed"/>
    <m/>
    <m/>
    <m/>
  </r>
  <r>
    <x v="1"/>
    <x v="3"/>
    <x v="7"/>
    <x v="1"/>
    <n v="0.47799999999999998"/>
    <n v="0"/>
    <s v="DOWN"/>
    <n v="0.56999999999999995"/>
    <n v="7.5435203094777623E-2"/>
    <n v="-2.6703176088529658E-2"/>
    <n v="0.34089784338901952"/>
    <n v="0.29961579741280703"/>
    <n v="0"/>
    <x v="622"/>
    <n v="0"/>
    <x v="0"/>
    <x v="0"/>
    <n v="0"/>
    <n v="0"/>
    <n v="0"/>
    <x v="0"/>
    <x v="1"/>
    <s v="Normal"/>
    <s v="Allowed"/>
    <m/>
    <m/>
    <m/>
  </r>
  <r>
    <x v="1"/>
    <x v="3"/>
    <x v="7"/>
    <x v="2"/>
    <n v="0.54500000000000004"/>
    <n v="1"/>
    <s v="DOWN"/>
    <n v="0.56999999999999995"/>
    <n v="-0.14016736401673649"/>
    <n v="-2.6703176088529658E-2"/>
    <n v="0.34089784338901952"/>
    <n v="-0.33283926586395524"/>
    <n v="0"/>
    <x v="112"/>
    <n v="0"/>
    <x v="0"/>
    <x v="0"/>
    <n v="0"/>
    <n v="0"/>
    <n v="0"/>
    <x v="1"/>
    <x v="1"/>
    <s v="Normal"/>
    <s v="Allowed"/>
    <m/>
    <m/>
    <m/>
  </r>
  <r>
    <x v="1"/>
    <x v="3"/>
    <x v="7"/>
    <x v="3"/>
    <n v="0.44400000000000001"/>
    <n v="0"/>
    <s v="DOWN"/>
    <n v="0.56999999999999995"/>
    <n v="0.1853211009174312"/>
    <n v="-2.6703176088529658E-2"/>
    <n v="0.34089784338901952"/>
    <n v="0.62195839932025299"/>
    <n v="-1"/>
    <x v="623"/>
    <n v="1"/>
    <x v="1"/>
    <x v="0"/>
    <n v="1"/>
    <n v="0"/>
    <n v="0"/>
    <x v="0"/>
    <x v="1"/>
    <s v="Normal"/>
    <s v="Allowed"/>
    <m/>
    <m/>
    <m/>
  </r>
  <r>
    <x v="1"/>
    <x v="3"/>
    <x v="7"/>
    <x v="4"/>
    <n v="0.45500000000000002"/>
    <n v="0"/>
    <s v="DOWN"/>
    <n v="0.56999999999999995"/>
    <n v="-2.4774774774774799E-2"/>
    <n v="-2.6703176088529658E-2"/>
    <n v="0.34089784338901952"/>
    <n v="5.6568304879366493E-3"/>
    <n v="0"/>
    <x v="624"/>
    <n v="1"/>
    <x v="0"/>
    <x v="0"/>
    <n v="0"/>
    <n v="0"/>
    <n v="0"/>
    <x v="1"/>
    <x v="1"/>
    <s v="Normal"/>
    <s v="Allowed"/>
    <m/>
    <m/>
    <m/>
  </r>
  <r>
    <x v="1"/>
    <x v="3"/>
    <x v="7"/>
    <x v="5"/>
    <n v="0.64"/>
    <n v="0"/>
    <s v="DOWN"/>
    <n v="0.56999999999999995"/>
    <n v="-0.40659340659340659"/>
    <n v="-2.6703176088529658E-2"/>
    <n v="0.34089784338901952"/>
    <n v="-1.1143814426287255"/>
    <n v="1"/>
    <x v="625"/>
    <n v="1"/>
    <x v="0"/>
    <x v="1"/>
    <n v="0"/>
    <n v="1"/>
    <n v="1"/>
    <x v="1"/>
    <x v="0"/>
    <s v="Abnormal"/>
    <s v="Allowed"/>
    <m/>
    <m/>
    <m/>
  </r>
  <r>
    <x v="1"/>
    <x v="3"/>
    <x v="7"/>
    <x v="6"/>
    <n v="0.54500000000000004"/>
    <n v="0"/>
    <s v="DOWN"/>
    <n v="0.56999999999999995"/>
    <n v="0.14843749999999989"/>
    <n v="-2.6703176088529658E-2"/>
    <n v="0.34089784338901952"/>
    <n v="0.51376293363248338"/>
    <n v="-1"/>
    <x v="112"/>
    <n v="1"/>
    <x v="0"/>
    <x v="0"/>
    <n v="0"/>
    <n v="0"/>
    <n v="0"/>
    <x v="0"/>
    <x v="1"/>
    <s v="Normal"/>
    <s v="Allowed"/>
    <m/>
    <m/>
    <m/>
  </r>
  <r>
    <x v="1"/>
    <x v="3"/>
    <x v="7"/>
    <x v="7"/>
    <n v="0.83299999999999996"/>
    <n v="0"/>
    <s v="DOWN"/>
    <n v="0.56999999999999995"/>
    <n v="-0.52844036697247687"/>
    <n v="-2.6703176088529658E-2"/>
    <n v="0.34089784338901952"/>
    <n v="-1.4718109856488122"/>
    <n v="1"/>
    <x v="626"/>
    <n v="1"/>
    <x v="0"/>
    <x v="1"/>
    <n v="0"/>
    <n v="1"/>
    <n v="1"/>
    <x v="1"/>
    <x v="0"/>
    <s v="Abnormal"/>
    <s v="Allowed"/>
    <m/>
    <m/>
    <m/>
  </r>
  <r>
    <x v="1"/>
    <x v="3"/>
    <x v="7"/>
    <x v="8"/>
    <n v="0.72699999999999998"/>
    <n v="0"/>
    <s v="DOWN"/>
    <n v="0.56999999999999995"/>
    <n v="0.12725090036014411"/>
    <n v="-2.6703176088529658E-2"/>
    <n v="0.34089784338901952"/>
    <n v="0.45161352421049872"/>
    <n v="0"/>
    <x v="111"/>
    <n v="1"/>
    <x v="0"/>
    <x v="0"/>
    <n v="0"/>
    <n v="0"/>
    <n v="0"/>
    <x v="0"/>
    <x v="0"/>
    <s v="Normal"/>
    <s v="Allowed"/>
    <m/>
    <m/>
    <m/>
  </r>
  <r>
    <x v="1"/>
    <x v="3"/>
    <x v="7"/>
    <x v="9"/>
    <n v="0.55600000000000005"/>
    <n v="0"/>
    <s v="DOWN"/>
    <n v="0.56999999999999995"/>
    <n v="0.23521320495185691"/>
    <n v="-2.6703176088529658E-2"/>
    <n v="0.34089784338901952"/>
    <n v="0.76831339980493119"/>
    <n v="-1"/>
    <x v="627"/>
    <n v="1"/>
    <x v="0"/>
    <x v="0"/>
    <n v="0"/>
    <n v="0"/>
    <n v="0"/>
    <x v="0"/>
    <x v="1"/>
    <s v="Normal"/>
    <s v="Allowed"/>
    <m/>
    <m/>
    <m/>
  </r>
  <r>
    <x v="1"/>
    <x v="3"/>
    <x v="7"/>
    <x v="10"/>
    <n v="0.4"/>
    <n v="0"/>
    <s v="DOWN"/>
    <n v="0.56999999999999995"/>
    <n v="0.28057553956834541"/>
    <n v="-2.6703176088529658E-2"/>
    <n v="0.34089784338901952"/>
    <n v="0.90138063826417469"/>
    <n v="-1"/>
    <x v="628"/>
    <n v="1"/>
    <x v="0"/>
    <x v="0"/>
    <n v="0"/>
    <n v="0"/>
    <n v="0"/>
    <x v="0"/>
    <x v="1"/>
    <s v="Normal"/>
    <s v="Allowed"/>
    <m/>
    <m/>
    <m/>
  </r>
  <r>
    <x v="1"/>
    <x v="3"/>
    <x v="7"/>
    <x v="11"/>
    <n v="0.81"/>
    <n v="0"/>
    <s v="DOWN"/>
    <n v="0.56999999999999995"/>
    <n v="-1.0249999999999999"/>
    <n v="-2.6703176088529658E-2"/>
    <n v="0.34089784338901952"/>
    <n v="-2.9284339671584614"/>
    <n v="1"/>
    <x v="629"/>
    <n v="1"/>
    <x v="0"/>
    <x v="1"/>
    <n v="0"/>
    <n v="1"/>
    <n v="1"/>
    <x v="1"/>
    <x v="0"/>
    <s v="Abnormal"/>
    <s v="Allowed"/>
    <m/>
    <m/>
    <m/>
  </r>
  <r>
    <x v="1"/>
    <x v="3"/>
    <x v="7"/>
    <x v="12"/>
    <n v="0.78"/>
    <n v="0"/>
    <s v="DOWN"/>
    <n v="0.56999999999999995"/>
    <n v="3.703703703703707E-2"/>
    <n v="-2.6703176088529658E-2"/>
    <n v="0.34089784338901952"/>
    <n v="0.18697746073104032"/>
    <n v="0"/>
    <x v="630"/>
    <n v="1"/>
    <x v="0"/>
    <x v="0"/>
    <n v="0"/>
    <n v="0"/>
    <n v="0"/>
    <x v="0"/>
    <x v="0"/>
    <s v="Normal"/>
    <s v="Allowed"/>
    <m/>
    <m/>
    <m/>
  </r>
  <r>
    <x v="1"/>
    <x v="3"/>
    <x v="7"/>
    <x v="13"/>
    <n v="0.83"/>
    <n v="0"/>
    <s v="DOWN"/>
    <n v="0.56999999999999995"/>
    <n v="-6.4102564102564014E-2"/>
    <n v="-2.6703176088529658E-2"/>
    <n v="0.34089784338901952"/>
    <n v="-0.10970849108997036"/>
    <n v="0"/>
    <x v="631"/>
    <n v="1"/>
    <x v="0"/>
    <x v="0"/>
    <n v="0"/>
    <n v="0"/>
    <n v="0"/>
    <x v="1"/>
    <x v="0"/>
    <s v="Normal"/>
    <s v="Allowed"/>
    <m/>
    <m/>
    <m/>
  </r>
  <r>
    <x v="1"/>
    <x v="3"/>
    <x v="7"/>
    <x v="14"/>
    <n v="0.73"/>
    <n v="0"/>
    <s v="DOWN"/>
    <n v="0.56999999999999995"/>
    <n v="0.1204819277108434"/>
    <n v="-2.6703176088529658E-2"/>
    <n v="0.34089784338901952"/>
    <n v="0.43175721599215594"/>
    <n v="0"/>
    <x v="454"/>
    <n v="1"/>
    <x v="0"/>
    <x v="0"/>
    <n v="0"/>
    <n v="0"/>
    <n v="0"/>
    <x v="0"/>
    <x v="0"/>
    <s v="Normal"/>
    <s v="Allowed"/>
    <m/>
    <m/>
    <m/>
  </r>
  <r>
    <x v="2"/>
    <x v="3"/>
    <x v="8"/>
    <x v="0"/>
    <n v="0.87429999999999997"/>
    <n v="0"/>
    <s v="UP"/>
    <n v="0.85"/>
    <n v="7.2497546614327682E-2"/>
    <n v="4.5902054585511267E-3"/>
    <n v="7.1528610508022367E-2"/>
    <n v="0.94937313437900961"/>
    <n v="-1"/>
    <x v="632"/>
    <n v="0"/>
    <x v="0"/>
    <x v="0"/>
    <n v="0"/>
    <n v="0"/>
    <n v="0"/>
    <x v="0"/>
    <x v="1"/>
    <s v="Normal"/>
    <s v="Allowed"/>
    <m/>
    <m/>
    <m/>
  </r>
  <r>
    <x v="2"/>
    <x v="3"/>
    <x v="8"/>
    <x v="1"/>
    <n v="0.87760000000000005"/>
    <n v="0"/>
    <s v="UP"/>
    <n v="0.85"/>
    <n v="3.7744481299326099E-3"/>
    <n v="4.5902054585511267E-3"/>
    <n v="7.1528610508022367E-2"/>
    <n v="-1.14046298792149E-2"/>
    <n v="0"/>
    <x v="633"/>
    <n v="0"/>
    <x v="0"/>
    <x v="0"/>
    <n v="0"/>
    <n v="0"/>
    <n v="0"/>
    <x v="1"/>
    <x v="1"/>
    <s v="Normal"/>
    <s v="Allowed"/>
    <m/>
    <m/>
    <m/>
  </r>
  <r>
    <x v="2"/>
    <x v="3"/>
    <x v="8"/>
    <x v="2"/>
    <n v="0.83330000000000004"/>
    <n v="0"/>
    <s v="UP"/>
    <n v="0.85"/>
    <n v="-5.0478577939835921E-2"/>
    <n v="4.5902054585511267E-3"/>
    <n v="7.1528610508022367E-2"/>
    <n v="-0.769884707773133"/>
    <n v="1"/>
    <x v="634"/>
    <n v="0"/>
    <x v="0"/>
    <x v="0"/>
    <n v="0"/>
    <n v="0"/>
    <n v="0"/>
    <x v="1"/>
    <x v="1"/>
    <s v="Abnormal"/>
    <s v="Allowed"/>
    <m/>
    <m/>
    <m/>
  </r>
  <r>
    <x v="2"/>
    <x v="3"/>
    <x v="8"/>
    <x v="3"/>
    <n v="0.81620000000000004"/>
    <n v="0"/>
    <s v="UP"/>
    <n v="0.85"/>
    <n v="-2.0520820832833318E-2"/>
    <n v="4.5902054585511267E-3"/>
    <n v="7.1528610508022367E-2"/>
    <n v="-0.35106268824511966"/>
    <n v="0"/>
    <x v="635"/>
    <n v="0"/>
    <x v="0"/>
    <x v="0"/>
    <n v="0"/>
    <n v="0"/>
    <n v="0"/>
    <x v="1"/>
    <x v="0"/>
    <s v="Normal"/>
    <s v="Allowed"/>
    <m/>
    <m/>
    <m/>
  </r>
  <r>
    <x v="2"/>
    <x v="3"/>
    <x v="8"/>
    <x v="4"/>
    <n v="0.79779999999999995"/>
    <n v="0"/>
    <s v="UP"/>
    <n v="0.85"/>
    <n v="-2.2543494241607551E-2"/>
    <n v="4.5902054585511267E-3"/>
    <n v="7.1528610508022367E-2"/>
    <n v="-0.3793405115441949"/>
    <n v="0"/>
    <x v="330"/>
    <n v="0"/>
    <x v="0"/>
    <x v="0"/>
    <n v="0"/>
    <n v="0"/>
    <n v="0"/>
    <x v="1"/>
    <x v="0"/>
    <s v="Normal"/>
    <s v="Allowed"/>
    <m/>
    <m/>
    <m/>
  </r>
  <r>
    <x v="2"/>
    <x v="3"/>
    <x v="8"/>
    <x v="5"/>
    <n v="0.83589999999999998"/>
    <n v="1"/>
    <s v="UP"/>
    <n v="0.85"/>
    <n v="4.7756329907244953E-2"/>
    <n v="4.5902054585511267E-3"/>
    <n v="7.1528610508022367E-2"/>
    <n v="0.6034805393549828"/>
    <n v="-1"/>
    <x v="636"/>
    <n v="0"/>
    <x v="0"/>
    <x v="0"/>
    <n v="0"/>
    <n v="0"/>
    <n v="0"/>
    <x v="0"/>
    <x v="1"/>
    <s v="Normal"/>
    <s v="Allowed"/>
    <m/>
    <m/>
    <m/>
  </r>
  <r>
    <x v="2"/>
    <x v="3"/>
    <x v="8"/>
    <x v="6"/>
    <n v="0.83409999999999995"/>
    <n v="0"/>
    <s v="UP"/>
    <n v="0.85"/>
    <n v="-2.153367627706692E-3"/>
    <n v="4.5902054585511267E-3"/>
    <n v="7.1528610508022367E-2"/>
    <n v="-9.4277982451532266E-2"/>
    <n v="0"/>
    <x v="637"/>
    <n v="1"/>
    <x v="2"/>
    <x v="0"/>
    <n v="1"/>
    <n v="0"/>
    <n v="0"/>
    <x v="1"/>
    <x v="1"/>
    <s v="Normal"/>
    <s v="Allowed"/>
    <m/>
    <m/>
    <m/>
  </r>
  <r>
    <x v="2"/>
    <x v="3"/>
    <x v="8"/>
    <x v="7"/>
    <n v="0.81869999999999998"/>
    <n v="0"/>
    <s v="UP"/>
    <n v="0.85"/>
    <n v="-1.8463014027095041E-2"/>
    <n v="4.5902054585511267E-3"/>
    <n v="7.1528610508022367E-2"/>
    <n v="-0.32229368530877039"/>
    <n v="0"/>
    <x v="638"/>
    <n v="1"/>
    <x v="0"/>
    <x v="0"/>
    <n v="0"/>
    <n v="0"/>
    <n v="0"/>
    <x v="1"/>
    <x v="0"/>
    <s v="Normal"/>
    <s v="Allowed"/>
    <m/>
    <m/>
    <m/>
  </r>
  <r>
    <x v="2"/>
    <x v="3"/>
    <x v="8"/>
    <x v="8"/>
    <n v="0.82950000000000002"/>
    <n v="0"/>
    <s v="UP"/>
    <n v="0.85"/>
    <n v="1.319164529131554E-2"/>
    <n v="4.5902054585511267E-3"/>
    <n v="7.1528610508022367E-2"/>
    <n v="0.12025173943228924"/>
    <n v="0"/>
    <x v="639"/>
    <n v="1"/>
    <x v="0"/>
    <x v="0"/>
    <n v="0"/>
    <n v="0"/>
    <n v="0"/>
    <x v="0"/>
    <x v="0"/>
    <s v="Normal"/>
    <s v="Allowed"/>
    <m/>
    <m/>
    <m/>
  </r>
  <r>
    <x v="2"/>
    <x v="3"/>
    <x v="8"/>
    <x v="9"/>
    <n v="0.86629999999999996"/>
    <n v="0"/>
    <s v="UP"/>
    <n v="0.85"/>
    <n v="4.4364074743821508E-2"/>
    <n v="4.5902054585511267E-3"/>
    <n v="7.1528610508022367E-2"/>
    <n v="0.55605538822551992"/>
    <n v="-1"/>
    <x v="640"/>
    <n v="1"/>
    <x v="0"/>
    <x v="0"/>
    <n v="0"/>
    <n v="0"/>
    <n v="0"/>
    <x v="0"/>
    <x v="1"/>
    <s v="Normal"/>
    <s v="Allowed"/>
    <m/>
    <m/>
    <m/>
  </r>
  <r>
    <x v="2"/>
    <x v="3"/>
    <x v="8"/>
    <x v="10"/>
    <n v="0.85189999999999999"/>
    <n v="0"/>
    <s v="UP"/>
    <n v="0.85"/>
    <n v="-1.6622417176497709E-2"/>
    <n v="4.5902054585511267E-3"/>
    <n v="7.1528610508022367E-2"/>
    <n v="-0.29656136872209637"/>
    <n v="0"/>
    <x v="152"/>
    <n v="1"/>
    <x v="0"/>
    <x v="0"/>
    <n v="0"/>
    <n v="0"/>
    <n v="0"/>
    <x v="1"/>
    <x v="1"/>
    <s v="Normal"/>
    <s v="Allowed"/>
    <m/>
    <m/>
    <m/>
  </r>
  <r>
    <x v="2"/>
    <x v="3"/>
    <x v="8"/>
    <x v="11"/>
    <n v="0.872"/>
    <n v="0"/>
    <s v="UP"/>
    <n v="0.85"/>
    <n v="2.35943185819932E-2"/>
    <n v="4.5902054585511267E-3"/>
    <n v="7.1528610508022367E-2"/>
    <n v="0.26568547869821468"/>
    <n v="0"/>
    <x v="641"/>
    <n v="1"/>
    <x v="0"/>
    <x v="0"/>
    <n v="0"/>
    <n v="0"/>
    <n v="0"/>
    <x v="0"/>
    <x v="1"/>
    <s v="Normal"/>
    <s v="Allowed"/>
    <m/>
    <m/>
    <m/>
  </r>
  <r>
    <x v="2"/>
    <x v="3"/>
    <x v="8"/>
    <x v="12"/>
    <n v="0.876"/>
    <n v="0"/>
    <s v="UP"/>
    <n v="0.85"/>
    <n v="4.587155963302756E-3"/>
    <n v="4.5902054585511267E-3"/>
    <n v="7.1528610508022367E-2"/>
    <n v="-4.263322363893396E-5"/>
    <n v="0"/>
    <x v="300"/>
    <n v="1"/>
    <x v="0"/>
    <x v="0"/>
    <n v="0"/>
    <n v="0"/>
    <n v="0"/>
    <x v="1"/>
    <x v="1"/>
    <s v="Normal"/>
    <s v="Allowed"/>
    <m/>
    <m/>
    <m/>
  </r>
  <r>
    <x v="2"/>
    <x v="3"/>
    <x v="8"/>
    <x v="13"/>
    <n v="0.89400000000000002"/>
    <n v="0"/>
    <s v="UP"/>
    <n v="0.85"/>
    <n v="2.0547945205479472E-2"/>
    <n v="4.5902054585511267E-3"/>
    <n v="7.1528610508022367E-2"/>
    <n v="0.22309590013828923"/>
    <n v="0"/>
    <x v="642"/>
    <n v="1"/>
    <x v="0"/>
    <x v="0"/>
    <n v="0"/>
    <n v="0"/>
    <n v="0"/>
    <x v="0"/>
    <x v="1"/>
    <s v="Normal"/>
    <s v="Allowed"/>
    <m/>
    <m/>
    <m/>
  </r>
  <r>
    <x v="2"/>
    <x v="3"/>
    <x v="8"/>
    <x v="14"/>
    <n v="0.86199999999999999"/>
    <n v="0"/>
    <s v="UP"/>
    <n v="0.85"/>
    <n v="-3.5794183445190191E-2"/>
    <n v="4.5902054585511267E-3"/>
    <n v="7.1528610508022367E-2"/>
    <n v="-0.56459070876557804"/>
    <n v="1"/>
    <x v="643"/>
    <n v="1"/>
    <x v="0"/>
    <x v="0"/>
    <n v="0"/>
    <n v="0"/>
    <n v="0"/>
    <x v="1"/>
    <x v="1"/>
    <s v="Abnormal"/>
    <s v="Allowed"/>
    <m/>
    <m/>
    <m/>
  </r>
  <r>
    <x v="2"/>
    <x v="3"/>
    <x v="8"/>
    <x v="15"/>
    <n v="0.89600000000000002"/>
    <n v="0"/>
    <s v="UP"/>
    <n v="0.85"/>
    <n v="3.9443155452436228E-2"/>
    <n v="4.5902054585511267E-3"/>
    <n v="7.1528610508022367E-2"/>
    <n v="0.48725887090978975"/>
    <n v="0"/>
    <x v="644"/>
    <n v="1"/>
    <x v="0"/>
    <x v="0"/>
    <n v="0"/>
    <n v="0"/>
    <n v="0"/>
    <x v="0"/>
    <x v="1"/>
    <s v="Normal"/>
    <s v="Allowed"/>
    <m/>
    <m/>
    <m/>
  </r>
  <r>
    <x v="2"/>
    <x v="3"/>
    <x v="9"/>
    <x v="0"/>
    <n v="0.66320000000000001"/>
    <n v="0"/>
    <s v="UP"/>
    <n v="0.65"/>
    <n v="7.7673058173545778E-2"/>
    <n v="1.2057533289701232E-2"/>
    <n v="0.17981498891186962"/>
    <n v="0.36490575830696648"/>
    <n v="0"/>
    <x v="645"/>
    <n v="0"/>
    <x v="0"/>
    <x v="0"/>
    <n v="0"/>
    <n v="0"/>
    <n v="0"/>
    <x v="0"/>
    <x v="1"/>
    <s v="Normal"/>
    <s v="Allowed"/>
    <m/>
    <m/>
    <m/>
  </r>
  <r>
    <x v="2"/>
    <x v="3"/>
    <x v="9"/>
    <x v="1"/>
    <n v="0.55200000000000005"/>
    <n v="0"/>
    <s v="UP"/>
    <n v="0.65"/>
    <n v="-0.1676718938480096"/>
    <n v="1.2057533289701232E-2"/>
    <n v="0.17981498891186962"/>
    <n v="-0.99952416773108543"/>
    <n v="1"/>
    <x v="646"/>
    <n v="0"/>
    <x v="0"/>
    <x v="1"/>
    <n v="0"/>
    <n v="1"/>
    <n v="1"/>
    <x v="1"/>
    <x v="0"/>
    <s v="Abnormal"/>
    <s v="Allowed"/>
    <m/>
    <m/>
    <m/>
  </r>
  <r>
    <x v="2"/>
    <x v="3"/>
    <x v="9"/>
    <x v="2"/>
    <n v="0.61609999999999998"/>
    <n v="0"/>
    <s v="UP"/>
    <n v="0.65"/>
    <n v="0.116123188405797"/>
    <n v="1.2057533289701232E-2"/>
    <n v="0.17981498891186962"/>
    <n v="0.57873737748914866"/>
    <n v="-1"/>
    <x v="647"/>
    <n v="0"/>
    <x v="0"/>
    <x v="0"/>
    <n v="0"/>
    <n v="0"/>
    <n v="0"/>
    <x v="0"/>
    <x v="0"/>
    <s v="Normal"/>
    <s v="Allowed"/>
    <m/>
    <m/>
    <m/>
  </r>
  <r>
    <x v="2"/>
    <x v="3"/>
    <x v="9"/>
    <x v="3"/>
    <n v="0.61109999999999998"/>
    <n v="1"/>
    <s v="UP"/>
    <n v="0.65"/>
    <n v="-8.1155656549261566E-3"/>
    <n v="1.2057533289701232E-2"/>
    <n v="0.17981498891186962"/>
    <n v="-0.11218808324435384"/>
    <n v="0"/>
    <x v="648"/>
    <n v="0"/>
    <x v="0"/>
    <x v="0"/>
    <n v="0"/>
    <n v="0"/>
    <n v="0"/>
    <x v="1"/>
    <x v="0"/>
    <s v="Normal"/>
    <s v="Allowed"/>
    <m/>
    <m/>
    <m/>
  </r>
  <r>
    <x v="2"/>
    <x v="3"/>
    <x v="9"/>
    <x v="4"/>
    <n v="0.61109999999999998"/>
    <n v="1"/>
    <s v="UP"/>
    <n v="0.65"/>
    <n v="0"/>
    <n v="1.2057533289701232E-2"/>
    <n v="0.17981498891186962"/>
    <n v="-6.7055218047539042E-2"/>
    <n v="0"/>
    <x v="648"/>
    <n v="1"/>
    <x v="2"/>
    <x v="0"/>
    <n v="1"/>
    <n v="0"/>
    <n v="0"/>
    <x v="1"/>
    <x v="0"/>
    <s v="Normal"/>
    <s v="Allowed"/>
    <m/>
    <m/>
    <m/>
  </r>
  <r>
    <x v="2"/>
    <x v="3"/>
    <x v="9"/>
    <x v="5"/>
    <n v="0.58330000000000004"/>
    <n v="1"/>
    <s v="UP"/>
    <n v="0.65"/>
    <n v="-4.5491736213385592E-2"/>
    <n v="1.2057533289701232E-2"/>
    <n v="0.17981498891186962"/>
    <n v="-0.32004712093991616"/>
    <n v="0"/>
    <x v="649"/>
    <n v="2"/>
    <x v="2"/>
    <x v="0"/>
    <n v="1"/>
    <n v="0"/>
    <n v="0"/>
    <x v="1"/>
    <x v="0"/>
    <s v="Normal"/>
    <s v="Allowed"/>
    <m/>
    <m/>
    <m/>
  </r>
  <r>
    <x v="2"/>
    <x v="3"/>
    <x v="9"/>
    <x v="6"/>
    <n v="0.6"/>
    <n v="0"/>
    <s v="UP"/>
    <n v="0.65"/>
    <n v="2.8630207440425059E-2"/>
    <n v="1.2057533289701232E-2"/>
    <n v="0.17981498891186962"/>
    <n v="9.2165142911675588E-2"/>
    <n v="0"/>
    <x v="650"/>
    <n v="3"/>
    <x v="1"/>
    <x v="0"/>
    <n v="1"/>
    <n v="0"/>
    <n v="0"/>
    <x v="0"/>
    <x v="0"/>
    <s v="Normal"/>
    <s v="Allowed"/>
    <m/>
    <m/>
    <m/>
  </r>
  <r>
    <x v="2"/>
    <x v="3"/>
    <x v="9"/>
    <x v="7"/>
    <n v="0.63290000000000002"/>
    <n v="0"/>
    <s v="UP"/>
    <n v="0.65"/>
    <n v="5.4833333333333401E-2"/>
    <n v="1.2057533289701232E-2"/>
    <n v="0.17981498891186962"/>
    <n v="0.23788784406953592"/>
    <n v="0"/>
    <x v="651"/>
    <n v="3"/>
    <x v="0"/>
    <x v="0"/>
    <n v="0"/>
    <n v="0"/>
    <n v="0"/>
    <x v="0"/>
    <x v="0"/>
    <s v="Normal"/>
    <s v="Allowed"/>
    <m/>
    <m/>
    <m/>
  </r>
  <r>
    <x v="2"/>
    <x v="3"/>
    <x v="9"/>
    <x v="8"/>
    <n v="0.62029999999999996"/>
    <n v="0"/>
    <s v="UP"/>
    <n v="0.65"/>
    <n v="-1.9908358350450399E-2"/>
    <n v="1.2057533289701232E-2"/>
    <n v="0.17981498891186962"/>
    <n v="-0.17777100693101094"/>
    <n v="0"/>
    <x v="652"/>
    <n v="3"/>
    <x v="0"/>
    <x v="0"/>
    <n v="0"/>
    <n v="0"/>
    <n v="0"/>
    <x v="1"/>
    <x v="0"/>
    <s v="Normal"/>
    <s v="Allowed"/>
    <m/>
    <m/>
    <m/>
  </r>
  <r>
    <x v="2"/>
    <x v="3"/>
    <x v="9"/>
    <x v="9"/>
    <n v="0.6179"/>
    <n v="0"/>
    <s v="UP"/>
    <n v="0.65"/>
    <n v="-3.8690955989036878E-3"/>
    <n v="1.2057533289701232E-2"/>
    <n v="0.17981498891186962"/>
    <n v="-8.8572309711126646E-2"/>
    <n v="0"/>
    <x v="653"/>
    <n v="3"/>
    <x v="0"/>
    <x v="0"/>
    <n v="0"/>
    <n v="0"/>
    <n v="0"/>
    <x v="1"/>
    <x v="0"/>
    <s v="Normal"/>
    <s v="Allowed"/>
    <m/>
    <m/>
    <m/>
  </r>
  <r>
    <x v="2"/>
    <x v="3"/>
    <x v="9"/>
    <x v="10"/>
    <n v="0.68330000000000002"/>
    <n v="0"/>
    <s v="UP"/>
    <n v="0.65"/>
    <n v="0.10584236931542319"/>
    <n v="1.2057533289701232E-2"/>
    <n v="0.17981498891186962"/>
    <n v="0.52156294974768491"/>
    <n v="-1"/>
    <x v="654"/>
    <n v="3"/>
    <x v="0"/>
    <x v="0"/>
    <n v="0"/>
    <n v="0"/>
    <n v="0"/>
    <x v="0"/>
    <x v="1"/>
    <s v="Normal"/>
    <s v="Allowed"/>
    <m/>
    <m/>
    <m/>
  </r>
  <r>
    <x v="2"/>
    <x v="3"/>
    <x v="9"/>
    <x v="11"/>
    <n v="0.72499999999999998"/>
    <n v="0"/>
    <s v="UP"/>
    <n v="0.65"/>
    <n v="6.1027367188643288E-2"/>
    <n v="1.2057533289701232E-2"/>
    <n v="0.17981498891186962"/>
    <n v="0.27233454894543307"/>
    <n v="0"/>
    <x v="655"/>
    <n v="3"/>
    <x v="0"/>
    <x v="0"/>
    <n v="0"/>
    <n v="0"/>
    <n v="0"/>
    <x v="0"/>
    <x v="1"/>
    <s v="Normal"/>
    <s v="Allowed"/>
    <m/>
    <m/>
    <m/>
  </r>
  <r>
    <x v="2"/>
    <x v="3"/>
    <x v="9"/>
    <x v="12"/>
    <n v="0.70199999999999996"/>
    <n v="0"/>
    <s v="UP"/>
    <n v="0.65"/>
    <n v="-3.1724137931034513E-2"/>
    <n v="1.2057533289701232E-2"/>
    <n v="0.17981498891186962"/>
    <n v="-0.24348176692986304"/>
    <n v="0"/>
    <x v="656"/>
    <n v="3"/>
    <x v="0"/>
    <x v="0"/>
    <n v="0"/>
    <n v="0"/>
    <n v="0"/>
    <x v="1"/>
    <x v="1"/>
    <s v="Normal"/>
    <s v="Allowed"/>
    <m/>
    <m/>
    <m/>
  </r>
  <r>
    <x v="2"/>
    <x v="3"/>
    <x v="9"/>
    <x v="13"/>
    <n v="0.68300000000000005"/>
    <n v="0"/>
    <s v="UP"/>
    <n v="0.65"/>
    <n v="-2.706552706552693E-2"/>
    <n v="1.2057533289701232E-2"/>
    <n v="0.17981498891186962"/>
    <n v="-0.21757396639722307"/>
    <n v="0"/>
    <x v="657"/>
    <n v="3"/>
    <x v="0"/>
    <x v="0"/>
    <n v="0"/>
    <n v="0"/>
    <n v="0"/>
    <x v="1"/>
    <x v="1"/>
    <s v="Normal"/>
    <s v="Allowed"/>
    <m/>
    <m/>
    <m/>
  </r>
  <r>
    <x v="2"/>
    <x v="3"/>
    <x v="9"/>
    <x v="14"/>
    <n v="0.69499999999999995"/>
    <n v="0"/>
    <s v="UP"/>
    <n v="0.65"/>
    <n v="1.756954612005842E-2"/>
    <n v="1.2057533289701232E-2"/>
    <n v="0.17981498891186962"/>
    <n v="3.0653800685429618E-2"/>
    <n v="0"/>
    <x v="658"/>
    <n v="3"/>
    <x v="0"/>
    <x v="0"/>
    <n v="0"/>
    <n v="0"/>
    <n v="0"/>
    <x v="0"/>
    <x v="1"/>
    <s v="Normal"/>
    <s v="Allowed"/>
    <m/>
    <m/>
    <m/>
  </r>
  <r>
    <x v="2"/>
    <x v="3"/>
    <x v="9"/>
    <x v="15"/>
    <n v="0.73499999999999999"/>
    <n v="0"/>
    <s v="UP"/>
    <n v="0.65"/>
    <n v="5.7553956834532433E-2"/>
    <n v="1.2057533289701232E-2"/>
    <n v="0.17981498891186962"/>
    <n v="0.25301797041585766"/>
    <n v="0"/>
    <x v="659"/>
    <n v="3"/>
    <x v="0"/>
    <x v="0"/>
    <n v="0"/>
    <n v="0"/>
    <n v="0"/>
    <x v="0"/>
    <x v="1"/>
    <s v="Normal"/>
    <s v="Allowed"/>
    <m/>
    <m/>
    <m/>
  </r>
  <r>
    <x v="2"/>
    <x v="3"/>
    <x v="10"/>
    <x v="0"/>
    <n v="0.78490000000000004"/>
    <n v="1"/>
    <s v="UP"/>
    <n v="0.85"/>
    <n v="-6.4815918026927197E-2"/>
    <n v="1.8209321594669165E-2"/>
    <n v="0.22834931756330515"/>
    <n v="-0.36358873548452503"/>
    <n v="0"/>
    <x v="660"/>
    <n v="0"/>
    <x v="0"/>
    <x v="0"/>
    <n v="0"/>
    <n v="0"/>
    <n v="0"/>
    <x v="1"/>
    <x v="0"/>
    <s v="Normal"/>
    <s v="Allowed"/>
    <m/>
    <m/>
    <m/>
  </r>
  <r>
    <x v="2"/>
    <x v="3"/>
    <x v="10"/>
    <x v="1"/>
    <n v="0.74380000000000002"/>
    <n v="0"/>
    <s v="UP"/>
    <n v="0.85"/>
    <n v="-5.2363358389603799E-2"/>
    <n v="1.8209321594669165E-2"/>
    <n v="0.22834931756330515"/>
    <n v="-0.30905579546874778"/>
    <n v="0"/>
    <x v="661"/>
    <n v="1"/>
    <x v="2"/>
    <x v="0"/>
    <n v="1"/>
    <n v="0"/>
    <n v="0"/>
    <x v="1"/>
    <x v="0"/>
    <s v="Normal"/>
    <s v="Allowed"/>
    <m/>
    <m/>
    <m/>
  </r>
  <r>
    <x v="2"/>
    <x v="3"/>
    <x v="10"/>
    <x v="2"/>
    <n v="0.84950000000000003"/>
    <n v="0"/>
    <s v="UP"/>
    <n v="0.85"/>
    <n v="0.14210809357354129"/>
    <n v="1.8209321594669165E-2"/>
    <n v="0.22834931756330515"/>
    <n v="0.54258437599457132"/>
    <n v="-1"/>
    <x v="662"/>
    <n v="1"/>
    <x v="0"/>
    <x v="0"/>
    <n v="0"/>
    <n v="0"/>
    <n v="0"/>
    <x v="0"/>
    <x v="1"/>
    <s v="Normal"/>
    <s v="Allowed"/>
    <m/>
    <m/>
    <m/>
  </r>
  <r>
    <x v="2"/>
    <x v="3"/>
    <x v="10"/>
    <x v="3"/>
    <n v="0.76149999999999995"/>
    <n v="1"/>
    <s v="UP"/>
    <n v="0.85"/>
    <n v="-0.103590347263096"/>
    <n v="1.8209321594669165E-2"/>
    <n v="0.22834931756330515"/>
    <n v="-0.53339186715107534"/>
    <n v="1"/>
    <x v="663"/>
    <n v="1"/>
    <x v="0"/>
    <x v="1"/>
    <n v="0"/>
    <n v="1"/>
    <n v="1"/>
    <x v="1"/>
    <x v="0"/>
    <s v="Abnormal"/>
    <s v="Allowed"/>
    <m/>
    <m/>
    <m/>
  </r>
  <r>
    <x v="2"/>
    <x v="3"/>
    <x v="10"/>
    <x v="4"/>
    <n v="0.85719999999999996"/>
    <n v="0"/>
    <s v="UP"/>
    <n v="0.85"/>
    <n v="0.12567301378857521"/>
    <n v="1.8209321594669165E-2"/>
    <n v="0.22834931756330515"/>
    <n v="0.4706109628031358"/>
    <n v="0"/>
    <x v="664"/>
    <n v="2"/>
    <x v="1"/>
    <x v="0"/>
    <n v="1"/>
    <n v="0"/>
    <n v="0"/>
    <x v="0"/>
    <x v="1"/>
    <s v="Normal"/>
    <s v="Allowed"/>
    <m/>
    <m/>
    <m/>
  </r>
  <r>
    <x v="2"/>
    <x v="3"/>
    <x v="10"/>
    <x v="5"/>
    <n v="0.80300000000000005"/>
    <n v="0"/>
    <s v="UP"/>
    <n v="0.85"/>
    <n v="-6.3229118058795983E-2"/>
    <n v="1.8209321594669165E-2"/>
    <n v="0.22834931756330515"/>
    <n v="-0.35663973303046115"/>
    <n v="0"/>
    <x v="665"/>
    <n v="2"/>
    <x v="0"/>
    <x v="0"/>
    <n v="0"/>
    <n v="0"/>
    <n v="0"/>
    <x v="1"/>
    <x v="0"/>
    <s v="Normal"/>
    <s v="Allowed"/>
    <m/>
    <m/>
    <m/>
  </r>
  <r>
    <x v="2"/>
    <x v="3"/>
    <x v="10"/>
    <x v="6"/>
    <n v="0.78900000000000003"/>
    <n v="0"/>
    <s v="UP"/>
    <n v="0.85"/>
    <n v="-1.7434620174346219E-2"/>
    <n v="1.8209321594669165E-2"/>
    <n v="0.22834931756330515"/>
    <n v="-0.15609392727496912"/>
    <n v="0"/>
    <x v="666"/>
    <n v="2"/>
    <x v="0"/>
    <x v="0"/>
    <n v="0"/>
    <n v="0"/>
    <n v="0"/>
    <x v="1"/>
    <x v="0"/>
    <s v="Normal"/>
    <s v="Allowed"/>
    <m/>
    <m/>
    <m/>
  </r>
  <r>
    <x v="2"/>
    <x v="3"/>
    <x v="10"/>
    <x v="7"/>
    <n v="0.81410000000000005"/>
    <n v="0"/>
    <s v="UP"/>
    <n v="0.85"/>
    <n v="3.1812420785804832E-2"/>
    <n v="1.8209321594669165E-2"/>
    <n v="0.22834931756330515"/>
    <n v="5.9571446660288296E-2"/>
    <n v="0"/>
    <x v="667"/>
    <n v="2"/>
    <x v="0"/>
    <x v="0"/>
    <n v="0"/>
    <n v="0"/>
    <n v="0"/>
    <x v="0"/>
    <x v="0"/>
    <s v="Normal"/>
    <s v="Allowed"/>
    <m/>
    <m/>
    <m/>
  </r>
  <r>
    <x v="2"/>
    <x v="3"/>
    <x v="10"/>
    <x v="8"/>
    <n v="0.79879999999999995"/>
    <n v="0"/>
    <s v="UP"/>
    <n v="0.85"/>
    <n v="-1.8793759980346509E-2"/>
    <n v="1.8209321594669165E-2"/>
    <n v="0.22834931756330515"/>
    <n v="-0.16204594771673592"/>
    <n v="0"/>
    <x v="668"/>
    <n v="2"/>
    <x v="0"/>
    <x v="0"/>
    <n v="0"/>
    <n v="0"/>
    <n v="0"/>
    <x v="1"/>
    <x v="0"/>
    <s v="Normal"/>
    <s v="Allowed"/>
    <m/>
    <m/>
    <m/>
  </r>
  <r>
    <x v="2"/>
    <x v="3"/>
    <x v="10"/>
    <x v="9"/>
    <n v="0.85950000000000004"/>
    <n v="0"/>
    <s v="UP"/>
    <n v="0.85"/>
    <n v="7.5988983475212935E-2"/>
    <n v="1.8209321594669165E-2"/>
    <n v="0.22834931756330515"/>
    <n v="0.25303190084868787"/>
    <n v="0"/>
    <x v="669"/>
    <n v="2"/>
    <x v="0"/>
    <x v="0"/>
    <n v="0"/>
    <n v="0"/>
    <n v="0"/>
    <x v="0"/>
    <x v="1"/>
    <s v="Normal"/>
    <s v="Allowed"/>
    <m/>
    <m/>
    <m/>
  </r>
  <r>
    <x v="2"/>
    <x v="3"/>
    <x v="10"/>
    <x v="10"/>
    <n v="0.86560000000000004"/>
    <n v="0"/>
    <s v="UP"/>
    <n v="0.85"/>
    <n v="7.0971495055264623E-3"/>
    <n v="1.8209321594669165E-2"/>
    <n v="0.22834931756330515"/>
    <n v="-4.8663040501805234E-2"/>
    <n v="0"/>
    <x v="670"/>
    <n v="2"/>
    <x v="0"/>
    <x v="0"/>
    <n v="0"/>
    <n v="0"/>
    <n v="0"/>
    <x v="1"/>
    <x v="1"/>
    <s v="Normal"/>
    <s v="Allowed"/>
    <m/>
    <m/>
    <m/>
  </r>
  <r>
    <x v="2"/>
    <x v="3"/>
    <x v="10"/>
    <x v="11"/>
    <n v="0.76"/>
    <n v="0"/>
    <s v="UP"/>
    <n v="0.85"/>
    <n v="-0.12199630314232909"/>
    <n v="1.8209321594669165E-2"/>
    <n v="0.22834931756330515"/>
    <n v="-0.61399625027619864"/>
    <n v="1"/>
    <x v="472"/>
    <n v="2"/>
    <x v="0"/>
    <x v="1"/>
    <n v="0"/>
    <n v="1"/>
    <n v="1"/>
    <x v="1"/>
    <x v="0"/>
    <s v="Abnormal"/>
    <s v="Allowed"/>
    <m/>
    <m/>
    <m/>
  </r>
  <r>
    <x v="2"/>
    <x v="3"/>
    <x v="10"/>
    <x v="12"/>
    <n v="0.76100000000000001"/>
    <n v="0"/>
    <s v="UP"/>
    <n v="0.85"/>
    <n v="1.315789473684212E-3"/>
    <n v="1.8209321594669165E-2"/>
    <n v="0.22834931756330515"/>
    <n v="-7.3981093095675965E-2"/>
    <n v="0"/>
    <x v="341"/>
    <n v="2"/>
    <x v="0"/>
    <x v="0"/>
    <n v="0"/>
    <n v="0"/>
    <n v="0"/>
    <x v="1"/>
    <x v="0"/>
    <s v="Normal"/>
    <s v="Allowed"/>
    <m/>
    <m/>
    <m/>
  </r>
  <r>
    <x v="2"/>
    <x v="3"/>
    <x v="10"/>
    <x v="13"/>
    <n v="0.83799999999999997"/>
    <n v="0"/>
    <s v="UP"/>
    <n v="0.85"/>
    <n v="0.1011826544021024"/>
    <n v="1.8209321594669165E-2"/>
    <n v="0.22834931756330515"/>
    <n v="0.36336142228421853"/>
    <n v="0"/>
    <x v="671"/>
    <n v="2"/>
    <x v="0"/>
    <x v="0"/>
    <n v="0"/>
    <n v="0"/>
    <n v="0"/>
    <x v="0"/>
    <x v="1"/>
    <s v="Normal"/>
    <s v="Allowed"/>
    <m/>
    <m/>
    <m/>
  </r>
  <r>
    <x v="2"/>
    <x v="3"/>
    <x v="10"/>
    <x v="14"/>
    <n v="0.874"/>
    <n v="0"/>
    <s v="UP"/>
    <n v="0.85"/>
    <n v="4.295942720763727E-2"/>
    <n v="1.8209321594669165E-2"/>
    <n v="0.22834931756330515"/>
    <n v="0.10838703560437245"/>
    <n v="0"/>
    <x v="672"/>
    <n v="2"/>
    <x v="0"/>
    <x v="0"/>
    <n v="0"/>
    <n v="0"/>
    <n v="0"/>
    <x v="0"/>
    <x v="1"/>
    <s v="Normal"/>
    <s v="Allowed"/>
    <m/>
    <m/>
    <m/>
  </r>
  <r>
    <x v="2"/>
    <x v="3"/>
    <x v="10"/>
    <x v="15"/>
    <n v="0.874"/>
    <n v="0"/>
    <s v="UP"/>
    <n v="0.85"/>
    <n v="0"/>
    <n v="1.8209321594669165E-2"/>
    <n v="0.22834931756330515"/>
    <n v="-7.9743271357143444E-2"/>
    <n v="0"/>
    <x v="672"/>
    <n v="2"/>
    <x v="0"/>
    <x v="0"/>
    <n v="0"/>
    <n v="0"/>
    <n v="0"/>
    <x v="1"/>
    <x v="1"/>
    <s v="Normal"/>
    <s v="Allowed"/>
    <m/>
    <m/>
    <m/>
  </r>
  <r>
    <x v="2"/>
    <x v="3"/>
    <x v="11"/>
    <x v="0"/>
    <n v="0.70109999999999995"/>
    <n v="0"/>
    <s v="UP"/>
    <n v="0.7"/>
    <n v="9.0527298180121188E-2"/>
    <n v="1.9288787744816144E-2"/>
    <n v="0.27585788879837708"/>
    <n v="0.25824351351928476"/>
    <n v="0"/>
    <x v="673"/>
    <n v="0"/>
    <x v="0"/>
    <x v="0"/>
    <n v="0"/>
    <n v="0"/>
    <n v="0"/>
    <x v="0"/>
    <x v="1"/>
    <s v="Normal"/>
    <s v="Allowed"/>
    <m/>
    <m/>
    <m/>
  </r>
  <r>
    <x v="2"/>
    <x v="3"/>
    <x v="11"/>
    <x v="1"/>
    <n v="0.57889999999999997"/>
    <n v="0"/>
    <s v="UP"/>
    <n v="0.7"/>
    <n v="-0.1742975324490087"/>
    <n v="1.9288787744816144E-2"/>
    <n v="0.27585788879837708"/>
    <n v="-0.70176104456202792"/>
    <n v="1"/>
    <x v="674"/>
    <n v="0"/>
    <x v="0"/>
    <x v="1"/>
    <n v="0"/>
    <n v="1"/>
    <n v="1"/>
    <x v="1"/>
    <x v="0"/>
    <s v="Abnormal"/>
    <s v="Allowed"/>
    <m/>
    <m/>
    <m/>
  </r>
  <r>
    <x v="2"/>
    <x v="3"/>
    <x v="11"/>
    <x v="2"/>
    <n v="0.64549999999999996"/>
    <n v="0"/>
    <s v="UP"/>
    <n v="0.7"/>
    <n v="0.1150457764726205"/>
    <n v="1.9288787744816144E-2"/>
    <n v="0.27585788879837708"/>
    <n v="0.3471243441502323"/>
    <n v="0"/>
    <x v="675"/>
    <n v="0"/>
    <x v="0"/>
    <x v="0"/>
    <n v="0"/>
    <n v="0"/>
    <n v="0"/>
    <x v="0"/>
    <x v="0"/>
    <s v="Normal"/>
    <s v="Allowed"/>
    <m/>
    <m/>
    <m/>
  </r>
  <r>
    <x v="2"/>
    <x v="3"/>
    <x v="11"/>
    <x v="3"/>
    <n v="0.70589999999999997"/>
    <n v="0"/>
    <s v="UP"/>
    <n v="0.7"/>
    <n v="9.3570875290472519E-2"/>
    <n v="1.9288787744816144E-2"/>
    <n v="0.27585788879837708"/>
    <n v="0.26927664773055926"/>
    <n v="0"/>
    <x v="676"/>
    <n v="0"/>
    <x v="0"/>
    <x v="0"/>
    <n v="0"/>
    <n v="0"/>
    <n v="0"/>
    <x v="0"/>
    <x v="1"/>
    <s v="Normal"/>
    <s v="Allowed"/>
    <m/>
    <m/>
    <m/>
  </r>
  <r>
    <x v="2"/>
    <x v="3"/>
    <x v="11"/>
    <x v="4"/>
    <n v="0.65739999999999998"/>
    <n v="0"/>
    <s v="UP"/>
    <n v="0.7"/>
    <n v="-6.8706615667941617E-2"/>
    <n v="1.9288787744816144E-2"/>
    <n v="0.27585788879837708"/>
    <n v="-0.31898817103277799"/>
    <n v="0"/>
    <x v="677"/>
    <n v="0"/>
    <x v="0"/>
    <x v="0"/>
    <n v="0"/>
    <n v="0"/>
    <n v="0"/>
    <x v="1"/>
    <x v="0"/>
    <s v="Normal"/>
    <s v="Allowed"/>
    <m/>
    <m/>
    <m/>
  </r>
  <r>
    <x v="2"/>
    <x v="3"/>
    <x v="11"/>
    <x v="5"/>
    <n v="0.61419999999999997"/>
    <n v="0"/>
    <s v="UP"/>
    <n v="0.7"/>
    <n v="-6.57134164891999E-2"/>
    <n v="1.9288787744816144E-2"/>
    <n v="0.27585788879837708"/>
    <n v="-0.30813765959089051"/>
    <n v="0"/>
    <x v="678"/>
    <n v="0"/>
    <x v="0"/>
    <x v="0"/>
    <n v="0"/>
    <n v="0"/>
    <n v="0"/>
    <x v="1"/>
    <x v="0"/>
    <s v="Normal"/>
    <s v="Allowed"/>
    <m/>
    <m/>
    <m/>
  </r>
  <r>
    <x v="2"/>
    <x v="3"/>
    <x v="11"/>
    <x v="6"/>
    <n v="0.73019999999999996"/>
    <n v="0"/>
    <s v="UP"/>
    <n v="0.7"/>
    <n v="0.18886356235753829"/>
    <n v="1.9288787744816144E-2"/>
    <n v="0.27585788879837708"/>
    <n v="0.61471787285613333"/>
    <n v="-1"/>
    <x v="679"/>
    <n v="0"/>
    <x v="0"/>
    <x v="0"/>
    <n v="0"/>
    <n v="0"/>
    <n v="0"/>
    <x v="0"/>
    <x v="1"/>
    <s v="Normal"/>
    <s v="Allowed"/>
    <m/>
    <m/>
    <m/>
  </r>
  <r>
    <x v="2"/>
    <x v="3"/>
    <x v="11"/>
    <x v="7"/>
    <n v="0.76160000000000005"/>
    <n v="0"/>
    <s v="UP"/>
    <n v="0.7"/>
    <n v="4.3001917282936307E-2"/>
    <n v="1.9288787744816144E-2"/>
    <n v="0.27585788879837708"/>
    <n v="8.5961397157838584E-2"/>
    <n v="0"/>
    <x v="680"/>
    <n v="0"/>
    <x v="0"/>
    <x v="0"/>
    <n v="0"/>
    <n v="0"/>
    <n v="0"/>
    <x v="0"/>
    <x v="1"/>
    <s v="Normal"/>
    <s v="Allowed"/>
    <m/>
    <m/>
    <m/>
  </r>
  <r>
    <x v="2"/>
    <x v="3"/>
    <x v="11"/>
    <x v="8"/>
    <n v="0.75"/>
    <n v="0"/>
    <s v="UP"/>
    <n v="0.7"/>
    <n v="-1.5231092436974861E-2"/>
    <n v="1.9288787744816144E-2"/>
    <n v="0.27585788879837708"/>
    <n v="-0.12513646186504884"/>
    <n v="0"/>
    <x v="681"/>
    <n v="0"/>
    <x v="0"/>
    <x v="0"/>
    <n v="0"/>
    <n v="0"/>
    <n v="0"/>
    <x v="1"/>
    <x v="1"/>
    <s v="Normal"/>
    <s v="Allowed"/>
    <m/>
    <m/>
    <m/>
  </r>
  <r>
    <x v="2"/>
    <x v="3"/>
    <x v="11"/>
    <x v="9"/>
    <n v="0.71899999999999997"/>
    <n v="0"/>
    <s v="UP"/>
    <n v="0.7"/>
    <n v="-4.1333333333333368E-2"/>
    <n v="1.9288787744816144E-2"/>
    <n v="0.27585788879837708"/>
    <n v="-0.21975851893239809"/>
    <n v="0"/>
    <x v="354"/>
    <n v="0"/>
    <x v="0"/>
    <x v="0"/>
    <n v="0"/>
    <n v="0"/>
    <n v="0"/>
    <x v="1"/>
    <x v="1"/>
    <s v="Normal"/>
    <s v="Allowed"/>
    <m/>
    <m/>
    <m/>
  </r>
  <r>
    <x v="2"/>
    <x v="3"/>
    <x v="11"/>
    <x v="10"/>
    <n v="0.8034"/>
    <n v="0"/>
    <s v="UP"/>
    <n v="0.7"/>
    <n v="0.1173852573018081"/>
    <n v="1.9288787744816144E-2"/>
    <n v="0.27585788879837708"/>
    <n v="0.35560509066568724"/>
    <n v="0"/>
    <x v="682"/>
    <n v="0"/>
    <x v="0"/>
    <x v="0"/>
    <n v="0"/>
    <n v="0"/>
    <n v="0"/>
    <x v="0"/>
    <x v="1"/>
    <s v="Normal"/>
    <s v="Allowed"/>
    <m/>
    <m/>
    <m/>
  </r>
  <r>
    <x v="2"/>
    <x v="3"/>
    <x v="11"/>
    <x v="11"/>
    <n v="0.79900000000000004"/>
    <n v="0"/>
    <s v="UP"/>
    <n v="0.7"/>
    <n v="-5.4767239233258144E-3"/>
    <n v="1.9288787744816144E-2"/>
    <n v="0.27585788879837708"/>
    <n v="-8.9776340187403256E-2"/>
    <n v="0"/>
    <x v="683"/>
    <n v="0"/>
    <x v="0"/>
    <x v="0"/>
    <n v="0"/>
    <n v="0"/>
    <n v="0"/>
    <x v="1"/>
    <x v="1"/>
    <s v="Normal"/>
    <s v="Allowed"/>
    <m/>
    <m/>
    <m/>
  </r>
  <r>
    <x v="2"/>
    <x v="3"/>
    <x v="11"/>
    <x v="12"/>
    <n v="0.78300000000000003"/>
    <n v="0"/>
    <s v="UP"/>
    <n v="0.7"/>
    <n v="-2.0025031289111411E-2"/>
    <n v="1.9288787744816144E-2"/>
    <n v="0.27585788879837708"/>
    <n v="-0.14251475353913767"/>
    <n v="0"/>
    <x v="517"/>
    <n v="0"/>
    <x v="0"/>
    <x v="0"/>
    <n v="0"/>
    <n v="0"/>
    <n v="0"/>
    <x v="1"/>
    <x v="1"/>
    <s v="Normal"/>
    <s v="Allowed"/>
    <m/>
    <m/>
    <m/>
  </r>
  <r>
    <x v="2"/>
    <x v="3"/>
    <x v="11"/>
    <x v="13"/>
    <n v="0.71199999999999997"/>
    <n v="0"/>
    <s v="UP"/>
    <n v="0.7"/>
    <n v="-9.0676883780332132E-2"/>
    <n v="1.9288787744816144E-2"/>
    <n v="0.27585788879837708"/>
    <n v="-0.39863159978550239"/>
    <n v="0"/>
    <x v="684"/>
    <n v="0"/>
    <x v="0"/>
    <x v="0"/>
    <n v="0"/>
    <n v="0"/>
    <n v="0"/>
    <x v="1"/>
    <x v="1"/>
    <s v="Normal"/>
    <s v="Allowed"/>
    <m/>
    <m/>
    <m/>
  </r>
  <r>
    <x v="2"/>
    <x v="3"/>
    <x v="11"/>
    <x v="14"/>
    <n v="0.81699999999999995"/>
    <n v="0"/>
    <s v="UP"/>
    <n v="0.7"/>
    <n v="0.14747191011235949"/>
    <n v="1.9288787744816144E-2"/>
    <n v="0.27585788879837708"/>
    <n v="0.46467085978908379"/>
    <n v="0"/>
    <x v="685"/>
    <n v="0"/>
    <x v="0"/>
    <x v="0"/>
    <n v="0"/>
    <n v="0"/>
    <n v="0"/>
    <x v="0"/>
    <x v="1"/>
    <s v="Normal"/>
    <s v="Allowed"/>
    <m/>
    <m/>
    <m/>
  </r>
  <r>
    <x v="2"/>
    <x v="3"/>
    <x v="11"/>
    <x v="15"/>
    <n v="0.753"/>
    <n v="0"/>
    <s v="UP"/>
    <n v="0.7"/>
    <n v="-7.8335373317013401E-2"/>
    <n v="1.9288787744816144E-2"/>
    <n v="0.27585788879837708"/>
    <n v="-0.35389294642642055"/>
    <n v="0"/>
    <x v="686"/>
    <n v="0"/>
    <x v="0"/>
    <x v="0"/>
    <n v="0"/>
    <n v="0"/>
    <n v="0"/>
    <x v="1"/>
    <x v="1"/>
    <s v="Normal"/>
    <s v="Allowed"/>
    <m/>
    <m/>
    <m/>
  </r>
  <r>
    <x v="0"/>
    <x v="4"/>
    <x v="0"/>
    <x v="7"/>
    <n v="0.42857142857142849"/>
    <n v="0"/>
    <s v="DOWN"/>
    <n v="0.27"/>
    <n v="-3.57142857142854E-2"/>
    <n v="1.2504550363164104E-2"/>
    <n v="5.3924507863027986E-2"/>
    <n v="-0.89419149081394889"/>
    <n v="1"/>
    <x v="687"/>
    <n v="0"/>
    <x v="0"/>
    <x v="1"/>
    <n v="0"/>
    <n v="1"/>
    <n v="1"/>
    <x v="1"/>
    <x v="0"/>
    <s v="Abnormal"/>
    <s v="Allowed"/>
    <m/>
    <m/>
    <m/>
  </r>
  <r>
    <x v="0"/>
    <x v="4"/>
    <x v="0"/>
    <x v="8"/>
    <n v="0.4"/>
    <n v="0"/>
    <s v="DOWN"/>
    <n v="0.27"/>
    <n v="6.6666666666666444E-2"/>
    <n v="1.2504550363164104E-2"/>
    <n v="5.3924507863027986E-2"/>
    <n v="1.0044063163465098"/>
    <n v="-1"/>
    <x v="688"/>
    <n v="0"/>
    <x v="0"/>
    <x v="0"/>
    <n v="0"/>
    <n v="0"/>
    <n v="0"/>
    <x v="0"/>
    <x v="0"/>
    <s v="Normal"/>
    <s v="Allowed"/>
    <m/>
    <m/>
    <m/>
  </r>
  <r>
    <x v="0"/>
    <x v="4"/>
    <x v="0"/>
    <x v="9"/>
    <n v="0.3529411764705882"/>
    <n v="0"/>
    <s v="DOWN"/>
    <n v="0.27"/>
    <n v="0.11764705882352949"/>
    <n v="1.2504550363164104E-2"/>
    <n v="5.3924507863027986E-2"/>
    <n v="1.9498093283935887"/>
    <n v="-1"/>
    <x v="689"/>
    <n v="0"/>
    <x v="0"/>
    <x v="0"/>
    <n v="0"/>
    <n v="0"/>
    <n v="0"/>
    <x v="0"/>
    <x v="0"/>
    <s v="Normal"/>
    <s v="Allowed"/>
    <m/>
    <m/>
    <m/>
  </r>
  <r>
    <x v="0"/>
    <x v="4"/>
    <x v="0"/>
    <x v="10"/>
    <n v="0.3"/>
    <n v="0"/>
    <s v="DOWN"/>
    <n v="0.27"/>
    <n v="0.14999999999999991"/>
    <n v="1.2504550363164104E-2"/>
    <n v="5.3924507863027986E-2"/>
    <n v="2.5497766245003817"/>
    <n v="-1"/>
    <x v="690"/>
    <n v="0"/>
    <x v="0"/>
    <x v="0"/>
    <n v="0"/>
    <n v="0"/>
    <n v="0"/>
    <x v="0"/>
    <x v="0"/>
    <s v="Normal"/>
    <s v="Allowed"/>
    <m/>
    <m/>
    <m/>
  </r>
  <r>
    <x v="0"/>
    <x v="4"/>
    <x v="0"/>
    <x v="11"/>
    <n v="0.25531914893617019"/>
    <n v="0"/>
    <s v="DOWN"/>
    <n v="0.27"/>
    <n v="0.14893617021276601"/>
    <n v="1.2504550363164104E-2"/>
    <n v="5.3924507863027986E-2"/>
    <n v="2.5300484929069307"/>
    <n v="-1"/>
    <x v="691"/>
    <n v="0"/>
    <x v="0"/>
    <x v="0"/>
    <n v="0"/>
    <n v="0"/>
    <n v="0"/>
    <x v="0"/>
    <x v="1"/>
    <s v="Normal"/>
    <s v="Allowed"/>
    <m/>
    <m/>
    <m/>
  </r>
  <r>
    <x v="0"/>
    <x v="4"/>
    <x v="0"/>
    <x v="12"/>
    <n v="0.22222222222222221"/>
    <n v="0"/>
    <s v="DOWN"/>
    <n v="0.27"/>
    <n v="0.12962962962962959"/>
    <n v="1.2504550363164104E-2"/>
    <n v="5.3924507863027986E-2"/>
    <n v="2.1720194380627706"/>
    <n v="-1"/>
    <x v="692"/>
    <n v="0"/>
    <x v="0"/>
    <x v="0"/>
    <n v="0"/>
    <n v="0"/>
    <n v="0"/>
    <x v="0"/>
    <x v="1"/>
    <s v="Normal"/>
    <s v="Allowed"/>
    <m/>
    <m/>
    <m/>
  </r>
  <r>
    <x v="0"/>
    <x v="4"/>
    <x v="0"/>
    <x v="13"/>
    <n v="0.2"/>
    <n v="0"/>
    <s v="DOWN"/>
    <n v="0.27"/>
    <n v="9.9999999999999895E-2"/>
    <n v="1.2504550363164104E-2"/>
    <n v="5.3924507863027986E-2"/>
    <n v="1.62255443960806"/>
    <n v="-1"/>
    <x v="693"/>
    <n v="0"/>
    <x v="0"/>
    <x v="0"/>
    <n v="0"/>
    <n v="0"/>
    <n v="0"/>
    <x v="0"/>
    <x v="1"/>
    <s v="Normal"/>
    <s v="Allowed"/>
    <m/>
    <m/>
    <m/>
  </r>
  <r>
    <x v="0"/>
    <x v="4"/>
    <x v="0"/>
    <x v="14"/>
    <n v="0.1818181818181818"/>
    <n v="0"/>
    <s v="DOWN"/>
    <n v="0.27"/>
    <n v="9.0909090909091078E-2"/>
    <n v="1.2504550363164104E-2"/>
    <n v="5.3924507863027986E-2"/>
    <n v="1.453968587809461"/>
    <n v="-1"/>
    <x v="694"/>
    <n v="0"/>
    <x v="0"/>
    <x v="0"/>
    <n v="0"/>
    <n v="0"/>
    <n v="0"/>
    <x v="0"/>
    <x v="1"/>
    <s v="Normal"/>
    <s v="Allowed"/>
    <m/>
    <m/>
    <m/>
  </r>
  <r>
    <x v="0"/>
    <x v="4"/>
    <x v="0"/>
    <x v="15"/>
    <n v="0.16901408450704231"/>
    <n v="0"/>
    <s v="DOWN"/>
    <n v="0.27"/>
    <n v="7.0422535211267207E-2"/>
    <n v="1.2504550363164104E-2"/>
    <n v="5.3924507863027986E-2"/>
    <n v="1.0740568091083711"/>
    <n v="-1"/>
    <x v="695"/>
    <n v="0"/>
    <x v="0"/>
    <x v="0"/>
    <n v="0"/>
    <n v="0"/>
    <n v="0"/>
    <x v="0"/>
    <x v="1"/>
    <s v="Normal"/>
    <s v="Allowed"/>
    <m/>
    <m/>
    <m/>
  </r>
  <r>
    <x v="0"/>
    <x v="4"/>
    <x v="1"/>
    <x v="0"/>
    <n v="6.2992125984251968E-2"/>
    <n v="0"/>
    <s v="DOWN"/>
    <n v="5.3999999999999999E-2"/>
    <n v="2.3622047244094471E-2"/>
    <n v="1.0109678696460058E-2"/>
    <n v="0.17556416633612926"/>
    <n v="7.6965412872260539E-2"/>
    <n v="0"/>
    <x v="696"/>
    <n v="0"/>
    <x v="0"/>
    <x v="0"/>
    <n v="0"/>
    <n v="0"/>
    <n v="0"/>
    <x v="0"/>
    <x v="0"/>
    <s v="Normal"/>
    <s v="Allowed"/>
    <m/>
    <m/>
    <m/>
  </r>
  <r>
    <x v="0"/>
    <x v="4"/>
    <x v="1"/>
    <x v="1"/>
    <n v="7.7519379844961239E-2"/>
    <n v="0"/>
    <s v="DOWN"/>
    <n v="5.3999999999999999E-2"/>
    <n v="-0.23062015503875971"/>
    <n v="1.0109678696460058E-2"/>
    <n v="0.17556416633612926"/>
    <n v="-1.3711786337670213"/>
    <n v="1"/>
    <x v="697"/>
    <n v="0"/>
    <x v="0"/>
    <x v="1"/>
    <n v="0"/>
    <n v="1"/>
    <n v="1"/>
    <x v="1"/>
    <x v="0"/>
    <s v="Abnormal"/>
    <s v="Allowed"/>
    <m/>
    <m/>
    <m/>
  </r>
  <r>
    <x v="0"/>
    <x v="4"/>
    <x v="1"/>
    <x v="2"/>
    <n v="4.8000000000000001E-2"/>
    <n v="0"/>
    <s v="DOWN"/>
    <n v="5.3999999999999999E-2"/>
    <n v="0.38080000000000003"/>
    <n v="1.0109678696460058E-2"/>
    <n v="0.17556416633612926"/>
    <n v="2.1114235839780009"/>
    <n v="-1"/>
    <x v="698"/>
    <n v="0"/>
    <x v="0"/>
    <x v="0"/>
    <n v="0"/>
    <n v="0"/>
    <n v="0"/>
    <x v="0"/>
    <x v="1"/>
    <s v="Normal"/>
    <s v="Allowed"/>
    <m/>
    <m/>
    <m/>
  </r>
  <r>
    <x v="0"/>
    <x v="4"/>
    <x v="1"/>
    <x v="3"/>
    <n v="4.7619047999999997E-2"/>
    <n v="0"/>
    <s v="DOWN"/>
    <n v="5.3999999999999999E-2"/>
    <n v="7.9365000000000806E-3"/>
    <n v="1.0109678696460058E-2"/>
    <n v="0.17556416633612926"/>
    <n v="-1.2378258854368282E-2"/>
    <n v="0"/>
    <x v="699"/>
    <n v="0"/>
    <x v="0"/>
    <x v="0"/>
    <n v="0"/>
    <n v="0"/>
    <n v="0"/>
    <x v="1"/>
    <x v="1"/>
    <s v="Normal"/>
    <s v="Allowed"/>
    <m/>
    <m/>
    <m/>
  </r>
  <r>
    <x v="0"/>
    <x v="4"/>
    <x v="1"/>
    <x v="4"/>
    <n v="4.8387096774193547E-2"/>
    <n v="0"/>
    <s v="DOWN"/>
    <n v="5.3999999999999999E-2"/>
    <n v="-1.612902412903236E-2"/>
    <n v="1.0109678696460058E-2"/>
    <n v="0.17556416633612926"/>
    <n v="-0.14945363494767311"/>
    <n v="0"/>
    <x v="700"/>
    <n v="0"/>
    <x v="0"/>
    <x v="0"/>
    <n v="0"/>
    <n v="0"/>
    <n v="0"/>
    <x v="1"/>
    <x v="1"/>
    <s v="Normal"/>
    <s v="Allowed"/>
    <m/>
    <m/>
    <m/>
  </r>
  <r>
    <x v="0"/>
    <x v="4"/>
    <x v="1"/>
    <x v="5"/>
    <n v="8.6614173228346455E-2"/>
    <n v="0"/>
    <s v="DOWN"/>
    <n v="5.3999999999999999E-2"/>
    <n v="-0.79002624671916011"/>
    <n v="1.0109678696460058E-2"/>
    <n v="0.17556416633612926"/>
    <n v="-4.557512743709367"/>
    <n v="1"/>
    <x v="701"/>
    <n v="0"/>
    <x v="0"/>
    <x v="1"/>
    <n v="0"/>
    <n v="1"/>
    <n v="1"/>
    <x v="1"/>
    <x v="0"/>
    <s v="Abnormal"/>
    <s v="Allowed"/>
    <m/>
    <m/>
    <m/>
  </r>
  <r>
    <x v="0"/>
    <x v="4"/>
    <x v="1"/>
    <x v="6"/>
    <n v="9.6774193548387094E-2"/>
    <n v="0"/>
    <s v="DOWN"/>
    <n v="5.3999999999999999E-2"/>
    <n v="-0.1173020527859237"/>
    <n v="1.0109678696460058E-2"/>
    <n v="0.17556416633612926"/>
    <n v="-0.72572743140787366"/>
    <n v="1"/>
    <x v="702"/>
    <n v="0"/>
    <x v="0"/>
    <x v="1"/>
    <n v="0"/>
    <n v="1"/>
    <n v="1"/>
    <x v="1"/>
    <x v="0"/>
    <s v="Abnormal"/>
    <s v="Allowed"/>
    <m/>
    <m/>
    <m/>
  </r>
  <r>
    <x v="0"/>
    <x v="4"/>
    <x v="1"/>
    <x v="7"/>
    <n v="6.6666666666666666E-2"/>
    <n v="0"/>
    <s v="DOWN"/>
    <n v="5.3999999999999999E-2"/>
    <n v="0.31111111111111112"/>
    <n v="1.0109678696460058E-2"/>
    <n v="0.17556416633612926"/>
    <n v="1.7144810281977692"/>
    <n v="-1"/>
    <x v="703"/>
    <n v="0"/>
    <x v="0"/>
    <x v="0"/>
    <n v="0"/>
    <n v="0"/>
    <n v="0"/>
    <x v="0"/>
    <x v="0"/>
    <s v="Normal"/>
    <s v="Allowed"/>
    <m/>
    <m/>
    <m/>
  </r>
  <r>
    <x v="0"/>
    <x v="4"/>
    <x v="1"/>
    <x v="8"/>
    <n v="3.3333333333333333E-2"/>
    <n v="0"/>
    <s v="DOWN"/>
    <n v="5.3999999999999999E-2"/>
    <n v="0.5"/>
    <n v="1.0109678696460058E-2"/>
    <n v="0.17556416633612926"/>
    <n v="2.7903776239031171"/>
    <n v="-1"/>
    <x v="704"/>
    <n v="0"/>
    <x v="0"/>
    <x v="0"/>
    <n v="0"/>
    <n v="0"/>
    <n v="0"/>
    <x v="0"/>
    <x v="1"/>
    <s v="Normal"/>
    <s v="Allowed"/>
    <m/>
    <m/>
    <m/>
  </r>
  <r>
    <x v="0"/>
    <x v="4"/>
    <x v="1"/>
    <x v="9"/>
    <n v="4.9586776859504127E-2"/>
    <n v="0"/>
    <s v="DOWN"/>
    <n v="5.3999999999999999E-2"/>
    <n v="-0.48760330578512379"/>
    <n v="1.0109678696460058E-2"/>
    <n v="0.17556416633612926"/>
    <n v="-2.8349349122228009"/>
    <n v="1"/>
    <x v="705"/>
    <n v="0"/>
    <x v="0"/>
    <x v="0"/>
    <n v="0"/>
    <n v="0"/>
    <n v="0"/>
    <x v="1"/>
    <x v="1"/>
    <s v="Abnormal"/>
    <s v="Allowed"/>
    <m/>
    <m/>
    <m/>
  </r>
  <r>
    <x v="0"/>
    <x v="4"/>
    <x v="1"/>
    <x v="10"/>
    <n v="4.9586776859504127E-2"/>
    <n v="0"/>
    <s v="DOWN"/>
    <n v="5.3999999999999999E-2"/>
    <n v="0"/>
    <n v="1.0109678696460058E-2"/>
    <n v="0.17556416633612926"/>
    <n v="-5.7583952963980174E-2"/>
    <n v="0"/>
    <x v="705"/>
    <n v="0"/>
    <x v="0"/>
    <x v="0"/>
    <n v="0"/>
    <n v="0"/>
    <n v="0"/>
    <x v="1"/>
    <x v="1"/>
    <s v="Normal"/>
    <s v="Allowed"/>
    <m/>
    <m/>
    <m/>
  </r>
  <r>
    <x v="0"/>
    <x v="4"/>
    <x v="1"/>
    <x v="11"/>
    <n v="2.5000000000000001E-2"/>
    <n v="0"/>
    <s v="DOWN"/>
    <n v="5.3999999999999999E-2"/>
    <n v="0.49583333333333318"/>
    <n v="1.0109678696460058E-2"/>
    <n v="0.17556416633612926"/>
    <n v="2.7666446107625569"/>
    <n v="-1"/>
    <x v="706"/>
    <n v="0"/>
    <x v="0"/>
    <x v="0"/>
    <n v="0"/>
    <n v="0"/>
    <n v="0"/>
    <x v="0"/>
    <x v="1"/>
    <s v="Normal"/>
    <s v="Allowed"/>
    <m/>
    <m/>
    <m/>
  </r>
  <r>
    <x v="0"/>
    <x v="4"/>
    <x v="1"/>
    <x v="12"/>
    <n v="3.2258064516129031E-2"/>
    <n v="0"/>
    <s v="DOWN"/>
    <n v="5.3999999999999999E-2"/>
    <n v="-0.2903225806451612"/>
    <n v="1.0109678696460058E-2"/>
    <n v="0.17556416633612926"/>
    <n v="-1.7112390621126168"/>
    <n v="1"/>
    <x v="707"/>
    <n v="0"/>
    <x v="0"/>
    <x v="0"/>
    <n v="0"/>
    <n v="0"/>
    <n v="0"/>
    <x v="1"/>
    <x v="1"/>
    <s v="Abnormal"/>
    <s v="Allowed"/>
    <m/>
    <m/>
    <m/>
  </r>
  <r>
    <x v="0"/>
    <x v="4"/>
    <x v="1"/>
    <x v="13"/>
    <n v="2.4590163934426229E-2"/>
    <n v="0"/>
    <s v="DOWN"/>
    <n v="5.3999999999999999E-2"/>
    <n v="0.2377049180327869"/>
    <n v="1.0109678696460058E-2"/>
    <n v="0.17556416633612926"/>
    <n v="1.2963649934154595"/>
    <n v="-1"/>
    <x v="708"/>
    <n v="0"/>
    <x v="0"/>
    <x v="0"/>
    <n v="0"/>
    <n v="0"/>
    <n v="0"/>
    <x v="0"/>
    <x v="1"/>
    <s v="Normal"/>
    <s v="Allowed"/>
    <m/>
    <m/>
    <m/>
  </r>
  <r>
    <x v="0"/>
    <x v="4"/>
    <x v="1"/>
    <x v="14"/>
    <n v="3.2258064516129031E-2"/>
    <n v="0"/>
    <s v="DOWN"/>
    <n v="5.3999999999999999E-2"/>
    <n v="-0.31182795698924731"/>
    <n v="1.0109678696460058E-2"/>
    <n v="0.17556416633612926"/>
    <n v="-1.8337320331606644"/>
    <n v="1"/>
    <x v="707"/>
    <n v="0"/>
    <x v="0"/>
    <x v="0"/>
    <n v="0"/>
    <n v="0"/>
    <n v="0"/>
    <x v="1"/>
    <x v="1"/>
    <s v="Abnormal"/>
    <s v="Allowed"/>
    <m/>
    <m/>
    <m/>
  </r>
  <r>
    <x v="0"/>
    <x v="4"/>
    <x v="1"/>
    <x v="15"/>
    <n v="4.8000000000000001E-2"/>
    <n v="0"/>
    <s v="DOWN"/>
    <n v="5.3999999999999999E-2"/>
    <n v="-0.48799999999999999"/>
    <n v="1.0109678696460058E-2"/>
    <n v="0.17556416633612926"/>
    <n v="-2.8371944519862669"/>
    <n v="1"/>
    <x v="698"/>
    <n v="0"/>
    <x v="0"/>
    <x v="0"/>
    <n v="0"/>
    <n v="0"/>
    <n v="0"/>
    <x v="1"/>
    <x v="1"/>
    <s v="Abnormal"/>
    <s v="Allowed"/>
    <m/>
    <m/>
    <m/>
  </r>
  <r>
    <x v="0"/>
    <x v="4"/>
    <x v="2"/>
    <x v="0"/>
    <n v="2.6315789473684209E-2"/>
    <n v="0"/>
    <s v="DOWN"/>
    <n v="6.6000000000000003E-2"/>
    <n v="0"/>
    <n v="-2.475667272801203E-2"/>
    <n v="0.42334565134305008"/>
    <n v="5.8478627687499105E-2"/>
    <n v="0"/>
    <x v="709"/>
    <n v="0"/>
    <x v="0"/>
    <x v="0"/>
    <n v="0"/>
    <n v="0"/>
    <n v="0"/>
    <x v="1"/>
    <x v="1"/>
    <s v="Normal"/>
    <s v="Allowed"/>
    <m/>
    <m/>
    <m/>
  </r>
  <r>
    <x v="0"/>
    <x v="4"/>
    <x v="2"/>
    <x v="1"/>
    <n v="7.4999999999999997E-2"/>
    <n v="0"/>
    <s v="DOWN"/>
    <n v="6.6000000000000003E-2"/>
    <n v="-1.85"/>
    <n v="-2.475667272801203E-2"/>
    <n v="0.42334565134305008"/>
    <n v="-4.3114729571012811"/>
    <n v="1"/>
    <x v="710"/>
    <n v="0"/>
    <x v="0"/>
    <x v="1"/>
    <n v="0"/>
    <n v="1"/>
    <n v="1"/>
    <x v="1"/>
    <x v="0"/>
    <s v="Abnormal"/>
    <s v="Allowed"/>
    <m/>
    <m/>
    <m/>
  </r>
  <r>
    <x v="0"/>
    <x v="4"/>
    <x v="2"/>
    <x v="4"/>
    <n v="2.564102564102564E-2"/>
    <n v="0"/>
    <s v="DOWN"/>
    <n v="6.6000000000000003E-2"/>
    <n v="0.65811965811965811"/>
    <n v="-2.475667272801203E-2"/>
    <n v="0.42334565134305008"/>
    <n v="1.6130467590283912"/>
    <n v="-1"/>
    <x v="711"/>
    <n v="0"/>
    <x v="0"/>
    <x v="0"/>
    <n v="0"/>
    <n v="0"/>
    <n v="0"/>
    <x v="0"/>
    <x v="1"/>
    <s v="Normal"/>
    <s v="Allowed"/>
    <m/>
    <m/>
    <m/>
  </r>
  <r>
    <x v="0"/>
    <x v="4"/>
    <x v="2"/>
    <x v="5"/>
    <n v="0.1"/>
    <n v="0"/>
    <s v="DOWN"/>
    <n v="6.6000000000000003E-2"/>
    <n v="-2.9000000000000008"/>
    <n v="-2.475667272801203E-2"/>
    <n v="0.42334565134305008"/>
    <n v="-6.7917157484678876"/>
    <n v="1"/>
    <x v="712"/>
    <n v="0"/>
    <x v="0"/>
    <x v="1"/>
    <n v="0"/>
    <n v="1"/>
    <n v="1"/>
    <x v="1"/>
    <x v="0"/>
    <s v="Abnormal"/>
    <s v="Allowed"/>
    <m/>
    <m/>
    <m/>
  </r>
  <r>
    <x v="0"/>
    <x v="4"/>
    <x v="2"/>
    <x v="6"/>
    <n v="0.1025641025641026"/>
    <n v="0"/>
    <s v="DOWN"/>
    <n v="6.6000000000000003E-2"/>
    <n v="-2.564102564102597E-2"/>
    <n v="-2.475667272801203E-2"/>
    <n v="0.42334565134305008"/>
    <n v="-2.0889618452636983E-3"/>
    <n v="0"/>
    <x v="713"/>
    <n v="0"/>
    <x v="0"/>
    <x v="0"/>
    <n v="0"/>
    <n v="0"/>
    <n v="0"/>
    <x v="1"/>
    <x v="0"/>
    <s v="Normal"/>
    <s v="Allowed"/>
    <m/>
    <m/>
    <m/>
  </r>
  <r>
    <x v="0"/>
    <x v="4"/>
    <x v="2"/>
    <x v="7"/>
    <n v="7.8947368421052627E-2"/>
    <n v="0"/>
    <s v="DOWN"/>
    <n v="6.6000000000000003E-2"/>
    <n v="0.2302631578947372"/>
    <n v="-2.475667272801203E-2"/>
    <n v="0.42334565134305008"/>
    <n v="0.60239152053105371"/>
    <n v="-1"/>
    <x v="714"/>
    <n v="0"/>
    <x v="0"/>
    <x v="0"/>
    <n v="0"/>
    <n v="0"/>
    <n v="0"/>
    <x v="0"/>
    <x v="0"/>
    <s v="Normal"/>
    <s v="Allowed"/>
    <m/>
    <m/>
    <m/>
  </r>
  <r>
    <x v="0"/>
    <x v="4"/>
    <x v="2"/>
    <x v="8"/>
    <n v="5.2631578947368418E-2"/>
    <n v="0"/>
    <s v="DOWN"/>
    <n v="6.6000000000000003E-2"/>
    <n v="0.33333333333333331"/>
    <n v="-2.475667272801203E-2"/>
    <n v="0.42334565134305008"/>
    <n v="0.84585729161340539"/>
    <n v="-1"/>
    <x v="715"/>
    <n v="0"/>
    <x v="0"/>
    <x v="0"/>
    <n v="0"/>
    <n v="0"/>
    <n v="0"/>
    <x v="0"/>
    <x v="1"/>
    <s v="Normal"/>
    <s v="Allowed"/>
    <m/>
    <m/>
    <m/>
  </r>
  <r>
    <x v="0"/>
    <x v="4"/>
    <x v="2"/>
    <x v="9"/>
    <n v="8.1081081081081086E-2"/>
    <n v="0"/>
    <s v="DOWN"/>
    <n v="6.6000000000000003E-2"/>
    <n v="-0.54054054054054068"/>
    <n v="-2.475667272801203E-2"/>
    <n v="0.42334565134305008"/>
    <n v="-1.2183516381382951"/>
    <n v="1"/>
    <x v="716"/>
    <n v="0"/>
    <x v="0"/>
    <x v="1"/>
    <n v="0"/>
    <n v="1"/>
    <n v="1"/>
    <x v="1"/>
    <x v="0"/>
    <s v="Abnormal"/>
    <s v="Allowed"/>
    <m/>
    <m/>
    <m/>
  </r>
  <r>
    <x v="0"/>
    <x v="4"/>
    <x v="2"/>
    <x v="10"/>
    <n v="8.3333333333333329E-2"/>
    <n v="0"/>
    <s v="DOWN"/>
    <n v="6.6000000000000003E-2"/>
    <n v="-2.7777777777777669E-2"/>
    <n v="-2.475667272801203E-2"/>
    <n v="0.42334565134305008"/>
    <n v="-7.1362609729928332E-3"/>
    <n v="0"/>
    <x v="717"/>
    <n v="0"/>
    <x v="0"/>
    <x v="0"/>
    <n v="0"/>
    <n v="0"/>
    <n v="0"/>
    <x v="1"/>
    <x v="0"/>
    <s v="Normal"/>
    <s v="Allowed"/>
    <m/>
    <m/>
    <m/>
  </r>
  <r>
    <x v="0"/>
    <x v="4"/>
    <x v="2"/>
    <x v="11"/>
    <n v="5.4054054054054057E-2"/>
    <n v="0"/>
    <s v="DOWN"/>
    <n v="6.6000000000000003E-2"/>
    <n v="0.35135135135135132"/>
    <n v="-2.475667272801203E-2"/>
    <n v="0.42334565134305008"/>
    <n v="0.88841830047426507"/>
    <n v="-1"/>
    <x v="718"/>
    <n v="0"/>
    <x v="0"/>
    <x v="0"/>
    <n v="0"/>
    <n v="0"/>
    <n v="0"/>
    <x v="0"/>
    <x v="1"/>
    <s v="Normal"/>
    <s v="Allowed"/>
    <m/>
    <m/>
    <m/>
  </r>
  <r>
    <x v="0"/>
    <x v="4"/>
    <x v="2"/>
    <x v="12"/>
    <n v="5.2631578947368418E-2"/>
    <n v="0"/>
    <s v="DOWN"/>
    <n v="6.6000000000000003E-2"/>
    <n v="2.631578947368432E-2"/>
    <n v="-2.475667272801203E-2"/>
    <n v="0.42334565134305008"/>
    <n v="0.12064010115533408"/>
    <n v="0"/>
    <x v="715"/>
    <n v="0"/>
    <x v="0"/>
    <x v="0"/>
    <n v="0"/>
    <n v="0"/>
    <n v="0"/>
    <x v="0"/>
    <x v="1"/>
    <s v="Normal"/>
    <s v="Allowed"/>
    <m/>
    <m/>
    <m/>
  </r>
  <r>
    <x v="0"/>
    <x v="4"/>
    <x v="2"/>
    <x v="13"/>
    <n v="2.7027027027027029E-2"/>
    <n v="0"/>
    <s v="DOWN"/>
    <n v="6.6000000000000003E-2"/>
    <n v="0.4864864864864864"/>
    <n v="-2.475667272801203E-2"/>
    <n v="0.42334565134305008"/>
    <n v="1.2076258669307136"/>
    <n v="-1"/>
    <x v="719"/>
    <n v="0"/>
    <x v="0"/>
    <x v="0"/>
    <n v="0"/>
    <n v="0"/>
    <n v="0"/>
    <x v="0"/>
    <x v="1"/>
    <s v="Normal"/>
    <s v="Allowed"/>
    <m/>
    <m/>
    <m/>
  </r>
  <r>
    <x v="0"/>
    <x v="4"/>
    <x v="2"/>
    <x v="14"/>
    <n v="2.7027027027027029E-2"/>
    <n v="0"/>
    <s v="DOWN"/>
    <n v="6.6000000000000003E-2"/>
    <n v="0"/>
    <n v="-2.475667272801203E-2"/>
    <n v="0.42334565134305008"/>
    <n v="5.8478627687499105E-2"/>
    <n v="0"/>
    <x v="719"/>
    <n v="0"/>
    <x v="0"/>
    <x v="0"/>
    <n v="0"/>
    <n v="0"/>
    <n v="0"/>
    <x v="1"/>
    <x v="1"/>
    <s v="Normal"/>
    <s v="Allowed"/>
    <m/>
    <m/>
    <m/>
  </r>
  <r>
    <x v="0"/>
    <x v="4"/>
    <x v="2"/>
    <x v="15"/>
    <n v="2.7027027027027029E-2"/>
    <n v="0"/>
    <s v="DOWN"/>
    <n v="6.6000000000000003E-2"/>
    <n v="0"/>
    <n v="-2.475667272801203E-2"/>
    <n v="0.42334565134305008"/>
    <n v="5.8478627687499105E-2"/>
    <n v="0"/>
    <x v="719"/>
    <n v="0"/>
    <x v="0"/>
    <x v="0"/>
    <n v="0"/>
    <n v="0"/>
    <n v="0"/>
    <x v="1"/>
    <x v="1"/>
    <s v="Normal"/>
    <s v="Allowed"/>
    <m/>
    <m/>
    <m/>
  </r>
  <r>
    <x v="0"/>
    <x v="4"/>
    <x v="4"/>
    <x v="0"/>
    <n v="5.8051140290255702E-2"/>
    <n v="0"/>
    <s v="DOWN"/>
    <n v="0.104"/>
    <n v="-4.1465100207324426E-3"/>
    <n v="1.7244519882342341E-3"/>
    <n v="8.3117651155014696E-2"/>
    <n v="-7.0634358976498418E-2"/>
    <n v="0"/>
    <x v="720"/>
    <n v="0"/>
    <x v="0"/>
    <x v="0"/>
    <n v="0"/>
    <n v="0"/>
    <n v="0"/>
    <x v="1"/>
    <x v="1"/>
    <s v="Normal"/>
    <s v="Allowed"/>
    <m/>
    <m/>
    <m/>
  </r>
  <r>
    <x v="0"/>
    <x v="4"/>
    <x v="4"/>
    <x v="1"/>
    <n v="5.8292852185981958E-2"/>
    <n v="0"/>
    <s v="DOWN"/>
    <n v="0.104"/>
    <n v="-4.1637751561415708E-3"/>
    <n v="1.7244519882342341E-3"/>
    <n v="8.3117651155014696E-2"/>
    <n v="-7.0842078217468407E-2"/>
    <n v="0"/>
    <x v="721"/>
    <n v="0"/>
    <x v="0"/>
    <x v="0"/>
    <n v="0"/>
    <n v="0"/>
    <n v="0"/>
    <x v="1"/>
    <x v="1"/>
    <s v="Normal"/>
    <s v="Allowed"/>
    <m/>
    <m/>
    <m/>
  </r>
  <r>
    <x v="0"/>
    <x v="4"/>
    <x v="4"/>
    <x v="2"/>
    <n v="5.0069541029207243E-2"/>
    <n v="0"/>
    <s v="DOWN"/>
    <n v="0.104"/>
    <n v="0.1410689449632424"/>
    <n v="1.7244519882342341E-3"/>
    <n v="8.3117651155014696E-2"/>
    <n v="1.6764729397264875"/>
    <n v="-1"/>
    <x v="722"/>
    <n v="0"/>
    <x v="0"/>
    <x v="0"/>
    <n v="0"/>
    <n v="0"/>
    <n v="0"/>
    <x v="0"/>
    <x v="1"/>
    <s v="Normal"/>
    <s v="Allowed"/>
    <m/>
    <m/>
    <m/>
  </r>
  <r>
    <x v="0"/>
    <x v="4"/>
    <x v="4"/>
    <x v="3"/>
    <n v="5.0139276000000003E-2"/>
    <n v="0"/>
    <s v="DOWN"/>
    <n v="0.104"/>
    <n v="-1.392762333333189E-3"/>
    <n v="1.7244519882342341E-3"/>
    <n v="8.3117651155014696E-2"/>
    <n v="-3.7503638255535009E-2"/>
    <n v="0"/>
    <x v="723"/>
    <n v="0"/>
    <x v="0"/>
    <x v="0"/>
    <n v="0"/>
    <n v="0"/>
    <n v="0"/>
    <x v="1"/>
    <x v="1"/>
    <s v="Normal"/>
    <s v="Allowed"/>
    <m/>
    <m/>
    <m/>
  </r>
  <r>
    <x v="0"/>
    <x v="4"/>
    <x v="4"/>
    <x v="4"/>
    <n v="5.027932960893855E-2"/>
    <n v="0"/>
    <s v="DOWN"/>
    <n v="0.104"/>
    <n v="-2.7932914096834289E-3"/>
    <n v="1.7244519882342341E-3"/>
    <n v="8.3117651155014696E-2"/>
    <n v="-5.4353598004015499E-2"/>
    <n v="0"/>
    <x v="724"/>
    <n v="0"/>
    <x v="0"/>
    <x v="0"/>
    <n v="0"/>
    <n v="0"/>
    <n v="0"/>
    <x v="1"/>
    <x v="1"/>
    <s v="Normal"/>
    <s v="Allowed"/>
    <m/>
    <m/>
    <m/>
  </r>
  <r>
    <x v="0"/>
    <x v="4"/>
    <x v="4"/>
    <x v="5"/>
    <n v="5.0526315789473683E-2"/>
    <n v="0"/>
    <s v="DOWN"/>
    <n v="0.104"/>
    <n v="-4.9122807017543133E-3"/>
    <n v="1.7244519882342341E-3"/>
    <n v="8.3117651155014696E-2"/>
    <n v="-7.9847452349333339E-2"/>
    <n v="0"/>
    <x v="725"/>
    <n v="0"/>
    <x v="0"/>
    <x v="0"/>
    <n v="0"/>
    <n v="0"/>
    <n v="0"/>
    <x v="1"/>
    <x v="1"/>
    <s v="Normal"/>
    <s v="Allowed"/>
    <m/>
    <m/>
    <m/>
  </r>
  <r>
    <x v="0"/>
    <x v="4"/>
    <x v="4"/>
    <x v="6"/>
    <n v="6.7892503536067891E-2"/>
    <n v="0"/>
    <s v="DOWN"/>
    <n v="0.104"/>
    <n v="-0.34370579915134369"/>
    <n v="1.7244519882342341E-3"/>
    <n v="8.3117651155014696E-2"/>
    <n v="-4.1559193064220423"/>
    <n v="1"/>
    <x v="726"/>
    <n v="0"/>
    <x v="0"/>
    <x v="0"/>
    <n v="0"/>
    <n v="0"/>
    <n v="0"/>
    <x v="1"/>
    <x v="1"/>
    <s v="Abnormal"/>
    <s v="Allowed"/>
    <m/>
    <m/>
    <m/>
  </r>
  <r>
    <x v="0"/>
    <x v="4"/>
    <x v="4"/>
    <x v="7"/>
    <n v="4.2643923240938172E-2"/>
    <n v="0"/>
    <s v="DOWN"/>
    <n v="0.104"/>
    <n v="0.37189054726368148"/>
    <n v="1.7244519882342341E-3"/>
    <n v="8.3117651155014696E-2"/>
    <n v="4.4535196812177267"/>
    <n v="-1"/>
    <x v="727"/>
    <n v="0"/>
    <x v="0"/>
    <x v="0"/>
    <n v="0"/>
    <n v="0"/>
    <n v="0"/>
    <x v="0"/>
    <x v="1"/>
    <s v="Normal"/>
    <s v="Allowed"/>
    <m/>
    <m/>
    <m/>
  </r>
  <r>
    <x v="0"/>
    <x v="4"/>
    <x v="4"/>
    <x v="8"/>
    <n v="4.2735042735042743E-2"/>
    <n v="0"/>
    <s v="DOWN"/>
    <n v="0.104"/>
    <n v="-2.1367521367521751E-3"/>
    <n v="1.7244519882342341E-3"/>
    <n v="8.3117651155014696E-2"/>
    <n v="-4.6454682866161015E-2"/>
    <n v="0"/>
    <x v="728"/>
    <n v="0"/>
    <x v="0"/>
    <x v="0"/>
    <n v="0"/>
    <n v="0"/>
    <n v="0"/>
    <x v="1"/>
    <x v="1"/>
    <s v="Normal"/>
    <s v="Allowed"/>
    <m/>
    <m/>
    <m/>
  </r>
  <r>
    <x v="0"/>
    <x v="4"/>
    <x v="4"/>
    <x v="9"/>
    <n v="5.1428571428571428E-2"/>
    <n v="0"/>
    <s v="DOWN"/>
    <n v="0.104"/>
    <n v="-0.20342857142857121"/>
    <n v="1.7244519882342341E-3"/>
    <n v="8.3117651155014696E-2"/>
    <n v="-2.4682245054566612"/>
    <n v="1"/>
    <x v="729"/>
    <n v="0"/>
    <x v="0"/>
    <x v="0"/>
    <n v="0"/>
    <n v="0"/>
    <n v="0"/>
    <x v="1"/>
    <x v="1"/>
    <s v="Abnormal"/>
    <s v="Allowed"/>
    <m/>
    <m/>
    <m/>
  </r>
  <r>
    <x v="0"/>
    <x v="4"/>
    <x v="4"/>
    <x v="10"/>
    <n v="5.1575931232091692E-2"/>
    <n v="0"/>
    <s v="DOWN"/>
    <n v="0.104"/>
    <n v="-2.86532951289402E-3"/>
    <n v="1.7244519882342341E-3"/>
    <n v="8.3117651155014696E-2"/>
    <n v="-5.5220298424558424E-2"/>
    <n v="0"/>
    <x v="730"/>
    <n v="0"/>
    <x v="0"/>
    <x v="0"/>
    <n v="0"/>
    <n v="0"/>
    <n v="0"/>
    <x v="1"/>
    <x v="1"/>
    <s v="Normal"/>
    <s v="Allowed"/>
    <m/>
    <m/>
    <m/>
  </r>
  <r>
    <x v="0"/>
    <x v="4"/>
    <x v="4"/>
    <x v="11"/>
    <n v="3.4359341445955621E-2"/>
    <n v="0"/>
    <s v="DOWN"/>
    <n v="0.104"/>
    <n v="0.33381054640897162"/>
    <n v="1.7244519882342341E-3"/>
    <n v="8.3117651155014696E-2"/>
    <n v="3.9953739044116601"/>
    <n v="-1"/>
    <x v="731"/>
    <n v="0"/>
    <x v="0"/>
    <x v="0"/>
    <n v="0"/>
    <n v="0"/>
    <n v="0"/>
    <x v="0"/>
    <x v="1"/>
    <s v="Normal"/>
    <s v="Allowed"/>
    <m/>
    <m/>
    <m/>
  </r>
  <r>
    <x v="0"/>
    <x v="4"/>
    <x v="4"/>
    <x v="12"/>
    <n v="3.4334763948497847E-2"/>
    <n v="0"/>
    <s v="DOWN"/>
    <n v="0.104"/>
    <n v="7.1530758226063694E-4"/>
    <n v="1.7244519882342341E-3"/>
    <n v="8.3117651155014696E-2"/>
    <n v="-1.2141156444514288E-2"/>
    <n v="0"/>
    <x v="732"/>
    <n v="0"/>
    <x v="0"/>
    <x v="0"/>
    <n v="0"/>
    <n v="0"/>
    <n v="0"/>
    <x v="1"/>
    <x v="1"/>
    <s v="Normal"/>
    <s v="Allowed"/>
    <m/>
    <m/>
    <m/>
  </r>
  <r>
    <x v="0"/>
    <x v="4"/>
    <x v="4"/>
    <x v="13"/>
    <n v="3.4334763948497847E-2"/>
    <n v="0"/>
    <s v="DOWN"/>
    <n v="0.104"/>
    <n v="0"/>
    <n v="1.7244519882342341E-3"/>
    <n v="8.3117651155014696E-2"/>
    <n v="-2.0747121270524423E-2"/>
    <n v="0"/>
    <x v="732"/>
    <n v="0"/>
    <x v="0"/>
    <x v="0"/>
    <n v="0"/>
    <n v="0"/>
    <n v="0"/>
    <x v="1"/>
    <x v="1"/>
    <s v="Normal"/>
    <s v="Allowed"/>
    <m/>
    <m/>
    <m/>
  </r>
  <r>
    <x v="0"/>
    <x v="4"/>
    <x v="4"/>
    <x v="14"/>
    <n v="3.4310221586847753E-2"/>
    <n v="0"/>
    <s v="DOWN"/>
    <n v="0.104"/>
    <n v="7.1479628305899407E-4"/>
    <n v="1.7244519882342341E-3"/>
    <n v="8.3117651155014696E-2"/>
    <n v="-1.2147307956191266E-2"/>
    <n v="0"/>
    <x v="733"/>
    <n v="0"/>
    <x v="0"/>
    <x v="0"/>
    <n v="0"/>
    <n v="0"/>
    <n v="0"/>
    <x v="1"/>
    <x v="1"/>
    <s v="Normal"/>
    <s v="Allowed"/>
    <m/>
    <m/>
    <m/>
  </r>
  <r>
    <x v="0"/>
    <x v="4"/>
    <x v="4"/>
    <x v="15"/>
    <n v="5.1502145922746781E-2"/>
    <n v="0"/>
    <s v="DOWN"/>
    <n v="0.104"/>
    <n v="-0.50107296137339041"/>
    <n v="1.7244519882342341E-3"/>
    <n v="8.3117651155014696E-2"/>
    <n v="-6.0492254818883877"/>
    <n v="1"/>
    <x v="734"/>
    <n v="0"/>
    <x v="0"/>
    <x v="0"/>
    <n v="0"/>
    <n v="0"/>
    <n v="0"/>
    <x v="1"/>
    <x v="1"/>
    <s v="Abnormal"/>
    <s v="Allowed"/>
    <m/>
    <m/>
    <m/>
  </r>
  <r>
    <x v="0"/>
    <x v="4"/>
    <x v="5"/>
    <x v="0"/>
    <n v="0.15789473684210531"/>
    <n v="0"/>
    <s v="DOWN"/>
    <n v="0.1"/>
    <n v="-9.868421052631967E-3"/>
    <n v="-3.0570725046180952E-3"/>
    <n v="0.17799866497296365"/>
    <n v="-3.8266290081717481E-2"/>
    <n v="0"/>
    <x v="735"/>
    <n v="0"/>
    <x v="0"/>
    <x v="0"/>
    <n v="0"/>
    <n v="0"/>
    <n v="0"/>
    <x v="1"/>
    <x v="0"/>
    <s v="Normal"/>
    <s v="Allowed"/>
    <m/>
    <m/>
    <m/>
  </r>
  <r>
    <x v="0"/>
    <x v="4"/>
    <x v="5"/>
    <x v="1"/>
    <n v="0.159468438538206"/>
    <n v="0"/>
    <s v="DOWN"/>
    <n v="0.1"/>
    <n v="-9.9667774086376858E-3"/>
    <n v="-3.0570725046180952E-3"/>
    <n v="0.17799866497296365"/>
    <n v="-3.8818858023845916E-2"/>
    <n v="0"/>
    <x v="736"/>
    <n v="0"/>
    <x v="0"/>
    <x v="0"/>
    <n v="0"/>
    <n v="0"/>
    <n v="0"/>
    <x v="1"/>
    <x v="0"/>
    <s v="Normal"/>
    <s v="Allowed"/>
    <m/>
    <m/>
    <m/>
  </r>
  <r>
    <x v="0"/>
    <x v="4"/>
    <x v="5"/>
    <x v="2"/>
    <n v="0.1204013377926421"/>
    <n v="0"/>
    <s v="DOWN"/>
    <n v="0.1"/>
    <n v="0.24498327759197361"/>
    <n v="-3.0570725046180952E-3"/>
    <n v="0.17799866497296365"/>
    <n v="1.3934955643305904"/>
    <n v="-1"/>
    <x v="737"/>
    <n v="0"/>
    <x v="0"/>
    <x v="0"/>
    <n v="0"/>
    <n v="0"/>
    <n v="0"/>
    <x v="0"/>
    <x v="0"/>
    <s v="Normal"/>
    <s v="Allowed"/>
    <m/>
    <m/>
    <m/>
  </r>
  <r>
    <x v="0"/>
    <x v="4"/>
    <x v="5"/>
    <x v="3"/>
    <n v="0.120805369"/>
    <n v="0"/>
    <s v="DOWN"/>
    <n v="0.1"/>
    <n v="-3.3557036388891749E-3"/>
    <n v="-3.0570725046180952E-3"/>
    <n v="0.17799866497296365"/>
    <n v="-1.6777155846446317E-3"/>
    <n v="0"/>
    <x v="738"/>
    <n v="0"/>
    <x v="0"/>
    <x v="0"/>
    <n v="0"/>
    <n v="0"/>
    <n v="0"/>
    <x v="1"/>
    <x v="0"/>
    <s v="Normal"/>
    <s v="Allowed"/>
    <m/>
    <m/>
    <m/>
  </r>
  <r>
    <x v="0"/>
    <x v="4"/>
    <x v="5"/>
    <x v="4"/>
    <n v="0.1212121212121212"/>
    <n v="0"/>
    <s v="DOWN"/>
    <n v="0.1"/>
    <n v="-3.3670044261129308E-3"/>
    <n v="-3.0570725046180952E-3"/>
    <n v="0.17799866497296365"/>
    <n v="-1.7412036294873973E-3"/>
    <n v="0"/>
    <x v="739"/>
    <n v="0"/>
    <x v="0"/>
    <x v="0"/>
    <n v="0"/>
    <n v="0"/>
    <n v="0"/>
    <x v="1"/>
    <x v="0"/>
    <s v="Normal"/>
    <s v="Allowed"/>
    <m/>
    <m/>
    <m/>
  </r>
  <r>
    <x v="0"/>
    <x v="4"/>
    <x v="5"/>
    <x v="5"/>
    <n v="0.12203389830508481"/>
    <n v="0"/>
    <s v="DOWN"/>
    <n v="0.1"/>
    <n v="-6.7796610169497404E-3"/>
    <n v="-3.0570725046180952E-3"/>
    <n v="0.17799866497296365"/>
    <n v="-2.0913575463597279E-2"/>
    <n v="0"/>
    <x v="740"/>
    <n v="0"/>
    <x v="0"/>
    <x v="0"/>
    <n v="0"/>
    <n v="0"/>
    <n v="0"/>
    <x v="1"/>
    <x v="0"/>
    <s v="Normal"/>
    <s v="Allowed"/>
    <m/>
    <m/>
    <m/>
  </r>
  <r>
    <x v="0"/>
    <x v="4"/>
    <x v="5"/>
    <x v="6"/>
    <n v="0.1224489795918367"/>
    <n v="0"/>
    <s v="DOWN"/>
    <n v="0.1"/>
    <n v="-3.401360544216938E-3"/>
    <n v="-3.0570725046180952E-3"/>
    <n v="0.17799866497296365"/>
    <n v="-1.9342169765775316E-3"/>
    <n v="0"/>
    <x v="741"/>
    <n v="0"/>
    <x v="0"/>
    <x v="0"/>
    <n v="0"/>
    <n v="0"/>
    <n v="0"/>
    <x v="1"/>
    <x v="0"/>
    <s v="Normal"/>
    <s v="Allowed"/>
    <m/>
    <m/>
    <m/>
  </r>
  <r>
    <x v="0"/>
    <x v="4"/>
    <x v="5"/>
    <x v="7"/>
    <n v="8.2191780821917818E-2"/>
    <n v="0"/>
    <s v="DOWN"/>
    <n v="0.1"/>
    <n v="0.32876712328767099"/>
    <n v="-3.0570725046180952E-3"/>
    <n v="0.17799866497296365"/>
    <n v="1.8641948569821585"/>
    <n v="-1"/>
    <x v="742"/>
    <n v="0"/>
    <x v="0"/>
    <x v="0"/>
    <n v="0"/>
    <n v="0"/>
    <n v="0"/>
    <x v="0"/>
    <x v="1"/>
    <s v="Normal"/>
    <s v="Allowed"/>
    <m/>
    <m/>
    <m/>
  </r>
  <r>
    <x v="0"/>
    <x v="4"/>
    <x v="5"/>
    <x v="8"/>
    <n v="8.2191780821917818E-2"/>
    <n v="0"/>
    <s v="DOWN"/>
    <n v="0.1"/>
    <n v="0"/>
    <n v="-3.0570725046180952E-3"/>
    <n v="0.17799866497296365"/>
    <n v="1.7174693445495427E-2"/>
    <n v="0"/>
    <x v="742"/>
    <n v="0"/>
    <x v="0"/>
    <x v="0"/>
    <n v="0"/>
    <n v="0"/>
    <n v="0"/>
    <x v="1"/>
    <x v="1"/>
    <s v="Normal"/>
    <s v="Allowed"/>
    <m/>
    <m/>
    <m/>
  </r>
  <r>
    <x v="0"/>
    <x v="4"/>
    <x v="5"/>
    <x v="9"/>
    <n v="0.1228668941979522"/>
    <n v="0"/>
    <s v="DOWN"/>
    <n v="0.1"/>
    <n v="-0.49488054607508492"/>
    <n v="-3.0570725046180952E-3"/>
    <n v="0.17799866497296365"/>
    <n v="-2.7630739457802687"/>
    <n v="1"/>
    <x v="743"/>
    <n v="0"/>
    <x v="0"/>
    <x v="1"/>
    <n v="0"/>
    <n v="1"/>
    <n v="1"/>
    <x v="1"/>
    <x v="0"/>
    <s v="Abnormal"/>
    <s v="Allowed"/>
    <m/>
    <m/>
    <m/>
  </r>
  <r>
    <x v="0"/>
    <x v="4"/>
    <x v="5"/>
    <x v="10"/>
    <n v="7.2507552870090641E-2"/>
    <n v="0"/>
    <s v="DOWN"/>
    <n v="0.1"/>
    <n v="0.40986908358509561"/>
    <n v="-3.0570725046180952E-3"/>
    <n v="0.17799866497296365"/>
    <n v="2.3198272647293923"/>
    <n v="-1"/>
    <x v="744"/>
    <n v="0"/>
    <x v="0"/>
    <x v="0"/>
    <n v="0"/>
    <n v="0"/>
    <n v="0"/>
    <x v="0"/>
    <x v="1"/>
    <s v="Normal"/>
    <s v="Allowed"/>
    <m/>
    <m/>
    <m/>
  </r>
  <r>
    <x v="0"/>
    <x v="4"/>
    <x v="5"/>
    <x v="11"/>
    <n v="3.3660589060308548E-2"/>
    <n v="0"/>
    <s v="DOWN"/>
    <n v="0.1"/>
    <n v="0.53576437587657799"/>
    <n v="-3.0570725046180952E-3"/>
    <n v="0.17799866497296365"/>
    <n v="3.0271094924393847"/>
    <n v="-1"/>
    <x v="745"/>
    <n v="0"/>
    <x v="0"/>
    <x v="0"/>
    <n v="0"/>
    <n v="0"/>
    <n v="0"/>
    <x v="0"/>
    <x v="1"/>
    <s v="Normal"/>
    <s v="Allowed"/>
    <m/>
    <m/>
    <m/>
  </r>
  <r>
    <x v="0"/>
    <x v="4"/>
    <x v="5"/>
    <x v="12"/>
    <n v="3.3660589060308548E-2"/>
    <n v="0"/>
    <s v="DOWN"/>
    <n v="0.1"/>
    <n v="0"/>
    <n v="-3.0570725046180952E-3"/>
    <n v="0.17799866497296365"/>
    <n v="1.7174693445495427E-2"/>
    <n v="0"/>
    <x v="745"/>
    <n v="0"/>
    <x v="0"/>
    <x v="0"/>
    <n v="0"/>
    <n v="0"/>
    <n v="0"/>
    <x v="1"/>
    <x v="1"/>
    <s v="Normal"/>
    <s v="Allowed"/>
    <m/>
    <m/>
    <m/>
  </r>
  <r>
    <x v="0"/>
    <x v="4"/>
    <x v="5"/>
    <x v="13"/>
    <n v="3.3707865168539318E-2"/>
    <n v="0"/>
    <s v="DOWN"/>
    <n v="0.1"/>
    <n v="-1.4044943820224721E-3"/>
    <n v="-3.0570725046180952E-3"/>
    <n v="0.17799866497296365"/>
    <n v="9.2842163891882802E-3"/>
    <n v="0"/>
    <x v="746"/>
    <n v="0"/>
    <x v="0"/>
    <x v="0"/>
    <n v="0"/>
    <n v="0"/>
    <n v="0"/>
    <x v="1"/>
    <x v="1"/>
    <s v="Normal"/>
    <s v="Allowed"/>
    <m/>
    <m/>
    <m/>
  </r>
  <r>
    <x v="0"/>
    <x v="4"/>
    <x v="5"/>
    <x v="14"/>
    <n v="3.3802816901408447E-2"/>
    <n v="0"/>
    <s v="DOWN"/>
    <n v="0.1"/>
    <n v="-2.8169014084508379E-3"/>
    <n v="-3.0570725046180952E-3"/>
    <n v="0.17799866497296365"/>
    <n v="1.3492859410138669E-3"/>
    <n v="0"/>
    <x v="747"/>
    <n v="0"/>
    <x v="0"/>
    <x v="0"/>
    <n v="0"/>
    <n v="0"/>
    <n v="0"/>
    <x v="1"/>
    <x v="1"/>
    <s v="Normal"/>
    <s v="Allowed"/>
    <m/>
    <m/>
    <m/>
  </r>
  <r>
    <x v="0"/>
    <x v="4"/>
    <x v="5"/>
    <x v="15"/>
    <n v="6.8965517241379309E-2"/>
    <n v="0"/>
    <s v="DOWN"/>
    <n v="0.1"/>
    <n v="-1.0402298850574709"/>
    <n v="-3.0570725046180952E-3"/>
    <n v="0.17799866497296365"/>
    <n v="-5.826857255982171"/>
    <n v="1"/>
    <x v="748"/>
    <n v="0"/>
    <x v="0"/>
    <x v="0"/>
    <n v="0"/>
    <n v="0"/>
    <n v="0"/>
    <x v="1"/>
    <x v="1"/>
    <s v="Abnormal"/>
    <s v="Allowed"/>
    <m/>
    <m/>
    <m/>
  </r>
  <r>
    <x v="1"/>
    <x v="4"/>
    <x v="6"/>
    <x v="0"/>
    <n v="0.14699999999999999"/>
    <n v="0"/>
    <s v="DOWN"/>
    <n v="0.59"/>
    <n v="0.76290322580645153"/>
    <n v="-4.8849805534298088E-2"/>
    <n v="0.44966933193859487"/>
    <n v="1.8052221347654624"/>
    <n v="-1"/>
    <x v="749"/>
    <n v="0"/>
    <x v="0"/>
    <x v="0"/>
    <n v="0"/>
    <n v="0"/>
    <n v="0"/>
    <x v="0"/>
    <x v="1"/>
    <s v="Normal"/>
    <s v="Allowed"/>
    <m/>
    <m/>
    <m/>
  </r>
  <r>
    <x v="1"/>
    <x v="4"/>
    <x v="6"/>
    <x v="1"/>
    <n v="0.71199999999999997"/>
    <n v="0"/>
    <s v="DOWN"/>
    <n v="0.59"/>
    <n v="-3.843537414965986"/>
    <n v="-4.8849805534298088E-2"/>
    <n v="0.44966933193859487"/>
    <n v="-8.4388401429828352"/>
    <n v="1"/>
    <x v="750"/>
    <n v="0"/>
    <x v="0"/>
    <x v="1"/>
    <n v="0"/>
    <n v="1"/>
    <n v="1"/>
    <x v="1"/>
    <x v="0"/>
    <s v="Abnormal"/>
    <s v="Allowed"/>
    <m/>
    <m/>
    <m/>
  </r>
  <r>
    <x v="1"/>
    <x v="4"/>
    <x v="6"/>
    <x v="2"/>
    <n v="0.63"/>
    <n v="0"/>
    <s v="DOWN"/>
    <n v="0.59"/>
    <n v="0.1151685393258426"/>
    <n v="-4.8849805534298088E-2"/>
    <n v="0.44966933193859487"/>
    <n v="0.36475323801387999"/>
    <n v="0"/>
    <x v="94"/>
    <n v="0"/>
    <x v="0"/>
    <x v="0"/>
    <n v="0"/>
    <n v="0"/>
    <n v="0"/>
    <x v="0"/>
    <x v="0"/>
    <s v="Normal"/>
    <s v="Allowed"/>
    <m/>
    <m/>
    <m/>
  </r>
  <r>
    <x v="1"/>
    <x v="4"/>
    <x v="6"/>
    <x v="3"/>
    <n v="0.74"/>
    <n v="0"/>
    <s v="DOWN"/>
    <n v="0.59"/>
    <n v="-0.17460317460317459"/>
    <n v="-4.8849805534298088E-2"/>
    <n v="0.44966933193859487"/>
    <n v="-0.27965742855251896"/>
    <n v="0"/>
    <x v="279"/>
    <n v="0"/>
    <x v="0"/>
    <x v="0"/>
    <n v="0"/>
    <n v="0"/>
    <n v="0"/>
    <x v="1"/>
    <x v="0"/>
    <s v="Normal"/>
    <s v="Allowed"/>
    <m/>
    <m/>
    <m/>
  </r>
  <r>
    <x v="1"/>
    <x v="4"/>
    <x v="6"/>
    <x v="4"/>
    <n v="0.64"/>
    <n v="0"/>
    <s v="DOWN"/>
    <n v="0.59"/>
    <n v="0.13513513513513509"/>
    <n v="-4.8849805534298088E-2"/>
    <n v="0.44966933193859487"/>
    <n v="0.40915607892636413"/>
    <n v="0"/>
    <x v="751"/>
    <n v="0"/>
    <x v="0"/>
    <x v="0"/>
    <n v="0"/>
    <n v="0"/>
    <n v="0"/>
    <x v="0"/>
    <x v="0"/>
    <s v="Normal"/>
    <s v="Allowed"/>
    <m/>
    <m/>
    <m/>
  </r>
  <r>
    <x v="1"/>
    <x v="4"/>
    <x v="6"/>
    <x v="5"/>
    <n v="0.77"/>
    <n v="0"/>
    <s v="DOWN"/>
    <n v="0.59"/>
    <n v="-0.203125"/>
    <n v="-4.8849805534298088E-2"/>
    <n v="0.44966933193859487"/>
    <n v="-0.34308587112355965"/>
    <n v="0"/>
    <x v="620"/>
    <n v="0"/>
    <x v="0"/>
    <x v="0"/>
    <n v="0"/>
    <n v="0"/>
    <n v="0"/>
    <x v="1"/>
    <x v="0"/>
    <s v="Normal"/>
    <s v="Allowed"/>
    <m/>
    <m/>
    <m/>
  </r>
  <r>
    <x v="1"/>
    <x v="4"/>
    <x v="6"/>
    <x v="6"/>
    <n v="0.8"/>
    <n v="0"/>
    <s v="DOWN"/>
    <n v="0.59"/>
    <n v="-3.8961038961038988E-2"/>
    <n v="-4.8849805534298088E-2"/>
    <n v="0.44966933193859487"/>
    <n v="2.1991196354501384E-2"/>
    <n v="0"/>
    <x v="619"/>
    <n v="0"/>
    <x v="0"/>
    <x v="0"/>
    <n v="0"/>
    <n v="0"/>
    <n v="0"/>
    <x v="1"/>
    <x v="0"/>
    <s v="Normal"/>
    <s v="Allowed"/>
    <m/>
    <m/>
    <m/>
  </r>
  <r>
    <x v="1"/>
    <x v="4"/>
    <x v="6"/>
    <x v="7"/>
    <n v="0.78"/>
    <n v="0"/>
    <s v="DOWN"/>
    <n v="0.59"/>
    <n v="2.5000000000000019E-2"/>
    <n v="-4.8849805534298088E-2"/>
    <n v="0.44966933193859487"/>
    <n v="0.16423135910985978"/>
    <n v="0"/>
    <x v="281"/>
    <n v="0"/>
    <x v="0"/>
    <x v="0"/>
    <n v="0"/>
    <n v="0"/>
    <n v="0"/>
    <x v="0"/>
    <x v="0"/>
    <s v="Normal"/>
    <s v="Allowed"/>
    <m/>
    <m/>
    <m/>
  </r>
  <r>
    <x v="1"/>
    <x v="4"/>
    <x v="6"/>
    <x v="8"/>
    <n v="0.77"/>
    <n v="0"/>
    <s v="DOWN"/>
    <n v="0.59"/>
    <n v="1.282051282051283E-2"/>
    <n v="-4.8849805534298088E-2"/>
    <n v="0.44966933193859487"/>
    <n v="0.13714592918520932"/>
    <n v="0"/>
    <x v="620"/>
    <n v="0"/>
    <x v="0"/>
    <x v="0"/>
    <n v="0"/>
    <n v="0"/>
    <n v="0"/>
    <x v="0"/>
    <x v="0"/>
    <s v="Normal"/>
    <s v="Allowed"/>
    <m/>
    <m/>
    <m/>
  </r>
  <r>
    <x v="1"/>
    <x v="4"/>
    <x v="6"/>
    <x v="9"/>
    <n v="0.61"/>
    <n v="0"/>
    <s v="DOWN"/>
    <n v="0.59"/>
    <n v="0.20779220779220781"/>
    <n v="-4.8849805534298088E-2"/>
    <n v="0.44966933193859487"/>
    <n v="0.57073497145131513"/>
    <n v="-1"/>
    <x v="95"/>
    <n v="0"/>
    <x v="0"/>
    <x v="0"/>
    <n v="0"/>
    <n v="0"/>
    <n v="0"/>
    <x v="0"/>
    <x v="0"/>
    <s v="Normal"/>
    <s v="Allowed"/>
    <m/>
    <m/>
    <m/>
  </r>
  <r>
    <x v="1"/>
    <x v="4"/>
    <x v="6"/>
    <x v="10"/>
    <n v="0.65"/>
    <n v="0"/>
    <s v="DOWN"/>
    <n v="0.59"/>
    <n v="-6.5573770491803338E-2"/>
    <n v="-4.8849805534298088E-2"/>
    <n v="0.44966933193859487"/>
    <n v="-3.7191695696492395E-2"/>
    <n v="0"/>
    <x v="283"/>
    <n v="0"/>
    <x v="0"/>
    <x v="0"/>
    <n v="0"/>
    <n v="0"/>
    <n v="0"/>
    <x v="1"/>
    <x v="0"/>
    <s v="Normal"/>
    <s v="Allowed"/>
    <m/>
    <m/>
    <m/>
  </r>
  <r>
    <x v="1"/>
    <x v="4"/>
    <x v="6"/>
    <x v="11"/>
    <n v="0.33"/>
    <n v="0"/>
    <s v="DOWN"/>
    <n v="0.59"/>
    <n v="0.49230769230769228"/>
    <n v="-4.8849805534298088E-2"/>
    <n v="0.44966933193859487"/>
    <n v="1.2034565388503942"/>
    <n v="-1"/>
    <x v="752"/>
    <n v="0"/>
    <x v="0"/>
    <x v="0"/>
    <n v="0"/>
    <n v="0"/>
    <n v="0"/>
    <x v="0"/>
    <x v="1"/>
    <s v="Normal"/>
    <s v="Allowed"/>
    <m/>
    <m/>
    <m/>
  </r>
  <r>
    <x v="1"/>
    <x v="4"/>
    <x v="6"/>
    <x v="12"/>
    <n v="0.56999999999999995"/>
    <n v="0"/>
    <s v="DOWN"/>
    <n v="0.59"/>
    <n v="-0.72727272727272707"/>
    <n v="-4.8849805534298088E-2"/>
    <n v="0.44966933193859487"/>
    <n v="-1.5087151236523995"/>
    <n v="1"/>
    <x v="101"/>
    <n v="0"/>
    <x v="0"/>
    <x v="0"/>
    <n v="0"/>
    <n v="0"/>
    <n v="0"/>
    <x v="1"/>
    <x v="1"/>
    <s v="Abnormal"/>
    <s v="Allowed"/>
    <m/>
    <m/>
    <m/>
  </r>
  <r>
    <x v="1"/>
    <x v="4"/>
    <x v="6"/>
    <x v="13"/>
    <n v="1.5720000000000001"/>
    <n v="0"/>
    <s v="DOWN"/>
    <n v="0.59"/>
    <n v="-1.7578947368421061"/>
    <n v="-4.8849805534298088E-2"/>
    <n v="0.44966933193859487"/>
    <n v="-3.80067042584347"/>
    <n v="1"/>
    <x v="753"/>
    <n v="0"/>
    <x v="0"/>
    <x v="1"/>
    <n v="0"/>
    <n v="1"/>
    <n v="1"/>
    <x v="1"/>
    <x v="0"/>
    <s v="Abnormal"/>
    <s v="Allowed"/>
    <m/>
    <m/>
    <m/>
  </r>
  <r>
    <x v="1"/>
    <x v="4"/>
    <x v="6"/>
    <x v="14"/>
    <n v="0.3"/>
    <n v="0"/>
    <s v="DOWN"/>
    <n v="0.59"/>
    <n v="0.80916030534351147"/>
    <n v="-4.8849805534298088E-2"/>
    <n v="0.44966933193859487"/>
    <n v="1.9080912349054218"/>
    <n v="-1"/>
    <x v="754"/>
    <n v="0"/>
    <x v="0"/>
    <x v="0"/>
    <n v="0"/>
    <n v="0"/>
    <n v="0"/>
    <x v="0"/>
    <x v="1"/>
    <s v="Normal"/>
    <s v="Allowed"/>
    <m/>
    <m/>
    <m/>
  </r>
  <r>
    <x v="1"/>
    <x v="4"/>
    <x v="7"/>
    <x v="0"/>
    <n v="0.51700000000000002"/>
    <n v="0"/>
    <s v="DOWN"/>
    <n v="0.56999999999999995"/>
    <n v="0.17280000000000001"/>
    <n v="-2.6703176088529658E-2"/>
    <n v="0.34089784338901952"/>
    <n v="0.58522862481375193"/>
    <n v="-1"/>
    <x v="621"/>
    <n v="0"/>
    <x v="0"/>
    <x v="0"/>
    <n v="0"/>
    <n v="0"/>
    <n v="0"/>
    <x v="0"/>
    <x v="1"/>
    <s v="Normal"/>
    <s v="Allowed"/>
    <m/>
    <m/>
    <m/>
  </r>
  <r>
    <x v="1"/>
    <x v="4"/>
    <x v="7"/>
    <x v="1"/>
    <n v="0.47799999999999998"/>
    <n v="0"/>
    <s v="DOWN"/>
    <n v="0.56999999999999995"/>
    <n v="7.5435203094777623E-2"/>
    <n v="-2.6703176088529658E-2"/>
    <n v="0.34089784338901952"/>
    <n v="0.29961579741280703"/>
    <n v="0"/>
    <x v="622"/>
    <n v="0"/>
    <x v="0"/>
    <x v="0"/>
    <n v="0"/>
    <n v="0"/>
    <n v="0"/>
    <x v="0"/>
    <x v="1"/>
    <s v="Normal"/>
    <s v="Allowed"/>
    <m/>
    <m/>
    <m/>
  </r>
  <r>
    <x v="1"/>
    <x v="4"/>
    <x v="7"/>
    <x v="2"/>
    <n v="0.54500000000000004"/>
    <n v="0"/>
    <s v="DOWN"/>
    <n v="0.56999999999999995"/>
    <n v="-0.14016736401673649"/>
    <n v="-2.6703176088529658E-2"/>
    <n v="0.34089784338901952"/>
    <n v="-0.33283926586395524"/>
    <n v="0"/>
    <x v="112"/>
    <n v="0"/>
    <x v="0"/>
    <x v="0"/>
    <n v="0"/>
    <n v="0"/>
    <n v="0"/>
    <x v="1"/>
    <x v="1"/>
    <s v="Normal"/>
    <s v="Allowed"/>
    <m/>
    <m/>
    <m/>
  </r>
  <r>
    <x v="1"/>
    <x v="4"/>
    <x v="7"/>
    <x v="3"/>
    <n v="0.44400000000000001"/>
    <n v="0"/>
    <s v="DOWN"/>
    <n v="0.56999999999999995"/>
    <n v="0.1853211009174312"/>
    <n v="-2.6703176088529658E-2"/>
    <n v="0.34089784338901952"/>
    <n v="0.62195839932025299"/>
    <n v="-1"/>
    <x v="623"/>
    <n v="0"/>
    <x v="0"/>
    <x v="0"/>
    <n v="0"/>
    <n v="0"/>
    <n v="0"/>
    <x v="0"/>
    <x v="1"/>
    <s v="Normal"/>
    <s v="Allowed"/>
    <m/>
    <m/>
    <m/>
  </r>
  <r>
    <x v="1"/>
    <x v="4"/>
    <x v="7"/>
    <x v="4"/>
    <n v="0.45500000000000002"/>
    <n v="0"/>
    <s v="DOWN"/>
    <n v="0.56999999999999995"/>
    <n v="-2.4774774774774799E-2"/>
    <n v="-2.6703176088529658E-2"/>
    <n v="0.34089784338901952"/>
    <n v="5.6568304879366493E-3"/>
    <n v="0"/>
    <x v="624"/>
    <n v="0"/>
    <x v="0"/>
    <x v="0"/>
    <n v="0"/>
    <n v="0"/>
    <n v="0"/>
    <x v="1"/>
    <x v="1"/>
    <s v="Normal"/>
    <s v="Allowed"/>
    <m/>
    <m/>
    <m/>
  </r>
  <r>
    <x v="1"/>
    <x v="4"/>
    <x v="7"/>
    <x v="5"/>
    <n v="0.64"/>
    <n v="0"/>
    <s v="DOWN"/>
    <n v="0.56999999999999995"/>
    <n v="-0.40659340659340659"/>
    <n v="-2.6703176088529658E-2"/>
    <n v="0.34089784338901952"/>
    <n v="-1.1143814426287255"/>
    <n v="1"/>
    <x v="625"/>
    <n v="0"/>
    <x v="0"/>
    <x v="1"/>
    <n v="0"/>
    <n v="1"/>
    <n v="1"/>
    <x v="1"/>
    <x v="0"/>
    <s v="Abnormal"/>
    <s v="Allowed"/>
    <m/>
    <m/>
    <m/>
  </r>
  <r>
    <x v="1"/>
    <x v="4"/>
    <x v="7"/>
    <x v="6"/>
    <n v="0.54500000000000004"/>
    <n v="0"/>
    <s v="DOWN"/>
    <n v="0.56999999999999995"/>
    <n v="0.14843749999999989"/>
    <n v="-2.6703176088529658E-2"/>
    <n v="0.34089784338901952"/>
    <n v="0.51376293363248338"/>
    <n v="-1"/>
    <x v="112"/>
    <n v="0"/>
    <x v="0"/>
    <x v="0"/>
    <n v="0"/>
    <n v="0"/>
    <n v="0"/>
    <x v="0"/>
    <x v="1"/>
    <s v="Normal"/>
    <s v="Allowed"/>
    <m/>
    <m/>
    <m/>
  </r>
  <r>
    <x v="1"/>
    <x v="4"/>
    <x v="7"/>
    <x v="7"/>
    <n v="0.83299999999999996"/>
    <n v="0"/>
    <s v="DOWN"/>
    <n v="0.56999999999999995"/>
    <n v="-0.52844036697247687"/>
    <n v="-2.6703176088529658E-2"/>
    <n v="0.34089784338901952"/>
    <n v="-1.4718109856488122"/>
    <n v="1"/>
    <x v="626"/>
    <n v="0"/>
    <x v="0"/>
    <x v="1"/>
    <n v="0"/>
    <n v="1"/>
    <n v="1"/>
    <x v="1"/>
    <x v="0"/>
    <s v="Abnormal"/>
    <s v="Allowed"/>
    <m/>
    <m/>
    <m/>
  </r>
  <r>
    <x v="1"/>
    <x v="4"/>
    <x v="7"/>
    <x v="8"/>
    <n v="0.72699999999999998"/>
    <n v="0"/>
    <s v="DOWN"/>
    <n v="0.56999999999999995"/>
    <n v="0.12725090036014411"/>
    <n v="-2.6703176088529658E-2"/>
    <n v="0.34089784338901952"/>
    <n v="0.45161352421049872"/>
    <n v="0"/>
    <x v="111"/>
    <n v="0"/>
    <x v="0"/>
    <x v="0"/>
    <n v="0"/>
    <n v="0"/>
    <n v="0"/>
    <x v="0"/>
    <x v="0"/>
    <s v="Normal"/>
    <s v="Allowed"/>
    <m/>
    <m/>
    <m/>
  </r>
  <r>
    <x v="1"/>
    <x v="4"/>
    <x v="7"/>
    <x v="9"/>
    <n v="0.55600000000000005"/>
    <n v="0"/>
    <s v="DOWN"/>
    <n v="0.56999999999999995"/>
    <n v="0.23521320495185691"/>
    <n v="-2.6703176088529658E-2"/>
    <n v="0.34089784338901952"/>
    <n v="0.76831339980493119"/>
    <n v="-1"/>
    <x v="627"/>
    <n v="0"/>
    <x v="0"/>
    <x v="0"/>
    <n v="0"/>
    <n v="0"/>
    <n v="0"/>
    <x v="0"/>
    <x v="1"/>
    <s v="Normal"/>
    <s v="Allowed"/>
    <m/>
    <m/>
    <m/>
  </r>
  <r>
    <x v="1"/>
    <x v="4"/>
    <x v="7"/>
    <x v="10"/>
    <n v="0.4"/>
    <n v="0"/>
    <s v="DOWN"/>
    <n v="0.56999999999999995"/>
    <n v="0.28057553956834541"/>
    <n v="-2.6703176088529658E-2"/>
    <n v="0.34089784338901952"/>
    <n v="0.90138063826417469"/>
    <n v="-1"/>
    <x v="628"/>
    <n v="0"/>
    <x v="0"/>
    <x v="0"/>
    <n v="0"/>
    <n v="0"/>
    <n v="0"/>
    <x v="0"/>
    <x v="1"/>
    <s v="Normal"/>
    <s v="Allowed"/>
    <m/>
    <m/>
    <m/>
  </r>
  <r>
    <x v="1"/>
    <x v="4"/>
    <x v="7"/>
    <x v="11"/>
    <n v="1.43"/>
    <n v="0"/>
    <s v="DOWN"/>
    <n v="0.56999999999999995"/>
    <n v="-2.5749999999999988"/>
    <n v="-2.6703176088529658E-2"/>
    <n v="0.34089784338901952"/>
    <n v="-7.4752506456998935"/>
    <n v="1"/>
    <x v="755"/>
    <n v="0"/>
    <x v="0"/>
    <x v="1"/>
    <n v="0"/>
    <n v="1"/>
    <n v="1"/>
    <x v="1"/>
    <x v="0"/>
    <s v="Abnormal"/>
    <s v="Allowed"/>
    <m/>
    <m/>
    <m/>
  </r>
  <r>
    <x v="1"/>
    <x v="4"/>
    <x v="7"/>
    <x v="12"/>
    <n v="1.76"/>
    <n v="0"/>
    <s v="DOWN"/>
    <n v="0.56999999999999995"/>
    <n v="-0.23076923076923081"/>
    <n v="-2.6703176088529658E-2"/>
    <n v="0.34089784338901952"/>
    <n v="-0.59861351028797449"/>
    <n v="1"/>
    <x v="756"/>
    <n v="0"/>
    <x v="0"/>
    <x v="1"/>
    <n v="0"/>
    <n v="1"/>
    <n v="1"/>
    <x v="1"/>
    <x v="0"/>
    <s v="Abnormal"/>
    <s v="Allowed"/>
    <m/>
    <m/>
    <m/>
  </r>
  <r>
    <x v="1"/>
    <x v="4"/>
    <x v="7"/>
    <x v="13"/>
    <n v="0.35"/>
    <n v="0"/>
    <s v="DOWN"/>
    <n v="0.56999999999999995"/>
    <n v="0.80113636363636376"/>
    <n v="-2.6703176088529658E-2"/>
    <n v="0.34089784338901952"/>
    <n v="2.4284094363723936"/>
    <n v="-1"/>
    <x v="757"/>
    <n v="0"/>
    <x v="0"/>
    <x v="0"/>
    <n v="0"/>
    <n v="0"/>
    <n v="0"/>
    <x v="0"/>
    <x v="1"/>
    <s v="Normal"/>
    <s v="Allowed"/>
    <m/>
    <m/>
    <m/>
  </r>
  <r>
    <x v="2"/>
    <x v="4"/>
    <x v="8"/>
    <x v="0"/>
    <n v="0.93330000000000002"/>
    <n v="0"/>
    <s v="UP"/>
    <n v="0.85"/>
    <n v="-6.6699999999999982E-2"/>
    <n v="4.5902054585511267E-3"/>
    <n v="7.1528610508022367E-2"/>
    <n v="-0.99666699733466069"/>
    <n v="1"/>
    <x v="758"/>
    <n v="0"/>
    <x v="0"/>
    <x v="0"/>
    <n v="0"/>
    <n v="0"/>
    <n v="0"/>
    <x v="1"/>
    <x v="1"/>
    <s v="Abnormal"/>
    <s v="Allowed"/>
    <m/>
    <m/>
    <m/>
  </r>
  <r>
    <x v="2"/>
    <x v="4"/>
    <x v="8"/>
    <x v="1"/>
    <n v="0.9"/>
    <n v="0"/>
    <s v="UP"/>
    <n v="0.85"/>
    <n v="-3.5679845708775311E-2"/>
    <n v="4.5902054585511267E-3"/>
    <n v="7.1528610508022367E-2"/>
    <n v="-0.56299221921569287"/>
    <n v="1"/>
    <x v="759"/>
    <n v="0"/>
    <x v="0"/>
    <x v="0"/>
    <n v="0"/>
    <n v="0"/>
    <n v="0"/>
    <x v="1"/>
    <x v="1"/>
    <s v="Abnormal"/>
    <s v="Allowed"/>
    <m/>
    <m/>
    <m/>
  </r>
  <r>
    <x v="2"/>
    <x v="4"/>
    <x v="8"/>
    <x v="2"/>
    <n v="0.89290000000000003"/>
    <n v="0"/>
    <s v="UP"/>
    <n v="0.85"/>
    <n v="-7.8888888888888828E-3"/>
    <n v="4.5902054585511267E-3"/>
    <n v="7.1528610508022367E-2"/>
    <n v="-0.17446297724517387"/>
    <n v="0"/>
    <x v="760"/>
    <n v="0"/>
    <x v="0"/>
    <x v="0"/>
    <n v="0"/>
    <n v="0"/>
    <n v="0"/>
    <x v="1"/>
    <x v="1"/>
    <s v="Normal"/>
    <s v="Allowed"/>
    <m/>
    <m/>
    <m/>
  </r>
  <r>
    <x v="2"/>
    <x v="4"/>
    <x v="8"/>
    <x v="3"/>
    <n v="0.84209999999999996"/>
    <n v="0"/>
    <s v="UP"/>
    <n v="0.85"/>
    <n v="-5.6893269123082173E-2"/>
    <n v="4.5902054585511267E-3"/>
    <n v="7.1528610508022367E-2"/>
    <n v="-0.85956478316795426"/>
    <n v="1"/>
    <x v="761"/>
    <n v="0"/>
    <x v="0"/>
    <x v="0"/>
    <n v="0"/>
    <n v="0"/>
    <n v="0"/>
    <x v="1"/>
    <x v="1"/>
    <s v="Abnormal"/>
    <s v="Allowed"/>
    <m/>
    <m/>
    <m/>
  </r>
  <r>
    <x v="2"/>
    <x v="4"/>
    <x v="8"/>
    <x v="4"/>
    <n v="0.92859999999999998"/>
    <n v="0"/>
    <s v="UP"/>
    <n v="0.85"/>
    <n v="0.1027193919962"/>
    <n v="4.5902054585511267E-3"/>
    <n v="7.1528610508022367E-2"/>
    <n v="1.3718872188443125"/>
    <n v="-1"/>
    <x v="762"/>
    <n v="0"/>
    <x v="0"/>
    <x v="0"/>
    <n v="0"/>
    <n v="0"/>
    <n v="0"/>
    <x v="0"/>
    <x v="1"/>
    <s v="Normal"/>
    <s v="Allowed"/>
    <m/>
    <m/>
    <m/>
  </r>
  <r>
    <x v="2"/>
    <x v="4"/>
    <x v="8"/>
    <x v="5"/>
    <n v="0.94120000000000004"/>
    <n v="0"/>
    <s v="UP"/>
    <n v="0.85"/>
    <n v="1.356881326728414E-2"/>
    <n v="4.5902054585511267E-3"/>
    <n v="7.1528610508022367E-2"/>
    <n v="0.12552470605766916"/>
    <n v="0"/>
    <x v="763"/>
    <n v="0"/>
    <x v="0"/>
    <x v="0"/>
    <n v="0"/>
    <n v="0"/>
    <n v="0"/>
    <x v="0"/>
    <x v="1"/>
    <s v="Normal"/>
    <s v="Allowed"/>
    <m/>
    <m/>
    <m/>
  </r>
  <r>
    <x v="2"/>
    <x v="4"/>
    <x v="8"/>
    <x v="6"/>
    <n v="1"/>
    <n v="0"/>
    <s v="UP"/>
    <n v="0.85"/>
    <n v="6.2473438164045859E-2"/>
    <n v="4.5902054585511267E-3"/>
    <n v="7.1528610508022367E-2"/>
    <n v="0.8092318904895095"/>
    <n v="-1"/>
    <x v="764"/>
    <n v="0"/>
    <x v="0"/>
    <x v="0"/>
    <n v="0"/>
    <n v="0"/>
    <n v="0"/>
    <x v="0"/>
    <x v="1"/>
    <s v="Normal"/>
    <s v="Allowed"/>
    <m/>
    <m/>
    <m/>
  </r>
  <r>
    <x v="2"/>
    <x v="4"/>
    <x v="8"/>
    <x v="7"/>
    <n v="0.86360000000000003"/>
    <n v="0"/>
    <s v="UP"/>
    <n v="0.85"/>
    <n v="-0.13639999999999999"/>
    <n v="4.5902054585511267E-3"/>
    <n v="7.1528610508022367E-2"/>
    <n v="-1.9711022548486135"/>
    <n v="1"/>
    <x v="765"/>
    <n v="0"/>
    <x v="0"/>
    <x v="0"/>
    <n v="0"/>
    <n v="0"/>
    <n v="0"/>
    <x v="1"/>
    <x v="1"/>
    <s v="Abnormal"/>
    <s v="Allowed"/>
    <m/>
    <m/>
    <m/>
  </r>
  <r>
    <x v="2"/>
    <x v="4"/>
    <x v="8"/>
    <x v="8"/>
    <n v="0.94740000000000002"/>
    <n v="0"/>
    <s v="UP"/>
    <n v="0.85"/>
    <n v="9.7035664659564591E-2"/>
    <n v="4.5902054585511267E-3"/>
    <n v="7.1528610508022367E-2"/>
    <n v="1.2924263248570325"/>
    <n v="-1"/>
    <x v="766"/>
    <n v="0"/>
    <x v="0"/>
    <x v="0"/>
    <n v="0"/>
    <n v="0"/>
    <n v="0"/>
    <x v="0"/>
    <x v="1"/>
    <s v="Normal"/>
    <s v="Allowed"/>
    <m/>
    <m/>
    <m/>
  </r>
  <r>
    <x v="2"/>
    <x v="4"/>
    <x v="8"/>
    <x v="9"/>
    <n v="0.88890000000000002"/>
    <n v="0"/>
    <s v="UP"/>
    <n v="0.85"/>
    <n v="-6.1747941735275487E-2"/>
    <n v="4.5902054585511267E-3"/>
    <n v="7.1528610508022367E-2"/>
    <n v="-0.92743514410064465"/>
    <n v="1"/>
    <x v="767"/>
    <n v="0"/>
    <x v="0"/>
    <x v="0"/>
    <n v="0"/>
    <n v="0"/>
    <n v="0"/>
    <x v="1"/>
    <x v="1"/>
    <s v="Abnormal"/>
    <s v="Allowed"/>
    <m/>
    <m/>
    <m/>
  </r>
  <r>
    <x v="2"/>
    <x v="4"/>
    <x v="8"/>
    <x v="10"/>
    <n v="0.77780000000000005"/>
    <n v="0"/>
    <s v="UP"/>
    <n v="0.85"/>
    <n v="-0.12498593767577899"/>
    <n v="4.5902054585511267E-3"/>
    <n v="7.1528610508022367E-2"/>
    <n v="-1.8115288723495804"/>
    <n v="1"/>
    <x v="768"/>
    <n v="0"/>
    <x v="0"/>
    <x v="1"/>
    <n v="0"/>
    <n v="1"/>
    <n v="1"/>
    <x v="1"/>
    <x v="0"/>
    <s v="Abnormal"/>
    <s v="Allowed"/>
    <m/>
    <m/>
    <m/>
  </r>
  <r>
    <x v="2"/>
    <x v="4"/>
    <x v="8"/>
    <x v="11"/>
    <n v="0.89700000000000002"/>
    <n v="0"/>
    <s v="UP"/>
    <n v="0.85"/>
    <n v="0.15325276420673689"/>
    <n v="4.5902054585511267E-3"/>
    <n v="7.1528610508022367E-2"/>
    <n v="2.0783649744113561"/>
    <n v="-1"/>
    <x v="769"/>
    <n v="0"/>
    <x v="0"/>
    <x v="0"/>
    <n v="0"/>
    <n v="0"/>
    <n v="0"/>
    <x v="0"/>
    <x v="1"/>
    <s v="Normal"/>
    <s v="Allowed"/>
    <m/>
    <m/>
    <m/>
  </r>
  <r>
    <x v="2"/>
    <x v="4"/>
    <x v="8"/>
    <x v="12"/>
    <n v="1"/>
    <n v="0"/>
    <s v="UP"/>
    <n v="0.85"/>
    <n v="0.11482720178372351"/>
    <n v="4.5902054585511267E-3"/>
    <n v="7.1528610508022367E-2"/>
    <n v="1.541159482090158"/>
    <n v="-1"/>
    <x v="764"/>
    <n v="0"/>
    <x v="0"/>
    <x v="0"/>
    <n v="0"/>
    <n v="0"/>
    <n v="0"/>
    <x v="0"/>
    <x v="1"/>
    <s v="Normal"/>
    <s v="Allowed"/>
    <m/>
    <m/>
    <m/>
  </r>
  <r>
    <x v="2"/>
    <x v="4"/>
    <x v="8"/>
    <x v="13"/>
    <n v="0.9"/>
    <n v="0"/>
    <s v="UP"/>
    <n v="0.85"/>
    <n v="-9.9999999999999978E-2"/>
    <n v="4.5902054585511267E-3"/>
    <n v="7.1528610508022367E-2"/>
    <n v="-1.4622149754582563"/>
    <n v="1"/>
    <x v="759"/>
    <n v="0"/>
    <x v="0"/>
    <x v="0"/>
    <n v="0"/>
    <n v="0"/>
    <n v="0"/>
    <x v="1"/>
    <x v="1"/>
    <s v="Abnormal"/>
    <s v="Allowed"/>
    <m/>
    <m/>
    <m/>
  </r>
  <r>
    <x v="2"/>
    <x v="4"/>
    <x v="8"/>
    <x v="14"/>
    <n v="0.95199999999999996"/>
    <n v="0"/>
    <s v="UP"/>
    <n v="0.85"/>
    <n v="5.7777777777777713E-2"/>
    <n v="4.5902054585511267E-3"/>
    <n v="7.1528610508022367E-2"/>
    <n v="0.74358458722277676"/>
    <n v="-1"/>
    <x v="770"/>
    <n v="0"/>
    <x v="0"/>
    <x v="0"/>
    <n v="0"/>
    <n v="0"/>
    <n v="0"/>
    <x v="0"/>
    <x v="1"/>
    <s v="Normal"/>
    <s v="Allowed"/>
    <m/>
    <m/>
    <m/>
  </r>
  <r>
    <x v="2"/>
    <x v="4"/>
    <x v="8"/>
    <x v="15"/>
    <n v="1"/>
    <n v="0"/>
    <s v="UP"/>
    <n v="0.85"/>
    <n v="5.0420168067226941E-2"/>
    <n v="4.5902054585511267E-3"/>
    <n v="7.1528610508022367E-2"/>
    <n v="0.64072211501348408"/>
    <n v="-1"/>
    <x v="764"/>
    <n v="0"/>
    <x v="0"/>
    <x v="0"/>
    <n v="0"/>
    <n v="0"/>
    <n v="0"/>
    <x v="0"/>
    <x v="1"/>
    <s v="Normal"/>
    <s v="Allowed"/>
    <m/>
    <m/>
    <m/>
  </r>
  <r>
    <x v="2"/>
    <x v="4"/>
    <x v="9"/>
    <x v="1"/>
    <n v="0.66669999999999996"/>
    <n v="0"/>
    <s v="UP"/>
    <n v="0.65"/>
    <n v="-0.33329999999999999"/>
    <n v="1.2057533289701232E-2"/>
    <n v="0.17981498891186962"/>
    <n v="-1.9206270588430578"/>
    <n v="1"/>
    <x v="771"/>
    <n v="0"/>
    <x v="0"/>
    <x v="0"/>
    <n v="0"/>
    <n v="0"/>
    <n v="0"/>
    <x v="1"/>
    <x v="1"/>
    <s v="Abnormal"/>
    <s v="Allowed"/>
    <m/>
    <m/>
    <m/>
  </r>
  <r>
    <x v="2"/>
    <x v="4"/>
    <x v="9"/>
    <x v="2"/>
    <n v="0.75"/>
    <n v="0"/>
    <s v="UP"/>
    <n v="0.65"/>
    <n v="0.12494375281235939"/>
    <n v="1.2057533289701232E-2"/>
    <n v="0.17981498891186962"/>
    <n v="0.62779093225640725"/>
    <n v="-1"/>
    <x v="485"/>
    <n v="0"/>
    <x v="0"/>
    <x v="0"/>
    <n v="0"/>
    <n v="0"/>
    <n v="0"/>
    <x v="0"/>
    <x v="1"/>
    <s v="Normal"/>
    <s v="Allowed"/>
    <m/>
    <m/>
    <m/>
  </r>
  <r>
    <x v="2"/>
    <x v="4"/>
    <x v="9"/>
    <x v="3"/>
    <n v="0.6"/>
    <n v="0"/>
    <s v="UP"/>
    <n v="0.65"/>
    <n v="-0.2"/>
    <n v="1.2057533289701232E-2"/>
    <n v="0.17981498891186962"/>
    <n v="-1.1793095479578415"/>
    <n v="1"/>
    <x v="650"/>
    <n v="0"/>
    <x v="0"/>
    <x v="1"/>
    <n v="0"/>
    <n v="1"/>
    <n v="1"/>
    <x v="1"/>
    <x v="0"/>
    <s v="Abnormal"/>
    <s v="Allowed"/>
    <m/>
    <m/>
    <m/>
  </r>
  <r>
    <x v="2"/>
    <x v="4"/>
    <x v="9"/>
    <x v="4"/>
    <n v="0.5"/>
    <n v="0"/>
    <s v="UP"/>
    <n v="0.65"/>
    <n v="-0.1666666666666666"/>
    <n v="1.2057533289701232E-2"/>
    <n v="0.17981498891186962"/>
    <n v="-0.99393382630612415"/>
    <n v="1"/>
    <x v="772"/>
    <n v="0"/>
    <x v="0"/>
    <x v="1"/>
    <n v="0"/>
    <n v="1"/>
    <n v="1"/>
    <x v="1"/>
    <x v="0"/>
    <s v="Abnormal"/>
    <s v="Allowed"/>
    <m/>
    <m/>
    <m/>
  </r>
  <r>
    <x v="2"/>
    <x v="4"/>
    <x v="9"/>
    <x v="5"/>
    <n v="0.42859999999999998"/>
    <n v="0"/>
    <s v="UP"/>
    <n v="0.65"/>
    <n v="-0.14280000000000001"/>
    <n v="1.2057533289701232E-2"/>
    <n v="0.17981498891186962"/>
    <n v="-0.8612048096034951"/>
    <n v="1"/>
    <x v="773"/>
    <n v="0"/>
    <x v="0"/>
    <x v="1"/>
    <n v="0"/>
    <n v="1"/>
    <n v="1"/>
    <x v="1"/>
    <x v="0"/>
    <s v="Abnormal"/>
    <s v="Allowed"/>
    <m/>
    <m/>
    <m/>
  </r>
  <r>
    <x v="2"/>
    <x v="4"/>
    <x v="9"/>
    <x v="6"/>
    <n v="0.66669999999999996"/>
    <n v="0"/>
    <s v="UP"/>
    <n v="0.65"/>
    <n v="0.55552963135790945"/>
    <n v="1.2057533289701232E-2"/>
    <n v="0.17981498891186962"/>
    <n v="3.0223959713090052"/>
    <n v="-1"/>
    <x v="771"/>
    <n v="0"/>
    <x v="0"/>
    <x v="0"/>
    <n v="0"/>
    <n v="0"/>
    <n v="0"/>
    <x v="0"/>
    <x v="1"/>
    <s v="Normal"/>
    <s v="Allowed"/>
    <m/>
    <m/>
    <m/>
  </r>
  <r>
    <x v="2"/>
    <x v="4"/>
    <x v="9"/>
    <x v="7"/>
    <n v="1"/>
    <n v="0"/>
    <s v="UP"/>
    <n v="0.65"/>
    <n v="0.49992500374981258"/>
    <n v="1.2057533289701232E-2"/>
    <n v="0.17981498891186962"/>
    <n v="2.713163532208227"/>
    <n v="-1"/>
    <x v="774"/>
    <n v="0"/>
    <x v="0"/>
    <x v="0"/>
    <n v="0"/>
    <n v="0"/>
    <n v="0"/>
    <x v="0"/>
    <x v="1"/>
    <s v="Normal"/>
    <s v="Allowed"/>
    <m/>
    <m/>
    <m/>
  </r>
  <r>
    <x v="2"/>
    <x v="4"/>
    <x v="9"/>
    <x v="8"/>
    <n v="0.75"/>
    <n v="0"/>
    <s v="UP"/>
    <n v="0.65"/>
    <n v="-0.25"/>
    <n v="1.2057533289701232E-2"/>
    <n v="0.17981498891186962"/>
    <n v="-1.4573731304354169"/>
    <n v="1"/>
    <x v="485"/>
    <n v="0"/>
    <x v="0"/>
    <x v="0"/>
    <n v="0"/>
    <n v="0"/>
    <n v="0"/>
    <x v="1"/>
    <x v="1"/>
    <s v="Abnormal"/>
    <s v="Allowed"/>
    <m/>
    <m/>
    <m/>
  </r>
  <r>
    <x v="2"/>
    <x v="4"/>
    <x v="9"/>
    <x v="9"/>
    <n v="0.4"/>
    <n v="0"/>
    <s v="UP"/>
    <n v="0.65"/>
    <n v="-0.46666666666666662"/>
    <n v="1.2057533289701232E-2"/>
    <n v="0.17981498891186962"/>
    <n v="-2.6623153211715778"/>
    <n v="1"/>
    <x v="775"/>
    <n v="0"/>
    <x v="0"/>
    <x v="1"/>
    <n v="0"/>
    <n v="1"/>
    <n v="1"/>
    <x v="1"/>
    <x v="0"/>
    <s v="Abnormal"/>
    <s v="Allowed"/>
    <m/>
    <m/>
    <m/>
  </r>
  <r>
    <x v="2"/>
    <x v="4"/>
    <x v="9"/>
    <x v="10"/>
    <n v="0.33329999999999999"/>
    <n v="0"/>
    <s v="UP"/>
    <n v="0.65"/>
    <n v="-0.16675000000000009"/>
    <n v="1.2057533289701232E-2"/>
    <n v="0.17981498891186962"/>
    <n v="-0.99439726561025432"/>
    <n v="1"/>
    <x v="776"/>
    <n v="0"/>
    <x v="0"/>
    <x v="1"/>
    <n v="0"/>
    <n v="1"/>
    <n v="1"/>
    <x v="1"/>
    <x v="0"/>
    <s v="Abnormal"/>
    <s v="Allowed"/>
    <m/>
    <m/>
    <m/>
  </r>
  <r>
    <x v="2"/>
    <x v="4"/>
    <x v="9"/>
    <x v="12"/>
    <n v="0.75"/>
    <n v="0"/>
    <s v="UP"/>
    <n v="0.65"/>
    <n v="1.25022502250225"/>
    <n v="1.2057533289701232E-2"/>
    <n v="0.17981498891186962"/>
    <n v="6.8857857551541244"/>
    <n v="-1"/>
    <x v="485"/>
    <n v="0"/>
    <x v="0"/>
    <x v="0"/>
    <n v="0"/>
    <n v="0"/>
    <n v="0"/>
    <x v="0"/>
    <x v="1"/>
    <s v="Normal"/>
    <s v="Allowed"/>
    <m/>
    <m/>
    <m/>
  </r>
  <r>
    <x v="2"/>
    <x v="4"/>
    <x v="9"/>
    <x v="14"/>
    <n v="1"/>
    <n v="0"/>
    <s v="UP"/>
    <n v="0.65"/>
    <n v="0.33333333333333331"/>
    <n v="1.2057533289701232E-2"/>
    <n v="0.17981498891186962"/>
    <n v="1.7867019984696317"/>
    <n v="-1"/>
    <x v="774"/>
    <n v="0"/>
    <x v="0"/>
    <x v="0"/>
    <n v="0"/>
    <n v="0"/>
    <n v="0"/>
    <x v="0"/>
    <x v="1"/>
    <s v="Normal"/>
    <s v="Allowed"/>
    <m/>
    <m/>
    <m/>
  </r>
  <r>
    <x v="2"/>
    <x v="4"/>
    <x v="9"/>
    <x v="15"/>
    <n v="0.66700000000000004"/>
    <n v="0"/>
    <s v="UP"/>
    <n v="0.65"/>
    <n v="-0.33300000000000002"/>
    <n v="1.2057533289701232E-2"/>
    <n v="0.17981498891186962"/>
    <n v="-1.9189586773481926"/>
    <n v="1"/>
    <x v="777"/>
    <n v="0"/>
    <x v="0"/>
    <x v="0"/>
    <n v="0"/>
    <n v="0"/>
    <n v="0"/>
    <x v="1"/>
    <x v="1"/>
    <s v="Abnormal"/>
    <s v="Allowed"/>
    <m/>
    <m/>
    <m/>
  </r>
  <r>
    <x v="2"/>
    <x v="4"/>
    <x v="10"/>
    <x v="1"/>
    <n v="1"/>
    <n v="0"/>
    <s v="UP"/>
    <n v="0.85"/>
    <n v="0"/>
    <n v="1.8209321594669165E-2"/>
    <n v="0.22834931756330515"/>
    <n v="-7.9743271357143444E-2"/>
    <n v="0"/>
    <x v="764"/>
    <n v="0"/>
    <x v="0"/>
    <x v="0"/>
    <n v="0"/>
    <n v="0"/>
    <n v="0"/>
    <x v="1"/>
    <x v="1"/>
    <s v="Normal"/>
    <s v="Allowed"/>
    <m/>
    <m/>
    <m/>
  </r>
  <r>
    <x v="2"/>
    <x v="4"/>
    <x v="10"/>
    <x v="2"/>
    <n v="0.75"/>
    <n v="0"/>
    <s v="UP"/>
    <n v="0.85"/>
    <n v="-0.25"/>
    <n v="1.8209321594669165E-2"/>
    <n v="0.22834931756330515"/>
    <n v="-1.1745571410359641"/>
    <n v="1"/>
    <x v="309"/>
    <n v="0"/>
    <x v="0"/>
    <x v="1"/>
    <n v="0"/>
    <n v="1"/>
    <n v="1"/>
    <x v="1"/>
    <x v="0"/>
    <s v="Abnormal"/>
    <s v="Allowed"/>
    <m/>
    <m/>
    <m/>
  </r>
  <r>
    <x v="2"/>
    <x v="4"/>
    <x v="10"/>
    <x v="3"/>
    <n v="0.8"/>
    <n v="0"/>
    <s v="UP"/>
    <n v="0.85"/>
    <n v="6.6666666666666721E-2"/>
    <n v="1.8209321594669165E-2"/>
    <n v="0.22834931756330515"/>
    <n v="0.21220709389054232"/>
    <n v="0"/>
    <x v="500"/>
    <n v="0"/>
    <x v="0"/>
    <x v="0"/>
    <n v="0"/>
    <n v="0"/>
    <n v="0"/>
    <x v="0"/>
    <x v="0"/>
    <s v="Normal"/>
    <s v="Allowed"/>
    <m/>
    <m/>
    <m/>
  </r>
  <r>
    <x v="2"/>
    <x v="4"/>
    <x v="10"/>
    <x v="5"/>
    <n v="1"/>
    <n v="0"/>
    <s v="UP"/>
    <n v="0.85"/>
    <n v="0.24999999999999989"/>
    <n v="1.8209321594669165E-2"/>
    <n v="0.22834931756330515"/>
    <n v="1.0150705983216768"/>
    <n v="-1"/>
    <x v="764"/>
    <n v="0"/>
    <x v="0"/>
    <x v="0"/>
    <n v="0"/>
    <n v="0"/>
    <n v="0"/>
    <x v="0"/>
    <x v="1"/>
    <s v="Normal"/>
    <s v="Allowed"/>
    <m/>
    <m/>
    <m/>
  </r>
  <r>
    <x v="2"/>
    <x v="4"/>
    <x v="10"/>
    <x v="6"/>
    <n v="0.33329999999999999"/>
    <n v="0"/>
    <s v="UP"/>
    <n v="0.85"/>
    <n v="-0.66670000000000007"/>
    <n v="1.8209321594669165E-2"/>
    <n v="0.22834931756330515"/>
    <n v="-2.9993928990166228"/>
    <n v="1"/>
    <x v="778"/>
    <n v="0"/>
    <x v="0"/>
    <x v="1"/>
    <n v="0"/>
    <n v="1"/>
    <n v="1"/>
    <x v="1"/>
    <x v="0"/>
    <s v="Abnormal"/>
    <s v="Allowed"/>
    <m/>
    <m/>
    <m/>
  </r>
  <r>
    <x v="2"/>
    <x v="4"/>
    <x v="10"/>
    <x v="7"/>
    <n v="1"/>
    <n v="0"/>
    <s v="UP"/>
    <n v="0.85"/>
    <n v="2.0003000300030012"/>
    <n v="1.8209321594669165E-2"/>
    <n v="0.22834931756330515"/>
    <n v="8.6800815941078433"/>
    <n v="-1"/>
    <x v="764"/>
    <n v="0"/>
    <x v="0"/>
    <x v="0"/>
    <n v="0"/>
    <n v="0"/>
    <n v="0"/>
    <x v="0"/>
    <x v="1"/>
    <s v="Normal"/>
    <s v="Allowed"/>
    <m/>
    <m/>
    <m/>
  </r>
  <r>
    <x v="2"/>
    <x v="4"/>
    <x v="10"/>
    <x v="8"/>
    <n v="0.71430000000000005"/>
    <n v="0"/>
    <s v="UP"/>
    <n v="0.85"/>
    <n v="-0.28570000000000001"/>
    <n v="1.8209321594669165E-2"/>
    <n v="0.22834931756330515"/>
    <n v="-1.3308965616260997"/>
    <n v="1"/>
    <x v="779"/>
    <n v="0"/>
    <x v="0"/>
    <x v="1"/>
    <n v="0"/>
    <n v="1"/>
    <n v="1"/>
    <x v="1"/>
    <x v="0"/>
    <s v="Abnormal"/>
    <s v="Allowed"/>
    <m/>
    <m/>
    <m/>
  </r>
  <r>
    <x v="2"/>
    <x v="4"/>
    <x v="10"/>
    <x v="9"/>
    <n v="0.6"/>
    <n v="0"/>
    <s v="UP"/>
    <n v="0.85"/>
    <n v="-0.16001679966400681"/>
    <n v="1.8209321594669165E-2"/>
    <n v="0.22834931756330515"/>
    <n v="-0.78049771797223111"/>
    <n v="1"/>
    <x v="780"/>
    <n v="0"/>
    <x v="0"/>
    <x v="1"/>
    <n v="0"/>
    <n v="1"/>
    <n v="1"/>
    <x v="1"/>
    <x v="0"/>
    <s v="Abnormal"/>
    <s v="Allowed"/>
    <m/>
    <m/>
    <m/>
  </r>
  <r>
    <x v="2"/>
    <x v="4"/>
    <x v="10"/>
    <x v="10"/>
    <n v="1"/>
    <n v="0"/>
    <s v="UP"/>
    <n v="0.85"/>
    <n v="0.66666666666666674"/>
    <n v="1.8209321594669165E-2"/>
    <n v="0.22834931756330515"/>
    <n v="2.8397603811197123"/>
    <n v="-1"/>
    <x v="764"/>
    <n v="0"/>
    <x v="0"/>
    <x v="0"/>
    <n v="0"/>
    <n v="0"/>
    <n v="0"/>
    <x v="0"/>
    <x v="1"/>
    <s v="Normal"/>
    <s v="Allowed"/>
    <m/>
    <m/>
    <m/>
  </r>
  <r>
    <x v="2"/>
    <x v="4"/>
    <x v="10"/>
    <x v="11"/>
    <n v="0.75"/>
    <n v="0"/>
    <s v="UP"/>
    <n v="0.85"/>
    <n v="-0.25"/>
    <n v="1.8209321594669165E-2"/>
    <n v="0.22834931756330515"/>
    <n v="-1.1745571410359641"/>
    <n v="1"/>
    <x v="309"/>
    <n v="0"/>
    <x v="0"/>
    <x v="1"/>
    <n v="0"/>
    <n v="1"/>
    <n v="1"/>
    <x v="1"/>
    <x v="0"/>
    <s v="Abnormal"/>
    <s v="Allowed"/>
    <m/>
    <m/>
    <m/>
  </r>
  <r>
    <x v="2"/>
    <x v="4"/>
    <x v="10"/>
    <x v="12"/>
    <n v="0.75"/>
    <n v="0"/>
    <s v="UP"/>
    <n v="0.85"/>
    <n v="0"/>
    <n v="1.8209321594669165E-2"/>
    <n v="0.22834931756330515"/>
    <n v="-7.9743271357143444E-2"/>
    <n v="0"/>
    <x v="309"/>
    <n v="0"/>
    <x v="0"/>
    <x v="0"/>
    <n v="0"/>
    <n v="0"/>
    <n v="0"/>
    <x v="1"/>
    <x v="0"/>
    <s v="Normal"/>
    <s v="Allowed"/>
    <m/>
    <m/>
    <m/>
  </r>
  <r>
    <x v="2"/>
    <x v="4"/>
    <x v="10"/>
    <x v="14"/>
    <n v="1"/>
    <n v="0"/>
    <s v="UP"/>
    <n v="0.85"/>
    <n v="0.33333333333333331"/>
    <n v="1.8209321594669165E-2"/>
    <n v="0.22834931756330515"/>
    <n v="1.3800085548812842"/>
    <n v="-1"/>
    <x v="764"/>
    <n v="0"/>
    <x v="0"/>
    <x v="0"/>
    <n v="0"/>
    <n v="0"/>
    <n v="0"/>
    <x v="0"/>
    <x v="1"/>
    <s v="Normal"/>
    <s v="Allowed"/>
    <m/>
    <m/>
    <m/>
  </r>
  <r>
    <x v="2"/>
    <x v="4"/>
    <x v="10"/>
    <x v="15"/>
    <n v="1"/>
    <n v="0"/>
    <s v="UP"/>
    <n v="0.85"/>
    <n v="0"/>
    <n v="1.8209321594669165E-2"/>
    <n v="0.22834931756330515"/>
    <n v="-7.9743271357143444E-2"/>
    <n v="0"/>
    <x v="764"/>
    <n v="0"/>
    <x v="0"/>
    <x v="0"/>
    <n v="0"/>
    <n v="0"/>
    <n v="0"/>
    <x v="1"/>
    <x v="1"/>
    <s v="Normal"/>
    <s v="Allowed"/>
    <m/>
    <m/>
    <m/>
  </r>
  <r>
    <x v="2"/>
    <x v="4"/>
    <x v="11"/>
    <x v="1"/>
    <n v="1"/>
    <n v="0"/>
    <s v="UP"/>
    <n v="0.7"/>
    <n v="0"/>
    <n v="1.9288787744816144E-2"/>
    <n v="0.27585788879837708"/>
    <n v="-6.9922915124295049E-2"/>
    <n v="0"/>
    <x v="781"/>
    <n v="0"/>
    <x v="0"/>
    <x v="0"/>
    <n v="0"/>
    <n v="0"/>
    <n v="0"/>
    <x v="1"/>
    <x v="1"/>
    <s v="Normal"/>
    <s v="Allowed"/>
    <m/>
    <m/>
    <m/>
  </r>
  <r>
    <x v="2"/>
    <x v="4"/>
    <x v="11"/>
    <x v="2"/>
    <n v="0.66669999999999996"/>
    <n v="0"/>
    <s v="UP"/>
    <n v="0.7"/>
    <n v="-0.33329999999999999"/>
    <n v="1.9288787744816144E-2"/>
    <n v="0.27585788879837708"/>
    <n v="-1.2781537235736666"/>
    <n v="1"/>
    <x v="782"/>
    <n v="0"/>
    <x v="0"/>
    <x v="1"/>
    <n v="0"/>
    <n v="1"/>
    <n v="1"/>
    <x v="1"/>
    <x v="0"/>
    <s v="Abnormal"/>
    <s v="Allowed"/>
    <m/>
    <m/>
    <m/>
  </r>
  <r>
    <x v="2"/>
    <x v="4"/>
    <x v="11"/>
    <x v="3"/>
    <n v="0.6"/>
    <n v="0"/>
    <s v="UP"/>
    <n v="0.7"/>
    <n v="-0.1000449977501125"/>
    <n v="1.9288787744816144E-2"/>
    <n v="0.27585788879837708"/>
    <n v="-0.43259152752433699"/>
    <n v="0"/>
    <x v="783"/>
    <n v="0"/>
    <x v="0"/>
    <x v="0"/>
    <n v="0"/>
    <n v="0"/>
    <n v="0"/>
    <x v="1"/>
    <x v="0"/>
    <s v="Normal"/>
    <s v="Allowed"/>
    <m/>
    <m/>
    <m/>
  </r>
  <r>
    <x v="2"/>
    <x v="4"/>
    <x v="11"/>
    <x v="4"/>
    <n v="1"/>
    <n v="0"/>
    <s v="UP"/>
    <n v="0.7"/>
    <n v="0.66666666666666674"/>
    <n v="1.9288787744816144E-2"/>
    <n v="0.27585788879837708"/>
    <n v="2.3467803721031713"/>
    <n v="-1"/>
    <x v="781"/>
    <n v="0"/>
    <x v="0"/>
    <x v="0"/>
    <n v="0"/>
    <n v="0"/>
    <n v="0"/>
    <x v="0"/>
    <x v="1"/>
    <s v="Normal"/>
    <s v="Allowed"/>
    <m/>
    <m/>
    <m/>
  </r>
  <r>
    <x v="2"/>
    <x v="4"/>
    <x v="11"/>
    <x v="5"/>
    <n v="0.71430000000000005"/>
    <n v="0"/>
    <s v="UP"/>
    <n v="0.7"/>
    <n v="-0.28570000000000001"/>
    <n v="1.9288787744816144E-2"/>
    <n v="0.27585788879837708"/>
    <n v="-1.1056011088656257"/>
    <n v="1"/>
    <x v="784"/>
    <n v="0"/>
    <x v="0"/>
    <x v="0"/>
    <n v="0"/>
    <n v="0"/>
    <n v="0"/>
    <x v="1"/>
    <x v="1"/>
    <s v="Abnormal"/>
    <s v="Allowed"/>
    <m/>
    <m/>
    <m/>
  </r>
  <r>
    <x v="2"/>
    <x v="4"/>
    <x v="11"/>
    <x v="6"/>
    <n v="0.33329999999999999"/>
    <n v="0"/>
    <s v="UP"/>
    <n v="0.7"/>
    <n v="-0.53338933221335583"/>
    <n v="1.9288787744816144E-2"/>
    <n v="0.27585788879837708"/>
    <n v="-2.003488543922415"/>
    <n v="1"/>
    <x v="785"/>
    <n v="0"/>
    <x v="0"/>
    <x v="1"/>
    <n v="0"/>
    <n v="1"/>
    <n v="1"/>
    <x v="1"/>
    <x v="0"/>
    <s v="Abnormal"/>
    <s v="Allowed"/>
    <m/>
    <m/>
    <m/>
  </r>
  <r>
    <x v="2"/>
    <x v="4"/>
    <x v="11"/>
    <x v="7"/>
    <n v="1"/>
    <n v="0"/>
    <s v="UP"/>
    <n v="0.7"/>
    <n v="2.0003000300030012"/>
    <n v="1.9288787744816144E-2"/>
    <n v="0.27585788879837708"/>
    <n v="7.1812745717998823"/>
    <n v="-1"/>
    <x v="781"/>
    <n v="0"/>
    <x v="0"/>
    <x v="0"/>
    <n v="0"/>
    <n v="0"/>
    <n v="0"/>
    <x v="0"/>
    <x v="1"/>
    <s v="Normal"/>
    <s v="Allowed"/>
    <m/>
    <m/>
    <m/>
  </r>
  <r>
    <x v="2"/>
    <x v="4"/>
    <x v="11"/>
    <x v="8"/>
    <n v="0.85709999999999997"/>
    <n v="0"/>
    <s v="UP"/>
    <n v="0.7"/>
    <n v="-0.1429"/>
    <n v="1.9288787744816144E-2"/>
    <n v="0.27585788879837708"/>
    <n v="-0.58794326474150238"/>
    <n v="1"/>
    <x v="786"/>
    <n v="0"/>
    <x v="0"/>
    <x v="0"/>
    <n v="0"/>
    <n v="0"/>
    <n v="0"/>
    <x v="1"/>
    <x v="1"/>
    <s v="Abnormal"/>
    <s v="Allowed"/>
    <m/>
    <m/>
    <m/>
  </r>
  <r>
    <x v="2"/>
    <x v="4"/>
    <x v="11"/>
    <x v="9"/>
    <n v="0.4"/>
    <n v="0"/>
    <s v="UP"/>
    <n v="0.7"/>
    <n v="-0.53330999883327501"/>
    <n v="1.9288787744816144E-2"/>
    <n v="0.27585788879837708"/>
    <n v="-2.0032009560617725"/>
    <n v="1"/>
    <x v="787"/>
    <n v="0"/>
    <x v="0"/>
    <x v="1"/>
    <n v="0"/>
    <n v="1"/>
    <n v="1"/>
    <x v="1"/>
    <x v="0"/>
    <s v="Abnormal"/>
    <s v="Allowed"/>
    <m/>
    <m/>
    <m/>
  </r>
  <r>
    <x v="2"/>
    <x v="4"/>
    <x v="11"/>
    <x v="10"/>
    <n v="1"/>
    <n v="0"/>
    <s v="UP"/>
    <n v="0.7"/>
    <n v="1.5"/>
    <n v="1.9288787744816144E-2"/>
    <n v="0.27585788879837708"/>
    <n v="5.3676594811375029"/>
    <n v="-1"/>
    <x v="781"/>
    <n v="0"/>
    <x v="0"/>
    <x v="0"/>
    <n v="0"/>
    <n v="0"/>
    <n v="0"/>
    <x v="0"/>
    <x v="1"/>
    <s v="Normal"/>
    <s v="Allowed"/>
    <m/>
    <m/>
    <m/>
  </r>
  <r>
    <x v="2"/>
    <x v="4"/>
    <x v="11"/>
    <x v="11"/>
    <n v="1"/>
    <n v="0"/>
    <s v="UP"/>
    <n v="0.7"/>
    <n v="0"/>
    <n v="1.9288787744816144E-2"/>
    <n v="0.27585788879837708"/>
    <n v="-6.9922915124295049E-2"/>
    <n v="0"/>
    <x v="781"/>
    <n v="0"/>
    <x v="0"/>
    <x v="0"/>
    <n v="0"/>
    <n v="0"/>
    <n v="0"/>
    <x v="1"/>
    <x v="1"/>
    <s v="Normal"/>
    <s v="Allowed"/>
    <m/>
    <m/>
    <m/>
  </r>
  <r>
    <x v="2"/>
    <x v="4"/>
    <x v="11"/>
    <x v="12"/>
    <n v="0.75"/>
    <n v="0"/>
    <s v="UP"/>
    <n v="0.7"/>
    <n v="-0.25"/>
    <n v="1.9288787744816144E-2"/>
    <n v="0.27585788879837708"/>
    <n v="-0.97618664783459475"/>
    <n v="1"/>
    <x v="681"/>
    <n v="0"/>
    <x v="0"/>
    <x v="0"/>
    <n v="0"/>
    <n v="0"/>
    <n v="0"/>
    <x v="1"/>
    <x v="1"/>
    <s v="Abnormal"/>
    <s v="Allowed"/>
    <m/>
    <m/>
    <m/>
  </r>
  <r>
    <x v="2"/>
    <x v="4"/>
    <x v="11"/>
    <x v="14"/>
    <n v="0.5"/>
    <n v="0"/>
    <s v="UP"/>
    <n v="0.7"/>
    <n v="-0.33333333333333331"/>
    <n v="1.9288787744816144E-2"/>
    <n v="0.27585788879837708"/>
    <n v="-1.278274558738028"/>
    <n v="1"/>
    <x v="788"/>
    <n v="0"/>
    <x v="0"/>
    <x v="1"/>
    <n v="0"/>
    <n v="1"/>
    <n v="1"/>
    <x v="1"/>
    <x v="0"/>
    <s v="Abnormal"/>
    <s v="Allowed"/>
    <m/>
    <m/>
    <m/>
  </r>
  <r>
    <x v="2"/>
    <x v="4"/>
    <x v="11"/>
    <x v="15"/>
    <n v="0.33300000000000002"/>
    <n v="0"/>
    <s v="UP"/>
    <n v="0.7"/>
    <n v="-0.33400000000000002"/>
    <n v="1.9288787744816144E-2"/>
    <n v="0.27585788879837708"/>
    <n v="-1.2806912620252555"/>
    <n v="1"/>
    <x v="789"/>
    <n v="0"/>
    <x v="0"/>
    <x v="1"/>
    <n v="0"/>
    <n v="1"/>
    <n v="1"/>
    <x v="1"/>
    <x v="0"/>
    <s v="Abnormal"/>
    <s v="Allowed"/>
    <m/>
    <m/>
    <m/>
  </r>
  <r>
    <x v="0"/>
    <x v="5"/>
    <x v="0"/>
    <x v="0"/>
    <n v="0.17165847116674121"/>
    <n v="0"/>
    <s v="DOWN"/>
    <n v="0.27"/>
    <n v="1.366730911569205E-2"/>
    <n v="1.2504550363164104E-2"/>
    <n v="5.3924507863027986E-2"/>
    <n v="2.1562714220432655E-2"/>
    <n v="0"/>
    <x v="790"/>
    <n v="0"/>
    <x v="0"/>
    <x v="0"/>
    <n v="0"/>
    <n v="0"/>
    <n v="0"/>
    <x v="0"/>
    <x v="1"/>
    <s v="Normal"/>
    <s v="Allowed"/>
    <m/>
    <m/>
    <m/>
  </r>
  <r>
    <x v="0"/>
    <x v="5"/>
    <x v="0"/>
    <x v="1"/>
    <n v="0.1707264496658763"/>
    <n v="0"/>
    <s v="DOWN"/>
    <n v="0.27"/>
    <n v="5.4295106704031343E-3"/>
    <n v="1.2504550363164104E-2"/>
    <n v="5.3924507863027986E-2"/>
    <n v="-0.13120267524243456"/>
    <n v="0"/>
    <x v="791"/>
    <n v="0"/>
    <x v="0"/>
    <x v="0"/>
    <n v="0"/>
    <n v="0"/>
    <n v="0"/>
    <x v="1"/>
    <x v="1"/>
    <s v="Normal"/>
    <s v="Allowed"/>
    <m/>
    <m/>
    <m/>
  </r>
  <r>
    <x v="0"/>
    <x v="5"/>
    <x v="0"/>
    <x v="2"/>
    <n v="0.17562254259501969"/>
    <n v="0"/>
    <s v="DOWN"/>
    <n v="0.27"/>
    <n v="-2.8677998861485091E-2"/>
    <n v="1.2504550363164104E-2"/>
    <n v="5.3924507863027986E-2"/>
    <n v="-0.76370746543029644"/>
    <n v="1"/>
    <x v="792"/>
    <n v="0"/>
    <x v="0"/>
    <x v="0"/>
    <n v="0"/>
    <n v="0"/>
    <n v="0"/>
    <x v="1"/>
    <x v="1"/>
    <s v="Abnormal"/>
    <s v="Allowed"/>
    <m/>
    <m/>
    <m/>
  </r>
  <r>
    <x v="0"/>
    <x v="5"/>
    <x v="0"/>
    <x v="3"/>
    <n v="0.18030948599999999"/>
    <n v="0"/>
    <s v="DOWN"/>
    <n v="0.27"/>
    <n v="-2.6687595656716169E-2"/>
    <n v="1.2504550363164104E-2"/>
    <n v="5.3924507863027986E-2"/>
    <n v="-0.72679654526344606"/>
    <n v="1"/>
    <x v="793"/>
    <n v="0"/>
    <x v="0"/>
    <x v="0"/>
    <n v="0"/>
    <n v="0"/>
    <n v="0"/>
    <x v="1"/>
    <x v="1"/>
    <s v="Abnormal"/>
    <s v="Allowed"/>
    <m/>
    <m/>
    <m/>
  </r>
  <r>
    <x v="0"/>
    <x v="5"/>
    <x v="0"/>
    <x v="4"/>
    <n v="0.1780250347705146"/>
    <n v="0"/>
    <s v="DOWN"/>
    <n v="0.27"/>
    <n v="1.266961201079236E-2"/>
    <n v="1.2504550363164104E-2"/>
    <n v="5.3924507863027986E-2"/>
    <n v="3.0609764311159597E-3"/>
    <n v="0"/>
    <x v="794"/>
    <n v="0"/>
    <x v="0"/>
    <x v="0"/>
    <n v="0"/>
    <n v="0"/>
    <n v="0"/>
    <x v="0"/>
    <x v="1"/>
    <s v="Normal"/>
    <s v="Allowed"/>
    <m/>
    <m/>
    <m/>
  </r>
  <r>
    <x v="0"/>
    <x v="5"/>
    <x v="0"/>
    <x v="5"/>
    <n v="0.1737032569360675"/>
    <n v="0"/>
    <s v="DOWN"/>
    <n v="0.27"/>
    <n v="2.427623642943328E-2"/>
    <n v="1.2504550363164104E-2"/>
    <n v="5.3924507863027986E-2"/>
    <n v="0.21829936948465214"/>
    <n v="0"/>
    <x v="795"/>
    <n v="0"/>
    <x v="0"/>
    <x v="0"/>
    <n v="0"/>
    <n v="0"/>
    <n v="0"/>
    <x v="0"/>
    <x v="1"/>
    <s v="Normal"/>
    <s v="Allowed"/>
    <m/>
    <m/>
    <m/>
  </r>
  <r>
    <x v="0"/>
    <x v="5"/>
    <x v="0"/>
    <x v="6"/>
    <n v="0.1672579827673594"/>
    <n v="0"/>
    <s v="DOWN"/>
    <n v="0.27"/>
    <n v="3.7105085318465417E-2"/>
    <n v="1.2504550363164104E-2"/>
    <n v="5.3924507863027986E-2"/>
    <n v="0.45620323541548841"/>
    <n v="0"/>
    <x v="796"/>
    <n v="0"/>
    <x v="0"/>
    <x v="0"/>
    <n v="0"/>
    <n v="0"/>
    <n v="0"/>
    <x v="0"/>
    <x v="1"/>
    <s v="Normal"/>
    <s v="Allowed"/>
    <m/>
    <m/>
    <m/>
  </r>
  <r>
    <x v="0"/>
    <x v="5"/>
    <x v="0"/>
    <x v="7"/>
    <n v="0.16085790884718501"/>
    <n v="0"/>
    <s v="DOWN"/>
    <n v="0.27"/>
    <n v="3.8264684377285037E-2"/>
    <n v="1.2504550363164104E-2"/>
    <n v="5.3924507863027986E-2"/>
    <n v="0.47770735487384453"/>
    <n v="0"/>
    <x v="797"/>
    <n v="0"/>
    <x v="0"/>
    <x v="0"/>
    <n v="0"/>
    <n v="0"/>
    <n v="0"/>
    <x v="0"/>
    <x v="1"/>
    <s v="Normal"/>
    <s v="Allowed"/>
    <m/>
    <m/>
    <m/>
  </r>
  <r>
    <x v="0"/>
    <x v="5"/>
    <x v="0"/>
    <x v="8"/>
    <n v="0.157849585358879"/>
    <n v="0"/>
    <s v="DOWN"/>
    <n v="0.27"/>
    <n v="1.8701744352302381E-2"/>
    <n v="1.2504550363164104E-2"/>
    <n v="5.3924507863027986E-2"/>
    <n v="0.11492351501620714"/>
    <n v="0"/>
    <x v="798"/>
    <n v="0"/>
    <x v="0"/>
    <x v="0"/>
    <n v="0"/>
    <n v="0"/>
    <n v="0"/>
    <x v="0"/>
    <x v="1"/>
    <s v="Normal"/>
    <s v="Allowed"/>
    <m/>
    <m/>
    <m/>
  </r>
  <r>
    <x v="0"/>
    <x v="5"/>
    <x v="0"/>
    <x v="9"/>
    <n v="0.15403422982885079"/>
    <n v="0"/>
    <s v="DOWN"/>
    <n v="0.27"/>
    <n v="2.4170830232805519E-2"/>
    <n v="1.2504550363164104E-2"/>
    <n v="5.3924507863027986E-2"/>
    <n v="0.21634467020588449"/>
    <n v="0"/>
    <x v="799"/>
    <n v="0"/>
    <x v="0"/>
    <x v="0"/>
    <n v="0"/>
    <n v="0"/>
    <n v="0"/>
    <x v="0"/>
    <x v="1"/>
    <s v="Normal"/>
    <s v="Allowed"/>
    <m/>
    <m/>
    <m/>
  </r>
  <r>
    <x v="0"/>
    <x v="5"/>
    <x v="0"/>
    <x v="10"/>
    <n v="0.1661173368490442"/>
    <n v="0"/>
    <s v="DOWN"/>
    <n v="0.27"/>
    <n v="-7.8444297956493769E-2"/>
    <n v="1.2504550363164104E-2"/>
    <n v="5.3924507863027986E-2"/>
    <n v="-1.6865957970478709"/>
    <n v="1"/>
    <x v="800"/>
    <n v="0"/>
    <x v="0"/>
    <x v="0"/>
    <n v="0"/>
    <n v="0"/>
    <n v="0"/>
    <x v="1"/>
    <x v="1"/>
    <s v="Abnormal"/>
    <s v="Allowed"/>
    <m/>
    <m/>
    <m/>
  </r>
  <r>
    <x v="0"/>
    <x v="5"/>
    <x v="0"/>
    <x v="11"/>
    <n v="0.17069701280227589"/>
    <n v="0"/>
    <s v="DOWN"/>
    <n v="0.27"/>
    <n v="-2.7568922305763799E-2"/>
    <n v="1.2504550363164104E-2"/>
    <n v="5.3924507863027986E-2"/>
    <n v="-0.74314025768612157"/>
    <n v="1"/>
    <x v="801"/>
    <n v="0"/>
    <x v="0"/>
    <x v="0"/>
    <n v="0"/>
    <n v="0"/>
    <n v="0"/>
    <x v="1"/>
    <x v="1"/>
    <s v="Abnormal"/>
    <s v="Allowed"/>
    <m/>
    <m/>
    <m/>
  </r>
  <r>
    <x v="0"/>
    <x v="5"/>
    <x v="0"/>
    <x v="12"/>
    <n v="0.17378048780487809"/>
    <n v="0"/>
    <s v="DOWN"/>
    <n v="0.27"/>
    <n v="-1.806402439024455E-2"/>
    <n v="1.2504550363164104E-2"/>
    <n v="5.3924507863027986E-2"/>
    <n v="-0.56687721343799691"/>
    <n v="1"/>
    <x v="802"/>
    <n v="0"/>
    <x v="0"/>
    <x v="0"/>
    <n v="0"/>
    <n v="0"/>
    <n v="0"/>
    <x v="1"/>
    <x v="1"/>
    <s v="Abnormal"/>
    <s v="Allowed"/>
    <m/>
    <m/>
    <m/>
  </r>
  <r>
    <x v="0"/>
    <x v="5"/>
    <x v="0"/>
    <x v="13"/>
    <n v="0.1791767554479419"/>
    <n v="0"/>
    <s v="DOWN"/>
    <n v="0.27"/>
    <n v="-3.105220678815664E-2"/>
    <n v="1.2504550363164104E-2"/>
    <n v="5.3924507863027986E-2"/>
    <n v="-0.80773583065343768"/>
    <n v="1"/>
    <x v="803"/>
    <n v="0"/>
    <x v="0"/>
    <x v="0"/>
    <n v="0"/>
    <n v="0"/>
    <n v="0"/>
    <x v="1"/>
    <x v="1"/>
    <s v="Abnormal"/>
    <s v="Allowed"/>
    <m/>
    <m/>
    <m/>
  </r>
  <r>
    <x v="0"/>
    <x v="5"/>
    <x v="0"/>
    <x v="14"/>
    <n v="0.1892901618929016"/>
    <n v="0"/>
    <s v="DOWN"/>
    <n v="0.27"/>
    <n v="-5.6443741375248047E-2"/>
    <n v="1.2504550363164104E-2"/>
    <n v="5.3924507863027986E-2"/>
    <n v="-1.2786077142056747"/>
    <n v="1"/>
    <x v="804"/>
    <n v="0"/>
    <x v="0"/>
    <x v="0"/>
    <n v="0"/>
    <n v="0"/>
    <n v="0"/>
    <x v="1"/>
    <x v="1"/>
    <s v="Abnormal"/>
    <s v="Allowed"/>
    <m/>
    <m/>
    <m/>
  </r>
  <r>
    <x v="0"/>
    <x v="5"/>
    <x v="0"/>
    <x v="15"/>
    <n v="0.18950064020486559"/>
    <n v="0"/>
    <s v="DOWN"/>
    <n v="0.27"/>
    <n v="-1.1119347664940069E-3"/>
    <n v="1.2504550363164104E-2"/>
    <n v="5.3924507863027986E-2"/>
    <n v="-0.2525101418495081"/>
    <n v="0"/>
    <x v="805"/>
    <n v="0"/>
    <x v="0"/>
    <x v="0"/>
    <n v="0"/>
    <n v="0"/>
    <n v="0"/>
    <x v="1"/>
    <x v="1"/>
    <s v="Normal"/>
    <s v="Allowed"/>
    <m/>
    <m/>
    <m/>
  </r>
  <r>
    <x v="0"/>
    <x v="5"/>
    <x v="1"/>
    <x v="0"/>
    <n v="7.5512405609492989E-2"/>
    <n v="0"/>
    <s v="DOWN"/>
    <n v="5.3999999999999999E-2"/>
    <n v="-6.7629242386523875E-2"/>
    <n v="1.0109678696460058E-2"/>
    <n v="0.17556416633612926"/>
    <n v="-0.44279492054288344"/>
    <n v="0"/>
    <x v="806"/>
    <n v="0"/>
    <x v="0"/>
    <x v="0"/>
    <n v="0"/>
    <n v="0"/>
    <n v="0"/>
    <x v="1"/>
    <x v="0"/>
    <s v="Normal"/>
    <s v="Allowed"/>
    <m/>
    <m/>
    <m/>
  </r>
  <r>
    <x v="0"/>
    <x v="5"/>
    <x v="1"/>
    <x v="1"/>
    <n v="7.6759061833688705E-2"/>
    <n v="0"/>
    <s v="DOWN"/>
    <n v="5.3999999999999999E-2"/>
    <n v="-1.6509290283277561E-2"/>
    <n v="1.0109678696460058E-2"/>
    <n v="0.17556416633612926"/>
    <n v="-0.15161960174021977"/>
    <n v="0"/>
    <x v="807"/>
    <n v="0"/>
    <x v="0"/>
    <x v="0"/>
    <n v="0"/>
    <n v="0"/>
    <n v="0"/>
    <x v="1"/>
    <x v="0"/>
    <s v="Normal"/>
    <s v="Allowed"/>
    <m/>
    <m/>
    <m/>
  </r>
  <r>
    <x v="0"/>
    <x v="5"/>
    <x v="1"/>
    <x v="2"/>
    <n v="6.1767838125665601E-2"/>
    <n v="0"/>
    <s v="DOWN"/>
    <n v="5.3999999999999999E-2"/>
    <n v="0.19530233108507869"/>
    <n v="1.0109678696460058E-2"/>
    <n v="0.17556416633612926"/>
    <n v="1.0548431166417809"/>
    <n v="-1"/>
    <x v="808"/>
    <n v="0"/>
    <x v="0"/>
    <x v="0"/>
    <n v="0"/>
    <n v="0"/>
    <n v="0"/>
    <x v="0"/>
    <x v="0"/>
    <s v="Normal"/>
    <s v="Allowed"/>
    <m/>
    <m/>
    <m/>
  </r>
  <r>
    <x v="0"/>
    <x v="5"/>
    <x v="1"/>
    <x v="3"/>
    <n v="5.8885383999999999E-2"/>
    <n v="0"/>
    <s v="DOWN"/>
    <n v="5.3999999999999999E-2"/>
    <n v="4.6665938344827601E-2"/>
    <n v="1.0109678696460058E-2"/>
    <n v="0.17556416633612926"/>
    <n v="0.20822164574505569"/>
    <n v="0"/>
    <x v="809"/>
    <n v="0"/>
    <x v="0"/>
    <x v="0"/>
    <n v="0"/>
    <n v="0"/>
    <n v="0"/>
    <x v="0"/>
    <x v="0"/>
    <s v="Normal"/>
    <s v="Allowed"/>
    <m/>
    <m/>
    <m/>
  </r>
  <r>
    <x v="0"/>
    <x v="5"/>
    <x v="1"/>
    <x v="4"/>
    <n v="5.9071729957805907E-2"/>
    <n v="0"/>
    <s v="DOWN"/>
    <n v="5.3999999999999999E-2"/>
    <n v="-3.164553665913233E-3"/>
    <n v="1.0109678696460058E-2"/>
    <n v="0.17556416633612926"/>
    <n v="-7.5609007460889777E-2"/>
    <n v="0"/>
    <x v="810"/>
    <n v="0"/>
    <x v="0"/>
    <x v="0"/>
    <n v="0"/>
    <n v="0"/>
    <n v="0"/>
    <x v="1"/>
    <x v="0"/>
    <s v="Normal"/>
    <s v="Allowed"/>
    <m/>
    <m/>
    <m/>
  </r>
  <r>
    <x v="0"/>
    <x v="5"/>
    <x v="1"/>
    <x v="5"/>
    <n v="5.9190031152647968E-2"/>
    <n v="0"/>
    <s v="DOWN"/>
    <n v="5.3999999999999999E-2"/>
    <n v="-2.002670226969165E-3"/>
    <n v="1.0109678696460058E-2"/>
    <n v="0.17556416633612926"/>
    <n v="-6.8991008679067961E-2"/>
    <n v="0"/>
    <x v="811"/>
    <n v="0"/>
    <x v="0"/>
    <x v="0"/>
    <n v="0"/>
    <n v="0"/>
    <n v="0"/>
    <x v="1"/>
    <x v="0"/>
    <s v="Normal"/>
    <s v="Allowed"/>
    <m/>
    <m/>
    <m/>
  </r>
  <r>
    <x v="0"/>
    <x v="5"/>
    <x v="1"/>
    <x v="6"/>
    <n v="6.5775950668037E-2"/>
    <n v="0"/>
    <s v="DOWN"/>
    <n v="5.3999999999999999E-2"/>
    <n v="-0.1112673770757831"/>
    <n v="1.0109678696460058E-2"/>
    <n v="0.17556416633612926"/>
    <n v="-0.69135438230520641"/>
    <n v="1"/>
    <x v="812"/>
    <n v="0"/>
    <x v="0"/>
    <x v="1"/>
    <n v="0"/>
    <n v="1"/>
    <n v="1"/>
    <x v="1"/>
    <x v="0"/>
    <s v="Abnormal"/>
    <s v="Allowed"/>
    <m/>
    <m/>
    <m/>
  </r>
  <r>
    <x v="0"/>
    <x v="5"/>
    <x v="1"/>
    <x v="7"/>
    <n v="6.5439672801635998E-2"/>
    <n v="0"/>
    <s v="DOWN"/>
    <n v="5.3999999999999999E-2"/>
    <n v="5.1124744376277401E-3"/>
    <n v="1.0109678696460058E-2"/>
    <n v="0.17556416633612926"/>
    <n v="-2.8463691441822123E-2"/>
    <n v="0"/>
    <x v="813"/>
    <n v="0"/>
    <x v="0"/>
    <x v="0"/>
    <n v="0"/>
    <n v="0"/>
    <n v="0"/>
    <x v="1"/>
    <x v="0"/>
    <s v="Normal"/>
    <s v="Allowed"/>
    <m/>
    <m/>
    <m/>
  </r>
  <r>
    <x v="0"/>
    <x v="5"/>
    <x v="1"/>
    <x v="8"/>
    <n v="6.7882472137791292E-2"/>
    <n v="0"/>
    <s v="DOWN"/>
    <n v="5.3999999999999999E-2"/>
    <n v="-3.7329027355623073E-2"/>
    <n v="1.0109678696460058E-2"/>
    <n v="0.17556416633612926"/>
    <n v="-0.27020722418525078"/>
    <n v="0"/>
    <x v="814"/>
    <n v="0"/>
    <x v="0"/>
    <x v="0"/>
    <n v="0"/>
    <n v="0"/>
    <n v="0"/>
    <x v="1"/>
    <x v="0"/>
    <s v="Normal"/>
    <s v="Allowed"/>
    <m/>
    <m/>
    <m/>
  </r>
  <r>
    <x v="0"/>
    <x v="5"/>
    <x v="1"/>
    <x v="9"/>
    <n v="5.0359712230215833E-2"/>
    <n v="0"/>
    <s v="DOWN"/>
    <n v="5.3999999999999999E-2"/>
    <n v="0.25813379147428323"/>
    <n v="1.0109678696460058E-2"/>
    <n v="0.17556416633612926"/>
    <n v="1.4127262866555839"/>
    <n v="-1"/>
    <x v="815"/>
    <n v="0"/>
    <x v="0"/>
    <x v="0"/>
    <n v="0"/>
    <n v="0"/>
    <n v="0"/>
    <x v="0"/>
    <x v="1"/>
    <s v="Normal"/>
    <s v="Allowed"/>
    <m/>
    <m/>
    <m/>
  </r>
  <r>
    <x v="0"/>
    <x v="5"/>
    <x v="1"/>
    <x v="10"/>
    <n v="4.49438202247191E-2"/>
    <n v="0"/>
    <s v="DOWN"/>
    <n v="5.3999999999999999E-2"/>
    <n v="0.10754414125200661"/>
    <n v="1.0109678696460058E-2"/>
    <n v="0.17556416633612926"/>
    <n v="0.55497921124178495"/>
    <n v="-1"/>
    <x v="816"/>
    <n v="0"/>
    <x v="0"/>
    <x v="0"/>
    <n v="0"/>
    <n v="0"/>
    <n v="0"/>
    <x v="0"/>
    <x v="1"/>
    <s v="Normal"/>
    <s v="Allowed"/>
    <m/>
    <m/>
    <m/>
  </r>
  <r>
    <x v="0"/>
    <x v="5"/>
    <x v="1"/>
    <x v="11"/>
    <n v="4.6464646464646472E-2"/>
    <n v="0"/>
    <s v="DOWN"/>
    <n v="5.3999999999999999E-2"/>
    <n v="-3.3838383838384042E-2"/>
    <n v="1.0109678696460058E-2"/>
    <n v="0.17556416633612926"/>
    <n v="-0.25032478695397681"/>
    <n v="0"/>
    <x v="817"/>
    <n v="0"/>
    <x v="0"/>
    <x v="0"/>
    <n v="0"/>
    <n v="0"/>
    <n v="0"/>
    <x v="1"/>
    <x v="1"/>
    <s v="Normal"/>
    <s v="Allowed"/>
    <m/>
    <m/>
    <m/>
  </r>
  <r>
    <x v="0"/>
    <x v="5"/>
    <x v="1"/>
    <x v="12"/>
    <n v="5.9701492537313432E-2"/>
    <n v="0"/>
    <s v="DOWN"/>
    <n v="5.3999999999999999E-2"/>
    <n v="-0.28487994808565842"/>
    <n v="1.0109678696460058E-2"/>
    <n v="0.17556416633612926"/>
    <n v="-1.6802382452996771"/>
    <n v="1"/>
    <x v="818"/>
    <n v="0"/>
    <x v="0"/>
    <x v="1"/>
    <n v="0"/>
    <n v="1"/>
    <n v="1"/>
    <x v="1"/>
    <x v="0"/>
    <s v="Abnormal"/>
    <s v="Allowed"/>
    <m/>
    <m/>
    <m/>
  </r>
  <r>
    <x v="0"/>
    <x v="5"/>
    <x v="1"/>
    <x v="13"/>
    <n v="5.3053053053053051E-2"/>
    <n v="0"/>
    <s v="DOWN"/>
    <n v="5.3999999999999999E-2"/>
    <n v="0.11136136136136141"/>
    <n v="1.0109678696460058E-2"/>
    <n v="0.17556416633612926"/>
    <n v="0.57672180364555869"/>
    <n v="-1"/>
    <x v="819"/>
    <n v="0"/>
    <x v="0"/>
    <x v="0"/>
    <n v="0"/>
    <n v="0"/>
    <n v="0"/>
    <x v="0"/>
    <x v="1"/>
    <s v="Normal"/>
    <s v="Allowed"/>
    <m/>
    <m/>
    <m/>
  </r>
  <r>
    <x v="0"/>
    <x v="5"/>
    <x v="1"/>
    <x v="14"/>
    <n v="5.7711442786069649E-2"/>
    <n v="0"/>
    <s v="DOWN"/>
    <n v="5.3999999999999999E-2"/>
    <n v="-8.7806251760067566E-2"/>
    <n v="1.0109678696460058E-2"/>
    <n v="0.17556416633612926"/>
    <n v="-0.55772161540676279"/>
    <n v="1"/>
    <x v="820"/>
    <n v="0"/>
    <x v="0"/>
    <x v="1"/>
    <n v="0"/>
    <n v="1"/>
    <n v="1"/>
    <x v="1"/>
    <x v="0"/>
    <s v="Abnormal"/>
    <s v="Allowed"/>
    <m/>
    <m/>
    <m/>
  </r>
  <r>
    <x v="0"/>
    <x v="5"/>
    <x v="1"/>
    <x v="15"/>
    <n v="5.5118110236220472E-2"/>
    <n v="0"/>
    <s v="DOWN"/>
    <n v="5.3999999999999999E-2"/>
    <n v="4.4936193320662461E-2"/>
    <n v="1.0109678696460058E-2"/>
    <n v="0.17556416633612926"/>
    <n v="0.19836915101185698"/>
    <n v="0"/>
    <x v="821"/>
    <n v="0"/>
    <x v="0"/>
    <x v="0"/>
    <n v="0"/>
    <n v="0"/>
    <n v="0"/>
    <x v="0"/>
    <x v="0"/>
    <s v="Normal"/>
    <s v="Allowed"/>
    <m/>
    <m/>
    <m/>
  </r>
  <r>
    <x v="0"/>
    <x v="5"/>
    <x v="2"/>
    <x v="0"/>
    <n v="6.9277108433734941E-2"/>
    <n v="0"/>
    <s v="DOWN"/>
    <n v="6.6000000000000003E-2"/>
    <n v="0.23102409638554211"/>
    <n v="-2.475667272801203E-2"/>
    <n v="0.42334565134305008"/>
    <n v="0.60418896072771289"/>
    <n v="-1"/>
    <x v="822"/>
    <n v="0"/>
    <x v="0"/>
    <x v="0"/>
    <n v="0"/>
    <n v="0"/>
    <n v="0"/>
    <x v="0"/>
    <x v="0"/>
    <s v="Normal"/>
    <s v="Allowed"/>
    <m/>
    <m/>
    <m/>
  </r>
  <r>
    <x v="0"/>
    <x v="5"/>
    <x v="2"/>
    <x v="1"/>
    <n v="9.9431818181818177E-2"/>
    <n v="0"/>
    <s v="DOWN"/>
    <n v="6.6000000000000003E-2"/>
    <n v="-0.43527667984189722"/>
    <n v="-2.475667272801203E-2"/>
    <n v="0.42334565134305008"/>
    <n v="-0.96970408414855347"/>
    <n v="1"/>
    <x v="823"/>
    <n v="0"/>
    <x v="0"/>
    <x v="1"/>
    <n v="0"/>
    <n v="1"/>
    <n v="1"/>
    <x v="1"/>
    <x v="0"/>
    <s v="Abnormal"/>
    <s v="Allowed"/>
    <m/>
    <m/>
    <m/>
  </r>
  <r>
    <x v="0"/>
    <x v="5"/>
    <x v="2"/>
    <x v="2"/>
    <n v="7.8651685393258425E-2"/>
    <n v="0"/>
    <s v="DOWN"/>
    <n v="6.6000000000000003E-2"/>
    <n v="0.20898876404494379"/>
    <n v="-2.475667272801203E-2"/>
    <n v="0.42334565134305008"/>
    <n v="0.55213850911520201"/>
    <n v="-1"/>
    <x v="824"/>
    <n v="0"/>
    <x v="0"/>
    <x v="0"/>
    <n v="0"/>
    <n v="0"/>
    <n v="0"/>
    <x v="0"/>
    <x v="0"/>
    <s v="Normal"/>
    <s v="Allowed"/>
    <m/>
    <m/>
    <m/>
  </r>
  <r>
    <x v="0"/>
    <x v="5"/>
    <x v="2"/>
    <x v="3"/>
    <n v="5.8988763999999999E-2"/>
    <n v="0"/>
    <s v="DOWN"/>
    <n v="6.6000000000000003E-2"/>
    <n v="0.25000000057142863"/>
    <n v="-2.475667272801203E-2"/>
    <n v="0.42334565134305008"/>
    <n v="0.64901262698172091"/>
    <n v="-1"/>
    <x v="825"/>
    <n v="0"/>
    <x v="0"/>
    <x v="0"/>
    <n v="0"/>
    <n v="0"/>
    <n v="0"/>
    <x v="0"/>
    <x v="1"/>
    <s v="Normal"/>
    <s v="Allowed"/>
    <m/>
    <m/>
    <m/>
  </r>
  <r>
    <x v="0"/>
    <x v="5"/>
    <x v="2"/>
    <x v="4"/>
    <n v="7.2222222222222215E-2"/>
    <n v="0"/>
    <s v="DOWN"/>
    <n v="6.6000000000000003E-2"/>
    <n v="-0.22433862527145371"/>
    <n v="-2.475667272801203E-2"/>
    <n v="0.42334565134305008"/>
    <n v="-0.47143971341213625"/>
    <n v="0"/>
    <x v="826"/>
    <n v="0"/>
    <x v="0"/>
    <x v="0"/>
    <n v="0"/>
    <n v="0"/>
    <n v="0"/>
    <x v="1"/>
    <x v="0"/>
    <s v="Normal"/>
    <s v="Allowed"/>
    <m/>
    <m/>
    <m/>
  </r>
  <r>
    <x v="0"/>
    <x v="5"/>
    <x v="2"/>
    <x v="5"/>
    <n v="6.2330623306233061E-2"/>
    <n v="0"/>
    <s v="DOWN"/>
    <n v="6.6000000000000003E-2"/>
    <n v="0.13696060037523439"/>
    <n v="-2.475667272801203E-2"/>
    <n v="0.42334565134305008"/>
    <n v="0.38199819128932516"/>
    <n v="0"/>
    <x v="827"/>
    <n v="0"/>
    <x v="0"/>
    <x v="0"/>
    <n v="0"/>
    <n v="0"/>
    <n v="0"/>
    <x v="0"/>
    <x v="1"/>
    <s v="Normal"/>
    <s v="Allowed"/>
    <m/>
    <m/>
    <m/>
  </r>
  <r>
    <x v="0"/>
    <x v="5"/>
    <x v="2"/>
    <x v="6"/>
    <n v="6.6489361702127658E-2"/>
    <n v="0"/>
    <s v="DOWN"/>
    <n v="6.6000000000000003E-2"/>
    <n v="-6.6720629047178528E-2"/>
    <n v="-2.475667272801203E-2"/>
    <n v="0.42334565134305008"/>
    <n v="-9.9124571578891221E-2"/>
    <n v="0"/>
    <x v="828"/>
    <n v="0"/>
    <x v="0"/>
    <x v="0"/>
    <n v="0"/>
    <n v="0"/>
    <n v="0"/>
    <x v="1"/>
    <x v="1"/>
    <s v="Normal"/>
    <s v="Allowed"/>
    <m/>
    <m/>
    <m/>
  </r>
  <r>
    <x v="0"/>
    <x v="5"/>
    <x v="2"/>
    <x v="7"/>
    <n v="6.8783068783068779E-2"/>
    <n v="0"/>
    <s v="DOWN"/>
    <n v="6.6000000000000003E-2"/>
    <n v="-3.4497354497354457E-2"/>
    <n v="-2.475667272801203E-2"/>
    <n v="0.42334565134305008"/>
    <n v="-2.3008814991816822E-2"/>
    <n v="0"/>
    <x v="829"/>
    <n v="0"/>
    <x v="0"/>
    <x v="0"/>
    <n v="0"/>
    <n v="0"/>
    <n v="0"/>
    <x v="1"/>
    <x v="0"/>
    <s v="Normal"/>
    <s v="Allowed"/>
    <m/>
    <m/>
    <m/>
  </r>
  <r>
    <x v="0"/>
    <x v="5"/>
    <x v="2"/>
    <x v="8"/>
    <n v="6.4000000000000001E-2"/>
    <n v="0"/>
    <s v="DOWN"/>
    <n v="6.6000000000000003E-2"/>
    <n v="6.9538461538461466E-2"/>
    <n v="-2.475667272801203E-2"/>
    <n v="0.42334565134305008"/>
    <n v="0.22273793050034954"/>
    <n v="0"/>
    <x v="830"/>
    <n v="0"/>
    <x v="0"/>
    <x v="0"/>
    <n v="0"/>
    <n v="0"/>
    <n v="0"/>
    <x v="0"/>
    <x v="1"/>
    <s v="Normal"/>
    <s v="Allowed"/>
    <m/>
    <m/>
    <m/>
  </r>
  <r>
    <x v="0"/>
    <x v="5"/>
    <x v="2"/>
    <x v="9"/>
    <n v="4.3126684636118601E-2"/>
    <n v="0"/>
    <s v="DOWN"/>
    <n v="6.6000000000000003E-2"/>
    <n v="0.32614555256064692"/>
    <n v="-2.475667272801203E-2"/>
    <n v="0.42334565134305008"/>
    <n v="0.82887877594923498"/>
    <n v="-1"/>
    <x v="831"/>
    <n v="0"/>
    <x v="0"/>
    <x v="0"/>
    <n v="0"/>
    <n v="0"/>
    <n v="0"/>
    <x v="0"/>
    <x v="1"/>
    <s v="Normal"/>
    <s v="Allowed"/>
    <m/>
    <m/>
    <m/>
  </r>
  <r>
    <x v="0"/>
    <x v="5"/>
    <x v="2"/>
    <x v="10"/>
    <n v="4.8387096774193547E-2"/>
    <n v="0"/>
    <s v="DOWN"/>
    <n v="6.6000000000000003E-2"/>
    <n v="-0.12197580645161279"/>
    <n v="-2.475667272801203E-2"/>
    <n v="0.42334565134305008"/>
    <n v="-0.22964481485796837"/>
    <n v="0"/>
    <x v="832"/>
    <n v="0"/>
    <x v="0"/>
    <x v="0"/>
    <n v="0"/>
    <n v="0"/>
    <n v="0"/>
    <x v="1"/>
    <x v="1"/>
    <s v="Normal"/>
    <s v="Allowed"/>
    <m/>
    <m/>
    <m/>
  </r>
  <r>
    <x v="0"/>
    <x v="5"/>
    <x v="2"/>
    <x v="11"/>
    <n v="4.7872340425531908E-2"/>
    <n v="0"/>
    <s v="DOWN"/>
    <n v="6.6000000000000003E-2"/>
    <n v="1.063829787234055E-2"/>
    <n v="-2.475667272801203E-2"/>
    <n v="0.42334565134305008"/>
    <n v="8.360773398300704E-2"/>
    <n v="0"/>
    <x v="833"/>
    <n v="0"/>
    <x v="0"/>
    <x v="0"/>
    <n v="0"/>
    <n v="0"/>
    <n v="0"/>
    <x v="0"/>
    <x v="1"/>
    <s v="Normal"/>
    <s v="Allowed"/>
    <m/>
    <m/>
    <m/>
  </r>
  <r>
    <x v="0"/>
    <x v="5"/>
    <x v="2"/>
    <x v="12"/>
    <n v="8.6956521739130432E-2"/>
    <n v="0"/>
    <s v="DOWN"/>
    <n v="6.6000000000000003E-2"/>
    <n v="-0.81642512077294704"/>
    <n v="-2.475667272801203E-2"/>
    <n v="0.42334565134305008"/>
    <n v="-1.87002853468175"/>
    <n v="1"/>
    <x v="834"/>
    <n v="0"/>
    <x v="0"/>
    <x v="1"/>
    <n v="0"/>
    <n v="1"/>
    <n v="1"/>
    <x v="1"/>
    <x v="0"/>
    <s v="Abnormal"/>
    <s v="Allowed"/>
    <m/>
    <m/>
    <m/>
  </r>
  <r>
    <x v="0"/>
    <x v="5"/>
    <x v="2"/>
    <x v="13"/>
    <n v="7.9487179487179482E-2"/>
    <n v="0"/>
    <s v="DOWN"/>
    <n v="6.6000000000000003E-2"/>
    <n v="8.5897435897435925E-2"/>
    <n v="-2.475667272801203E-2"/>
    <n v="0.42334565134305008"/>
    <n v="0.26138005262225195"/>
    <n v="0"/>
    <x v="835"/>
    <n v="0"/>
    <x v="0"/>
    <x v="0"/>
    <n v="0"/>
    <n v="0"/>
    <n v="0"/>
    <x v="0"/>
    <x v="0"/>
    <s v="Normal"/>
    <s v="Allowed"/>
    <m/>
    <m/>
    <m/>
  </r>
  <r>
    <x v="0"/>
    <x v="5"/>
    <x v="2"/>
    <x v="14"/>
    <n v="7.3417721518987344E-2"/>
    <n v="0"/>
    <s v="DOWN"/>
    <n v="6.6000000000000003E-2"/>
    <n v="7.6357697019191415E-2"/>
    <n v="-2.475667272801203E-2"/>
    <n v="0.42334565134305008"/>
    <n v="0.23884589206578941"/>
    <n v="0"/>
    <x v="836"/>
    <n v="0"/>
    <x v="0"/>
    <x v="0"/>
    <n v="0"/>
    <n v="0"/>
    <n v="0"/>
    <x v="0"/>
    <x v="0"/>
    <s v="Normal"/>
    <s v="Allowed"/>
    <m/>
    <m/>
    <m/>
  </r>
  <r>
    <x v="0"/>
    <x v="5"/>
    <x v="2"/>
    <x v="15"/>
    <n v="6.6666666666666666E-2"/>
    <n v="0"/>
    <s v="DOWN"/>
    <n v="6.6000000000000003E-2"/>
    <n v="9.1954022988505787E-2"/>
    <n v="-2.475667272801203E-2"/>
    <n v="0.42334565134305008"/>
    <n v="0.27568653497740442"/>
    <n v="0"/>
    <x v="837"/>
    <n v="0"/>
    <x v="0"/>
    <x v="0"/>
    <n v="0"/>
    <n v="0"/>
    <n v="0"/>
    <x v="0"/>
    <x v="1"/>
    <s v="Normal"/>
    <s v="Allowed"/>
    <m/>
    <m/>
    <m/>
  </r>
  <r>
    <x v="0"/>
    <x v="5"/>
    <x v="3"/>
    <x v="0"/>
    <n v="0.17948717948717949"/>
    <n v="0"/>
    <s v="UP"/>
    <n v="0.16400000000000001"/>
    <n v="-2.564102564102573E-2"/>
    <n v="2.6472445732452773E-2"/>
    <n v="0.13493378643970674"/>
    <n v="-0.38621514113342303"/>
    <n v="0"/>
    <x v="838"/>
    <n v="0"/>
    <x v="0"/>
    <x v="0"/>
    <n v="0"/>
    <n v="0"/>
    <n v="0"/>
    <x v="1"/>
    <x v="1"/>
    <s v="Normal"/>
    <s v="Allowed"/>
    <m/>
    <m/>
    <m/>
  </r>
  <r>
    <x v="0"/>
    <x v="5"/>
    <x v="3"/>
    <x v="1"/>
    <n v="0.17499999999999999"/>
    <n v="0"/>
    <s v="UP"/>
    <n v="0.16400000000000001"/>
    <n v="-2.5000000000000071E-2"/>
    <n v="2.6472445732452773E-2"/>
    <n v="0.13493378643970674"/>
    <n v="-0.38146447298766478"/>
    <n v="0"/>
    <x v="839"/>
    <n v="0"/>
    <x v="0"/>
    <x v="0"/>
    <n v="0"/>
    <n v="0"/>
    <n v="0"/>
    <x v="1"/>
    <x v="1"/>
    <s v="Normal"/>
    <s v="Allowed"/>
    <m/>
    <m/>
    <m/>
  </r>
  <r>
    <x v="0"/>
    <x v="5"/>
    <x v="3"/>
    <x v="2"/>
    <n v="0.17073170731707321"/>
    <n v="0"/>
    <s v="UP"/>
    <n v="0.16400000000000001"/>
    <n v="-2.439024390243873E-2"/>
    <n v="2.6472445732452773E-2"/>
    <n v="0.13493378643970674"/>
    <n v="-0.37694554475145314"/>
    <n v="0"/>
    <x v="840"/>
    <n v="0"/>
    <x v="0"/>
    <x v="0"/>
    <n v="0"/>
    <n v="0"/>
    <n v="0"/>
    <x v="1"/>
    <x v="1"/>
    <s v="Normal"/>
    <s v="Allowed"/>
    <m/>
    <m/>
    <m/>
  </r>
  <r>
    <x v="0"/>
    <x v="5"/>
    <x v="3"/>
    <x v="3"/>
    <n v="0.17073170700000001"/>
    <n v="0"/>
    <s v="UP"/>
    <n v="0.16400000000000001"/>
    <n v="-1.857143034594039E-9"/>
    <n v="2.6472445732452773E-2"/>
    <n v="0.13493378643970674"/>
    <n v="-0.19618842906646397"/>
    <n v="0"/>
    <x v="841"/>
    <n v="0"/>
    <x v="0"/>
    <x v="0"/>
    <n v="0"/>
    <n v="0"/>
    <n v="0"/>
    <x v="1"/>
    <x v="1"/>
    <s v="Normal"/>
    <s v="Allowed"/>
    <m/>
    <m/>
    <m/>
  </r>
  <r>
    <x v="0"/>
    <x v="5"/>
    <x v="3"/>
    <x v="4"/>
    <n v="0.17073170731707321"/>
    <n v="0"/>
    <s v="UP"/>
    <n v="0.16400000000000001"/>
    <n v="1.857143038043019E-9"/>
    <n v="2.6472445732452773E-2"/>
    <n v="0.13493378643970674"/>
    <n v="-0.19618840153973277"/>
    <n v="0"/>
    <x v="840"/>
    <n v="0"/>
    <x v="0"/>
    <x v="0"/>
    <n v="0"/>
    <n v="0"/>
    <n v="0"/>
    <x v="1"/>
    <x v="1"/>
    <s v="Normal"/>
    <s v="Allowed"/>
    <m/>
    <m/>
    <m/>
  </r>
  <r>
    <x v="0"/>
    <x v="5"/>
    <x v="3"/>
    <x v="5"/>
    <n v="0.17073170731707321"/>
    <n v="0"/>
    <s v="UP"/>
    <n v="0.16400000000000001"/>
    <n v="0"/>
    <n v="2.6472445732452773E-2"/>
    <n v="0.13493378643970674"/>
    <n v="-0.19618841530309838"/>
    <n v="0"/>
    <x v="840"/>
    <n v="0"/>
    <x v="0"/>
    <x v="0"/>
    <n v="0"/>
    <n v="0"/>
    <n v="0"/>
    <x v="1"/>
    <x v="1"/>
    <s v="Normal"/>
    <s v="Allowed"/>
    <m/>
    <m/>
    <m/>
  </r>
  <r>
    <x v="0"/>
    <x v="5"/>
    <x v="3"/>
    <x v="6"/>
    <n v="0.17499999999999999"/>
    <n v="0"/>
    <s v="UP"/>
    <n v="0.16400000000000001"/>
    <n v="2.4999999999999689E-2"/>
    <n v="2.6472445732452773E-2"/>
    <n v="0.13493378643970674"/>
    <n v="-1.0912357618534815E-2"/>
    <n v="0"/>
    <x v="839"/>
    <n v="0"/>
    <x v="0"/>
    <x v="0"/>
    <n v="0"/>
    <n v="0"/>
    <n v="0"/>
    <x v="0"/>
    <x v="1"/>
    <s v="Normal"/>
    <s v="Allowed"/>
    <m/>
    <m/>
    <m/>
  </r>
  <r>
    <x v="0"/>
    <x v="5"/>
    <x v="3"/>
    <x v="7"/>
    <n v="0.17073170731707321"/>
    <n v="0"/>
    <s v="UP"/>
    <n v="0.16400000000000001"/>
    <n v="-2.439024390243873E-2"/>
    <n v="2.6472445732452773E-2"/>
    <n v="0.13493378643970674"/>
    <n v="-0.37694554475145314"/>
    <n v="0"/>
    <x v="840"/>
    <n v="0"/>
    <x v="0"/>
    <x v="0"/>
    <n v="0"/>
    <n v="0"/>
    <n v="0"/>
    <x v="1"/>
    <x v="1"/>
    <s v="Normal"/>
    <s v="Allowed"/>
    <m/>
    <m/>
    <m/>
  </r>
  <r>
    <x v="0"/>
    <x v="5"/>
    <x v="3"/>
    <x v="8"/>
    <n v="0.17073170731707321"/>
    <n v="0"/>
    <s v="UP"/>
    <n v="0.16400000000000001"/>
    <n v="0"/>
    <n v="2.6472445732452773E-2"/>
    <n v="0.13493378643970674"/>
    <n v="-0.19618841530309838"/>
    <n v="0"/>
    <x v="840"/>
    <n v="0"/>
    <x v="0"/>
    <x v="0"/>
    <n v="0"/>
    <n v="0"/>
    <n v="0"/>
    <x v="1"/>
    <x v="1"/>
    <s v="Normal"/>
    <s v="Allowed"/>
    <m/>
    <m/>
    <m/>
  </r>
  <r>
    <x v="0"/>
    <x v="5"/>
    <x v="3"/>
    <x v="9"/>
    <n v="0.17499999999999999"/>
    <n v="0"/>
    <s v="UP"/>
    <n v="0.16400000000000001"/>
    <n v="2.4999999999999689E-2"/>
    <n v="2.6472445732452773E-2"/>
    <n v="0.13493378643970674"/>
    <n v="-1.0912357618534815E-2"/>
    <n v="0"/>
    <x v="839"/>
    <n v="0"/>
    <x v="0"/>
    <x v="0"/>
    <n v="0"/>
    <n v="0"/>
    <n v="0"/>
    <x v="0"/>
    <x v="1"/>
    <s v="Normal"/>
    <s v="Allowed"/>
    <m/>
    <m/>
    <m/>
  </r>
  <r>
    <x v="0"/>
    <x v="5"/>
    <x v="3"/>
    <x v="10"/>
    <n v="0.17499999999999999"/>
    <n v="0"/>
    <s v="UP"/>
    <n v="0.16400000000000001"/>
    <n v="0"/>
    <n v="2.6472445732452773E-2"/>
    <n v="0.13493378643970674"/>
    <n v="-0.19618841530309838"/>
    <n v="0"/>
    <x v="839"/>
    <n v="0"/>
    <x v="0"/>
    <x v="0"/>
    <n v="0"/>
    <n v="0"/>
    <n v="0"/>
    <x v="1"/>
    <x v="1"/>
    <s v="Normal"/>
    <s v="Allowed"/>
    <m/>
    <m/>
    <m/>
  </r>
  <r>
    <x v="0"/>
    <x v="5"/>
    <x v="3"/>
    <x v="11"/>
    <n v="0.17073170731707321"/>
    <n v="0"/>
    <s v="UP"/>
    <n v="0.16400000000000001"/>
    <n v="-2.439024390243873E-2"/>
    <n v="2.6472445732452773E-2"/>
    <n v="0.13493378643970674"/>
    <n v="-0.37694554475145314"/>
    <n v="0"/>
    <x v="840"/>
    <n v="0"/>
    <x v="0"/>
    <x v="0"/>
    <n v="0"/>
    <n v="0"/>
    <n v="0"/>
    <x v="1"/>
    <x v="1"/>
    <s v="Normal"/>
    <s v="Allowed"/>
    <m/>
    <m/>
    <m/>
  </r>
  <r>
    <x v="0"/>
    <x v="5"/>
    <x v="3"/>
    <x v="12"/>
    <n v="0.16666666666666671"/>
    <n v="0"/>
    <s v="UP"/>
    <n v="0.16400000000000001"/>
    <n v="-2.380952380952377E-2"/>
    <n v="2.6472445732452773E-2"/>
    <n v="0.13493378643970674"/>
    <n v="-0.37264180357411325"/>
    <n v="0"/>
    <x v="240"/>
    <n v="0"/>
    <x v="0"/>
    <x v="0"/>
    <n v="0"/>
    <n v="0"/>
    <n v="0"/>
    <x v="1"/>
    <x v="1"/>
    <s v="Normal"/>
    <s v="Allowed"/>
    <m/>
    <m/>
    <m/>
  </r>
  <r>
    <x v="0"/>
    <x v="5"/>
    <x v="3"/>
    <x v="13"/>
    <n v="0.16666666666666671"/>
    <n v="0"/>
    <s v="UP"/>
    <n v="0.16400000000000001"/>
    <n v="0"/>
    <n v="2.6472445732452773E-2"/>
    <n v="0.13493378643970674"/>
    <n v="-0.19618841530309838"/>
    <n v="0"/>
    <x v="240"/>
    <n v="0"/>
    <x v="0"/>
    <x v="0"/>
    <n v="0"/>
    <n v="0"/>
    <n v="0"/>
    <x v="1"/>
    <x v="1"/>
    <s v="Normal"/>
    <s v="Allowed"/>
    <m/>
    <m/>
    <m/>
  </r>
  <r>
    <x v="0"/>
    <x v="5"/>
    <x v="3"/>
    <x v="14"/>
    <n v="0.17073170731707321"/>
    <n v="0"/>
    <s v="UP"/>
    <n v="0.16400000000000001"/>
    <n v="2.439024390243898E-2"/>
    <n v="2.6472445732452773E-2"/>
    <n v="0.13493378643970674"/>
    <n v="-1.5431285854741763E-2"/>
    <n v="0"/>
    <x v="840"/>
    <n v="0"/>
    <x v="0"/>
    <x v="0"/>
    <n v="0"/>
    <n v="0"/>
    <n v="0"/>
    <x v="0"/>
    <x v="1"/>
    <s v="Normal"/>
    <s v="Allowed"/>
    <m/>
    <m/>
    <m/>
  </r>
  <r>
    <x v="0"/>
    <x v="5"/>
    <x v="3"/>
    <x v="15"/>
    <n v="0.19047619047619049"/>
    <n v="0"/>
    <s v="UP"/>
    <n v="0.16400000000000001"/>
    <n v="0.1156462585034012"/>
    <n v="2.6472445732452773E-2"/>
    <n v="0.13493378643970674"/>
    <n v="0.66087089915611674"/>
    <n v="-1"/>
    <x v="842"/>
    <n v="0"/>
    <x v="0"/>
    <x v="0"/>
    <n v="0"/>
    <n v="0"/>
    <n v="0"/>
    <x v="0"/>
    <x v="1"/>
    <s v="Normal"/>
    <s v="Allowed"/>
    <m/>
    <m/>
    <m/>
  </r>
  <r>
    <x v="0"/>
    <x v="5"/>
    <x v="4"/>
    <x v="0"/>
    <n v="0.1127589720366806"/>
    <n v="0"/>
    <s v="DOWN"/>
    <n v="0.104"/>
    <n v="1.5499987818981801E-2"/>
    <n v="1.7244519882342341E-3"/>
    <n v="8.3117651155014696E-2"/>
    <n v="0.16573538399269905"/>
    <n v="0"/>
    <x v="843"/>
    <n v="0"/>
    <x v="0"/>
    <x v="0"/>
    <n v="0"/>
    <n v="0"/>
    <n v="0"/>
    <x v="0"/>
    <x v="0"/>
    <s v="Normal"/>
    <s v="Allowed"/>
    <m/>
    <m/>
    <m/>
  </r>
  <r>
    <x v="0"/>
    <x v="5"/>
    <x v="4"/>
    <x v="1"/>
    <n v="0.11723027375201291"/>
    <n v="0"/>
    <s v="DOWN"/>
    <n v="0.104"/>
    <n v="-3.9653622541697041E-2"/>
    <n v="1.7244519882342341E-3"/>
    <n v="8.3117651155014696E-2"/>
    <n v="-0.49782535905353037"/>
    <n v="0"/>
    <x v="844"/>
    <n v="0"/>
    <x v="0"/>
    <x v="0"/>
    <n v="0"/>
    <n v="0"/>
    <n v="0"/>
    <x v="1"/>
    <x v="0"/>
    <s v="Normal"/>
    <s v="Allowed"/>
    <m/>
    <m/>
    <m/>
  </r>
  <r>
    <x v="0"/>
    <x v="5"/>
    <x v="4"/>
    <x v="2"/>
    <n v="0.1152400835073069"/>
    <n v="0"/>
    <s v="DOWN"/>
    <n v="0.104"/>
    <n v="1.6976760191791632E-2"/>
    <n v="1.7244519882342341E-3"/>
    <n v="8.3117651155014696E-2"/>
    <n v="0.18350263742549452"/>
    <n v="0"/>
    <x v="845"/>
    <n v="0"/>
    <x v="0"/>
    <x v="0"/>
    <n v="0"/>
    <n v="0"/>
    <n v="0"/>
    <x v="0"/>
    <x v="0"/>
    <s v="Normal"/>
    <s v="Allowed"/>
    <m/>
    <m/>
    <m/>
  </r>
  <r>
    <x v="0"/>
    <x v="5"/>
    <x v="4"/>
    <x v="3"/>
    <n v="0.11514903999999999"/>
    <n v="0"/>
    <s v="DOWN"/>
    <n v="0.104"/>
    <n v="7.900333333334587E-4"/>
    <n v="1.7244519882342341E-3"/>
    <n v="8.3117651155014696E-2"/>
    <n v="-1.1242120559423431E-2"/>
    <n v="0"/>
    <x v="846"/>
    <n v="0"/>
    <x v="0"/>
    <x v="0"/>
    <n v="0"/>
    <n v="0"/>
    <n v="0"/>
    <x v="1"/>
    <x v="0"/>
    <s v="Normal"/>
    <s v="Allowed"/>
    <m/>
    <m/>
    <m/>
  </r>
  <r>
    <x v="0"/>
    <x v="5"/>
    <x v="4"/>
    <x v="4"/>
    <n v="0.1117564590426597"/>
    <n v="0"/>
    <s v="DOWN"/>
    <n v="0.104"/>
    <n v="2.946252055023903E-2"/>
    <n v="1.7244519882342341E-3"/>
    <n v="8.3117651155014696E-2"/>
    <n v="0.33372055365560321"/>
    <n v="0"/>
    <x v="847"/>
    <n v="0"/>
    <x v="0"/>
    <x v="0"/>
    <n v="0"/>
    <n v="0"/>
    <n v="0"/>
    <x v="0"/>
    <x v="0"/>
    <s v="Normal"/>
    <s v="Allowed"/>
    <m/>
    <m/>
    <m/>
  </r>
  <r>
    <x v="0"/>
    <x v="5"/>
    <x v="4"/>
    <x v="5"/>
    <n v="0.1074485880153498"/>
    <n v="0"/>
    <s v="DOWN"/>
    <n v="0.104"/>
    <n v="3.854695347555253E-2"/>
    <n v="1.7244519882342341E-3"/>
    <n v="8.3117651155014696E-2"/>
    <n v="0.44301662734241865"/>
    <n v="0"/>
    <x v="848"/>
    <n v="0"/>
    <x v="0"/>
    <x v="0"/>
    <n v="0"/>
    <n v="0"/>
    <n v="0"/>
    <x v="0"/>
    <x v="0"/>
    <s v="Normal"/>
    <s v="Allowed"/>
    <m/>
    <m/>
    <m/>
  </r>
  <r>
    <x v="0"/>
    <x v="5"/>
    <x v="4"/>
    <x v="6"/>
    <n v="0.10471204188481679"/>
    <n v="0"/>
    <s v="DOWN"/>
    <n v="0.104"/>
    <n v="2.5468423374182189E-2"/>
    <n v="1.7244519882342341E-3"/>
    <n v="8.3117651155014696E-2"/>
    <n v="0.28566701604290251"/>
    <n v="0"/>
    <x v="849"/>
    <n v="0"/>
    <x v="0"/>
    <x v="0"/>
    <n v="0"/>
    <n v="0"/>
    <n v="0"/>
    <x v="0"/>
    <x v="1"/>
    <s v="Normal"/>
    <s v="Allowed"/>
    <m/>
    <m/>
    <m/>
  </r>
  <r>
    <x v="0"/>
    <x v="5"/>
    <x v="4"/>
    <x v="7"/>
    <n v="0.1011106855610877"/>
    <n v="0"/>
    <s v="DOWN"/>
    <n v="0.104"/>
    <n v="3.4392952891612892E-2"/>
    <n v="1.7244519882342341E-3"/>
    <n v="8.3117651155014696E-2"/>
    <n v="0.39303926963060826"/>
    <n v="0"/>
    <x v="850"/>
    <n v="0"/>
    <x v="0"/>
    <x v="0"/>
    <n v="0"/>
    <n v="0"/>
    <n v="0"/>
    <x v="0"/>
    <x v="1"/>
    <s v="Normal"/>
    <s v="Allowed"/>
    <m/>
    <m/>
    <m/>
  </r>
  <r>
    <x v="0"/>
    <x v="5"/>
    <x v="4"/>
    <x v="8"/>
    <n v="9.6664139499620924E-2"/>
    <n v="0"/>
    <s v="DOWN"/>
    <n v="0.104"/>
    <n v="4.3977014267006599E-2"/>
    <n v="1.7244519882342341E-3"/>
    <n v="8.3117651155014696E-2"/>
    <n v="0.50834644256213635"/>
    <n v="-1"/>
    <x v="851"/>
    <n v="0"/>
    <x v="0"/>
    <x v="0"/>
    <n v="0"/>
    <n v="0"/>
    <n v="0"/>
    <x v="0"/>
    <x v="1"/>
    <s v="Normal"/>
    <s v="Allowed"/>
    <m/>
    <m/>
    <m/>
  </r>
  <r>
    <x v="0"/>
    <x v="5"/>
    <x v="4"/>
    <x v="9"/>
    <n v="0.1024582473259523"/>
    <n v="0"/>
    <s v="DOWN"/>
    <n v="0.104"/>
    <n v="-5.9940613513184929E-2"/>
    <n v="1.7244519882342341E-3"/>
    <n v="8.3117651155014696E-2"/>
    <n v="-0.74190096380868131"/>
    <n v="1"/>
    <x v="852"/>
    <n v="0"/>
    <x v="0"/>
    <x v="0"/>
    <n v="0"/>
    <n v="0"/>
    <n v="0"/>
    <x v="1"/>
    <x v="1"/>
    <s v="Abnormal"/>
    <s v="Allowed"/>
    <m/>
    <m/>
    <m/>
  </r>
  <r>
    <x v="0"/>
    <x v="5"/>
    <x v="4"/>
    <x v="10"/>
    <n v="0.10493023255813951"/>
    <n v="0"/>
    <s v="DOWN"/>
    <n v="0.104"/>
    <n v="-2.4126756963966389E-2"/>
    <n v="1.7244519882342341E-3"/>
    <n v="8.3117651155014696E-2"/>
    <n v="-0.3110194837434474"/>
    <n v="0"/>
    <x v="853"/>
    <n v="0"/>
    <x v="0"/>
    <x v="0"/>
    <n v="0"/>
    <n v="0"/>
    <n v="0"/>
    <x v="1"/>
    <x v="1"/>
    <s v="Normal"/>
    <s v="Allowed"/>
    <m/>
    <m/>
    <m/>
  </r>
  <r>
    <x v="0"/>
    <x v="5"/>
    <x v="4"/>
    <x v="11"/>
    <n v="0.1051466519092418"/>
    <n v="0"/>
    <s v="DOWN"/>
    <n v="0.104"/>
    <n v="-2.0625071137851752E-3"/>
    <n v="1.7244519882342341E-3"/>
    <n v="8.3117651155014696E-2"/>
    <n v="-4.5561430687649222E-2"/>
    <n v="0"/>
    <x v="854"/>
    <n v="0"/>
    <x v="0"/>
    <x v="0"/>
    <n v="0"/>
    <n v="0"/>
    <n v="0"/>
    <x v="1"/>
    <x v="1"/>
    <s v="Normal"/>
    <s v="Allowed"/>
    <m/>
    <m/>
    <m/>
  </r>
  <r>
    <x v="0"/>
    <x v="5"/>
    <x v="4"/>
    <x v="12"/>
    <n v="0.10429054981246"/>
    <n v="0"/>
    <s v="DOWN"/>
    <n v="0.104"/>
    <n v="8.1419815204458804E-3"/>
    <n v="1.7244519882342341E-3"/>
    <n v="8.3117651155014696E-2"/>
    <n v="7.7210188726855769E-2"/>
    <n v="0"/>
    <x v="855"/>
    <n v="0"/>
    <x v="0"/>
    <x v="0"/>
    <n v="0"/>
    <n v="0"/>
    <n v="0"/>
    <x v="1"/>
    <x v="1"/>
    <s v="Normal"/>
    <s v="Allowed"/>
    <m/>
    <m/>
    <m/>
  </r>
  <r>
    <x v="0"/>
    <x v="5"/>
    <x v="4"/>
    <x v="13"/>
    <n v="0.1002451648052302"/>
    <n v="0"/>
    <s v="DOWN"/>
    <n v="0.104"/>
    <n v="3.8789564485990281E-2"/>
    <n v="1.7244519882342341E-3"/>
    <n v="8.3117651155014696E-2"/>
    <n v="0.44593551408989518"/>
    <n v="0"/>
    <x v="856"/>
    <n v="0"/>
    <x v="0"/>
    <x v="0"/>
    <n v="0"/>
    <n v="0"/>
    <n v="0"/>
    <x v="0"/>
    <x v="1"/>
    <s v="Normal"/>
    <s v="Allowed"/>
    <m/>
    <m/>
    <m/>
  </r>
  <r>
    <x v="0"/>
    <x v="5"/>
    <x v="4"/>
    <x v="14"/>
    <n v="0.1028880866425993"/>
    <n v="0"/>
    <s v="DOWN"/>
    <n v="0.104"/>
    <n v="-2.6364581698320531E-2"/>
    <n v="1.7244519882342341E-3"/>
    <n v="8.3117651155014696E-2"/>
    <n v="-0.33794306379241423"/>
    <n v="0"/>
    <x v="857"/>
    <n v="0"/>
    <x v="0"/>
    <x v="0"/>
    <n v="0"/>
    <n v="0"/>
    <n v="0"/>
    <x v="1"/>
    <x v="1"/>
    <s v="Normal"/>
    <s v="Allowed"/>
    <m/>
    <m/>
    <m/>
  </r>
  <r>
    <x v="0"/>
    <x v="5"/>
    <x v="4"/>
    <x v="15"/>
    <n v="0.104544638045626"/>
    <n v="0"/>
    <s v="DOWN"/>
    <n v="0.104"/>
    <n v="-1.610051714520689E-2"/>
    <n v="1.7244519882342341E-3"/>
    <n v="8.3117651155014696E-2"/>
    <n v="-0.21445467822710118"/>
    <n v="0"/>
    <x v="858"/>
    <n v="0"/>
    <x v="0"/>
    <x v="0"/>
    <n v="0"/>
    <n v="0"/>
    <n v="0"/>
    <x v="1"/>
    <x v="1"/>
    <s v="Normal"/>
    <s v="Allowed"/>
    <m/>
    <m/>
    <m/>
  </r>
  <r>
    <x v="0"/>
    <x v="5"/>
    <x v="5"/>
    <x v="0"/>
    <n v="4.7430830039525688E-2"/>
    <n v="0"/>
    <s v="DOWN"/>
    <n v="0.1"/>
    <n v="4.7430830039525688E-2"/>
    <n v="-3.0570725046180952E-3"/>
    <n v="0.17799866497296365"/>
    <n v="0.28364202929169402"/>
    <n v="0"/>
    <x v="859"/>
    <n v="0"/>
    <x v="0"/>
    <x v="0"/>
    <n v="0"/>
    <n v="0"/>
    <n v="0"/>
    <x v="0"/>
    <x v="1"/>
    <s v="Normal"/>
    <s v="Allowed"/>
    <m/>
    <m/>
    <m/>
  </r>
  <r>
    <x v="0"/>
    <x v="5"/>
    <x v="5"/>
    <x v="1"/>
    <n v="5.3299492385786802E-2"/>
    <n v="0"/>
    <s v="DOWN"/>
    <n v="0.1"/>
    <n v="-0.1237309644670052"/>
    <n v="-3.0570725046180952E-3"/>
    <n v="0.17799866497296365"/>
    <n v="-0.67794829798704581"/>
    <n v="1"/>
    <x v="860"/>
    <n v="0"/>
    <x v="0"/>
    <x v="0"/>
    <n v="0"/>
    <n v="0"/>
    <n v="0"/>
    <x v="1"/>
    <x v="1"/>
    <s v="Abnormal"/>
    <s v="Allowed"/>
    <m/>
    <m/>
    <m/>
  </r>
  <r>
    <x v="0"/>
    <x v="5"/>
    <x v="5"/>
    <x v="2"/>
    <n v="5.2336448598130837E-2"/>
    <n v="0"/>
    <s v="DOWN"/>
    <n v="0.1"/>
    <n v="1.806853582554525E-2"/>
    <n v="-3.0570725046180952E-3"/>
    <n v="0.17799866497296365"/>
    <n v="0.11868408301473569"/>
    <n v="0"/>
    <x v="861"/>
    <n v="0"/>
    <x v="0"/>
    <x v="0"/>
    <n v="0"/>
    <n v="0"/>
    <n v="0"/>
    <x v="0"/>
    <x v="1"/>
    <s v="Normal"/>
    <s v="Allowed"/>
    <m/>
    <m/>
    <m/>
  </r>
  <r>
    <x v="0"/>
    <x v="5"/>
    <x v="5"/>
    <x v="3"/>
    <n v="6.6502462999999998E-2"/>
    <n v="0"/>
    <s v="DOWN"/>
    <n v="0.1"/>
    <n v="-0.27067206089285722"/>
    <n v="-3.0570725046180952E-3"/>
    <n v="0.17799866497296365"/>
    <n v="-1.5034662671705281"/>
    <n v="1"/>
    <x v="862"/>
    <n v="0"/>
    <x v="0"/>
    <x v="0"/>
    <n v="0"/>
    <n v="0"/>
    <n v="0"/>
    <x v="1"/>
    <x v="1"/>
    <s v="Abnormal"/>
    <s v="Allowed"/>
    <m/>
    <m/>
    <m/>
  </r>
  <r>
    <x v="0"/>
    <x v="5"/>
    <x v="5"/>
    <x v="4"/>
    <n v="7.3304825901038484E-2"/>
    <n v="0"/>
    <s v="DOWN"/>
    <n v="0.1"/>
    <n v="-0.1022873829656277"/>
    <n v="-3.0570725046180952E-3"/>
    <n v="0.17799866497296365"/>
    <n v="-0.55747783544377583"/>
    <n v="1"/>
    <x v="863"/>
    <n v="0"/>
    <x v="0"/>
    <x v="0"/>
    <n v="0"/>
    <n v="0"/>
    <n v="0"/>
    <x v="1"/>
    <x v="1"/>
    <s v="Abnormal"/>
    <s v="Allowed"/>
    <m/>
    <m/>
    <m/>
  </r>
  <r>
    <x v="0"/>
    <x v="5"/>
    <x v="5"/>
    <x v="5"/>
    <n v="6.545454545454546E-2"/>
    <n v="0"/>
    <s v="DOWN"/>
    <n v="0.1"/>
    <n v="0.107090909090909"/>
    <n v="-3.0570725046180952E-3"/>
    <n v="0.17799866497296365"/>
    <n v="0.61881352656357025"/>
    <n v="-1"/>
    <x v="864"/>
    <n v="0"/>
    <x v="0"/>
    <x v="0"/>
    <n v="0"/>
    <n v="0"/>
    <n v="0"/>
    <x v="0"/>
    <x v="1"/>
    <s v="Normal"/>
    <s v="Allowed"/>
    <m/>
    <m/>
    <m/>
  </r>
  <r>
    <x v="0"/>
    <x v="5"/>
    <x v="5"/>
    <x v="6"/>
    <n v="6.5335753176043551E-2"/>
    <n v="0"/>
    <s v="DOWN"/>
    <n v="0.1"/>
    <n v="1.814882032668047E-3"/>
    <n v="-3.0570725046180952E-3"/>
    <n v="0.17799866497296365"/>
    <n v="2.737073639302939E-2"/>
    <n v="0"/>
    <x v="865"/>
    <n v="0"/>
    <x v="0"/>
    <x v="0"/>
    <n v="0"/>
    <n v="0"/>
    <n v="0"/>
    <x v="1"/>
    <x v="1"/>
    <s v="Normal"/>
    <s v="Allowed"/>
    <m/>
    <m/>
    <m/>
  </r>
  <r>
    <x v="0"/>
    <x v="5"/>
    <x v="5"/>
    <x v="7"/>
    <n v="5.7831325301204807E-2"/>
    <n v="0"/>
    <s v="DOWN"/>
    <n v="0.1"/>
    <n v="0.1148594377510041"/>
    <n v="-3.0570725046180952E-3"/>
    <n v="0.17799866497296365"/>
    <n v="0.66245727333703663"/>
    <n v="-1"/>
    <x v="866"/>
    <n v="0"/>
    <x v="0"/>
    <x v="0"/>
    <n v="0"/>
    <n v="0"/>
    <n v="0"/>
    <x v="0"/>
    <x v="1"/>
    <s v="Normal"/>
    <s v="Allowed"/>
    <m/>
    <m/>
    <m/>
  </r>
  <r>
    <x v="0"/>
    <x v="5"/>
    <x v="5"/>
    <x v="8"/>
    <n v="4.3087971274685818E-2"/>
    <n v="0"/>
    <s v="DOWN"/>
    <n v="0.1"/>
    <n v="0.25493716337522421"/>
    <n v="-3.0570725046180952E-3"/>
    <n v="0.17799866497296365"/>
    <n v="1.4494166903950052"/>
    <n v="-1"/>
    <x v="867"/>
    <n v="0"/>
    <x v="0"/>
    <x v="0"/>
    <n v="0"/>
    <n v="0"/>
    <n v="0"/>
    <x v="0"/>
    <x v="1"/>
    <s v="Normal"/>
    <s v="Allowed"/>
    <m/>
    <m/>
    <m/>
  </r>
  <r>
    <x v="0"/>
    <x v="5"/>
    <x v="5"/>
    <x v="9"/>
    <n v="7.1599045346062054E-2"/>
    <n v="0"/>
    <s v="DOWN"/>
    <n v="0.1"/>
    <n v="-0.66169451073985674"/>
    <n v="-3.0570725046180952E-3"/>
    <n v="0.17799866497296365"/>
    <n v="-3.7002380795118861"/>
    <n v="1"/>
    <x v="868"/>
    <n v="0"/>
    <x v="0"/>
    <x v="0"/>
    <n v="0"/>
    <n v="0"/>
    <n v="0"/>
    <x v="1"/>
    <x v="1"/>
    <s v="Abnormal"/>
    <s v="Allowed"/>
    <m/>
    <m/>
    <m/>
  </r>
  <r>
    <x v="0"/>
    <x v="5"/>
    <x v="5"/>
    <x v="10"/>
    <n v="7.3825503355704702E-2"/>
    <n v="0"/>
    <s v="DOWN"/>
    <n v="0.1"/>
    <n v="-3.1096196868008991E-2"/>
    <n v="-3.0570725046180952E-3"/>
    <n v="0.17799866497296365"/>
    <n v="-0.15752435203741433"/>
    <n v="0"/>
    <x v="869"/>
    <n v="0"/>
    <x v="0"/>
    <x v="0"/>
    <n v="0"/>
    <n v="0"/>
    <n v="0"/>
    <x v="1"/>
    <x v="1"/>
    <s v="Normal"/>
    <s v="Allowed"/>
    <m/>
    <m/>
    <m/>
  </r>
  <r>
    <x v="0"/>
    <x v="5"/>
    <x v="5"/>
    <x v="11"/>
    <n v="0.1032443090159527"/>
    <n v="0"/>
    <s v="DOWN"/>
    <n v="0.1"/>
    <n v="-0.39849109485245021"/>
    <n v="-3.0570725046180952E-3"/>
    <n v="0.17799866497296365"/>
    <n v="-2.221556113400597"/>
    <n v="1"/>
    <x v="870"/>
    <n v="0"/>
    <x v="0"/>
    <x v="1"/>
    <n v="0"/>
    <n v="1"/>
    <n v="1"/>
    <x v="1"/>
    <x v="0"/>
    <s v="Abnormal"/>
    <s v="Allowed"/>
    <m/>
    <m/>
    <m/>
  </r>
  <r>
    <x v="0"/>
    <x v="5"/>
    <x v="5"/>
    <x v="12"/>
    <n v="0.1043848748446654"/>
    <n v="0"/>
    <s v="DOWN"/>
    <n v="0.1"/>
    <n v="-1.1047251316646019E-2"/>
    <n v="-3.0570725046180952E-3"/>
    <n v="0.17799866497296365"/>
    <n v="-4.4888981685573648E-2"/>
    <n v="0"/>
    <x v="871"/>
    <n v="0"/>
    <x v="0"/>
    <x v="0"/>
    <n v="0"/>
    <n v="0"/>
    <n v="0"/>
    <x v="1"/>
    <x v="0"/>
    <s v="Normal"/>
    <s v="Allowed"/>
    <m/>
    <m/>
    <m/>
  </r>
  <r>
    <x v="0"/>
    <x v="5"/>
    <x v="5"/>
    <x v="13"/>
    <n v="9.7165991902834009E-2"/>
    <n v="0"/>
    <s v="DOWN"/>
    <n v="0.1"/>
    <n v="6.9156407502272435E-2"/>
    <n v="-3.0570725046180952E-3"/>
    <n v="0.17799866497296365"/>
    <n v="0.40569675069113065"/>
    <n v="0"/>
    <x v="872"/>
    <n v="0"/>
    <x v="0"/>
    <x v="0"/>
    <n v="0"/>
    <n v="0"/>
    <n v="0"/>
    <x v="0"/>
    <x v="1"/>
    <s v="Normal"/>
    <s v="Allowed"/>
    <m/>
    <m/>
    <m/>
  </r>
  <r>
    <x v="0"/>
    <x v="5"/>
    <x v="5"/>
    <x v="14"/>
    <n v="0.1007697690692792"/>
    <n v="0"/>
    <s v="DOWN"/>
    <n v="0.1"/>
    <n v="-3.708887333799845E-2"/>
    <n v="-3.0570725046180952E-3"/>
    <n v="0.17799866497296365"/>
    <n v="-0.19119132628634863"/>
    <n v="0"/>
    <x v="873"/>
    <n v="0"/>
    <x v="0"/>
    <x v="0"/>
    <n v="0"/>
    <n v="0"/>
    <n v="0"/>
    <x v="1"/>
    <x v="1"/>
    <s v="Normal"/>
    <s v="Allowed"/>
    <m/>
    <m/>
    <m/>
  </r>
  <r>
    <x v="0"/>
    <x v="5"/>
    <x v="5"/>
    <x v="15"/>
    <n v="0.10765171503957779"/>
    <n v="0"/>
    <s v="DOWN"/>
    <n v="0.1"/>
    <n v="-6.8293755496921446E-2"/>
    <n v="-3.0570725046180952E-3"/>
    <n v="0.17799866497296365"/>
    <n v="-0.36650096787081071"/>
    <n v="0"/>
    <x v="874"/>
    <n v="0"/>
    <x v="0"/>
    <x v="0"/>
    <n v="0"/>
    <n v="0"/>
    <n v="0"/>
    <x v="1"/>
    <x v="0"/>
    <s v="Normal"/>
    <s v="Allowed"/>
    <m/>
    <m/>
    <m/>
  </r>
  <r>
    <x v="1"/>
    <x v="5"/>
    <x v="6"/>
    <x v="0"/>
    <n v="0.47"/>
    <n v="0"/>
    <s v="DOWN"/>
    <n v="0.59"/>
    <n v="-6.8181818181818121E-2"/>
    <n v="-4.8849805534298088E-2"/>
    <n v="0.44966933193859487"/>
    <n v="-4.2991619117489513E-2"/>
    <n v="0"/>
    <x v="104"/>
    <n v="0"/>
    <x v="0"/>
    <x v="0"/>
    <n v="0"/>
    <n v="0"/>
    <n v="0"/>
    <x v="1"/>
    <x v="1"/>
    <s v="Normal"/>
    <s v="Allowed"/>
    <m/>
    <m/>
    <m/>
  </r>
  <r>
    <x v="1"/>
    <x v="5"/>
    <x v="6"/>
    <x v="1"/>
    <n v="0.43"/>
    <n v="0"/>
    <s v="DOWN"/>
    <n v="0.59"/>
    <n v="8.5106382978723361E-2"/>
    <n v="-4.8849805534298088E-2"/>
    <n v="0.44966933193859487"/>
    <n v="0.29789932067529562"/>
    <n v="0"/>
    <x v="875"/>
    <n v="0"/>
    <x v="0"/>
    <x v="0"/>
    <n v="0"/>
    <n v="0"/>
    <n v="0"/>
    <x v="0"/>
    <x v="1"/>
    <s v="Normal"/>
    <s v="Allowed"/>
    <m/>
    <m/>
    <m/>
  </r>
  <r>
    <x v="1"/>
    <x v="5"/>
    <x v="6"/>
    <x v="2"/>
    <n v="0.5"/>
    <n v="0"/>
    <s v="DOWN"/>
    <n v="0.59"/>
    <n v="-0.16279069767441859"/>
    <n v="-4.8849805534298088E-2"/>
    <n v="0.44966933193859487"/>
    <n v="-0.253388176705099"/>
    <n v="0"/>
    <x v="98"/>
    <n v="0"/>
    <x v="0"/>
    <x v="0"/>
    <n v="0"/>
    <n v="0"/>
    <n v="0"/>
    <x v="1"/>
    <x v="1"/>
    <s v="Normal"/>
    <s v="Allowed"/>
    <m/>
    <m/>
    <m/>
  </r>
  <r>
    <x v="1"/>
    <x v="5"/>
    <x v="6"/>
    <x v="3"/>
    <n v="0.47"/>
    <n v="0"/>
    <s v="DOWN"/>
    <n v="0.59"/>
    <n v="6.0000000000000053E-2"/>
    <n v="-4.8849805534298088E-2"/>
    <n v="0.44966933193859487"/>
    <n v="0.24206633141964473"/>
    <n v="0"/>
    <x v="104"/>
    <n v="0"/>
    <x v="0"/>
    <x v="0"/>
    <n v="0"/>
    <n v="0"/>
    <n v="0"/>
    <x v="0"/>
    <x v="1"/>
    <s v="Normal"/>
    <s v="Allowed"/>
    <m/>
    <m/>
    <m/>
  </r>
  <r>
    <x v="1"/>
    <x v="5"/>
    <x v="6"/>
    <x v="4"/>
    <n v="0.52"/>
    <n v="0"/>
    <s v="DOWN"/>
    <n v="0.59"/>
    <n v="-0.10638297872340439"/>
    <n v="-4.8849805534298088E-2"/>
    <n v="0.44966933193859487"/>
    <n v="-0.12794551263051851"/>
    <n v="0"/>
    <x v="450"/>
    <n v="0"/>
    <x v="0"/>
    <x v="0"/>
    <n v="0"/>
    <n v="0"/>
    <n v="0"/>
    <x v="1"/>
    <x v="1"/>
    <s v="Normal"/>
    <s v="Allowed"/>
    <m/>
    <m/>
    <m/>
  </r>
  <r>
    <x v="1"/>
    <x v="5"/>
    <x v="6"/>
    <x v="5"/>
    <n v="0.57999999999999996"/>
    <n v="0"/>
    <s v="DOWN"/>
    <n v="0.59"/>
    <n v="-0.11538461538461529"/>
    <n v="-4.8849805534298088E-2"/>
    <n v="0.44966933193859487"/>
    <n v="-0.1479638594953212"/>
    <n v="0"/>
    <x v="100"/>
    <n v="0"/>
    <x v="0"/>
    <x v="0"/>
    <n v="0"/>
    <n v="0"/>
    <n v="0"/>
    <x v="1"/>
    <x v="1"/>
    <s v="Normal"/>
    <s v="Allowed"/>
    <m/>
    <m/>
    <m/>
  </r>
  <r>
    <x v="1"/>
    <x v="5"/>
    <x v="6"/>
    <x v="6"/>
    <n v="0.54"/>
    <n v="0"/>
    <s v="DOWN"/>
    <n v="0.59"/>
    <n v="6.8965517241379184E-2"/>
    <n v="-4.8849805534298088E-2"/>
    <n v="0.44966933193859487"/>
    <n v="0.26200435388323456"/>
    <n v="0"/>
    <x v="876"/>
    <n v="0"/>
    <x v="0"/>
    <x v="0"/>
    <n v="0"/>
    <n v="0"/>
    <n v="0"/>
    <x v="0"/>
    <x v="1"/>
    <s v="Normal"/>
    <s v="Allowed"/>
    <m/>
    <m/>
    <m/>
  </r>
  <r>
    <x v="1"/>
    <x v="5"/>
    <x v="6"/>
    <x v="7"/>
    <n v="0.77"/>
    <n v="0"/>
    <s v="DOWN"/>
    <n v="0.59"/>
    <n v="-0.42592592592592587"/>
    <n v="-4.8849805534298088E-2"/>
    <n v="0.44966933193859487"/>
    <n v="-0.83856312541038458"/>
    <n v="1"/>
    <x v="620"/>
    <n v="0"/>
    <x v="0"/>
    <x v="1"/>
    <n v="0"/>
    <n v="1"/>
    <n v="1"/>
    <x v="1"/>
    <x v="0"/>
    <s v="Abnormal"/>
    <s v="Allowed"/>
    <m/>
    <m/>
    <m/>
  </r>
  <r>
    <x v="1"/>
    <x v="5"/>
    <x v="6"/>
    <x v="8"/>
    <n v="0.81"/>
    <n v="0"/>
    <s v="DOWN"/>
    <n v="0.59"/>
    <n v="-5.1948051948051993E-2"/>
    <n v="-4.8849805534298088E-2"/>
    <n v="0.44966933193859487"/>
    <n v="-6.8900549663835865E-3"/>
    <n v="0"/>
    <x v="877"/>
    <n v="0"/>
    <x v="0"/>
    <x v="0"/>
    <n v="0"/>
    <n v="0"/>
    <n v="0"/>
    <x v="1"/>
    <x v="0"/>
    <s v="Normal"/>
    <s v="Allowed"/>
    <m/>
    <m/>
    <m/>
  </r>
  <r>
    <x v="1"/>
    <x v="5"/>
    <x v="6"/>
    <x v="9"/>
    <n v="0.63"/>
    <n v="0"/>
    <s v="DOWN"/>
    <n v="0.59"/>
    <n v="0.22222222222222229"/>
    <n v="-4.8849805534298088E-2"/>
    <n v="0.44966933193859487"/>
    <n v="0.60282525069674298"/>
    <n v="-1"/>
    <x v="94"/>
    <n v="0"/>
    <x v="0"/>
    <x v="0"/>
    <n v="0"/>
    <n v="0"/>
    <n v="0"/>
    <x v="0"/>
    <x v="0"/>
    <s v="Normal"/>
    <s v="Allowed"/>
    <m/>
    <m/>
    <m/>
  </r>
  <r>
    <x v="1"/>
    <x v="5"/>
    <x v="6"/>
    <x v="10"/>
    <n v="0.56999999999999995"/>
    <n v="0"/>
    <s v="DOWN"/>
    <n v="0.59"/>
    <n v="9.5238095238095316E-2"/>
    <n v="-4.8849805534298088E-2"/>
    <n v="0.44966933193859487"/>
    <n v="0.32043079333697927"/>
    <n v="0"/>
    <x v="101"/>
    <n v="0"/>
    <x v="0"/>
    <x v="0"/>
    <n v="0"/>
    <n v="0"/>
    <n v="0"/>
    <x v="0"/>
    <x v="1"/>
    <s v="Normal"/>
    <s v="Allowed"/>
    <m/>
    <m/>
    <m/>
  </r>
  <r>
    <x v="1"/>
    <x v="5"/>
    <x v="6"/>
    <x v="11"/>
    <n v="0.63"/>
    <n v="0"/>
    <s v="DOWN"/>
    <n v="0.59"/>
    <n v="-0.10526315789473691"/>
    <n v="-4.8849805534298088E-2"/>
    <n v="0.44966933193859487"/>
    <n v="-0.12545519196791124"/>
    <n v="0"/>
    <x v="94"/>
    <n v="0"/>
    <x v="0"/>
    <x v="0"/>
    <n v="0"/>
    <n v="0"/>
    <n v="0"/>
    <x v="1"/>
    <x v="0"/>
    <s v="Normal"/>
    <s v="Allowed"/>
    <m/>
    <m/>
    <m/>
  </r>
  <r>
    <x v="1"/>
    <x v="5"/>
    <x v="6"/>
    <x v="12"/>
    <n v="0.69"/>
    <n v="0"/>
    <s v="DOWN"/>
    <n v="0.59"/>
    <n v="-9.523809523809515E-2"/>
    <n v="-4.8849805534298088E-2"/>
    <n v="0.44966933193859487"/>
    <n v="-0.10316089270266639"/>
    <n v="0"/>
    <x v="278"/>
    <n v="0"/>
    <x v="0"/>
    <x v="0"/>
    <n v="0"/>
    <n v="0"/>
    <n v="0"/>
    <x v="1"/>
    <x v="0"/>
    <s v="Normal"/>
    <s v="Allowed"/>
    <m/>
    <m/>
    <m/>
  </r>
  <r>
    <x v="1"/>
    <x v="5"/>
    <x v="6"/>
    <x v="13"/>
    <n v="0.57999999999999996"/>
    <n v="0"/>
    <s v="DOWN"/>
    <n v="0.59"/>
    <n v="0.15942028985507251"/>
    <n v="-4.8849805534298088E-2"/>
    <n v="0.44966933193859487"/>
    <n v="0.46316277450251186"/>
    <n v="0"/>
    <x v="100"/>
    <n v="0"/>
    <x v="0"/>
    <x v="0"/>
    <n v="0"/>
    <n v="0"/>
    <n v="0"/>
    <x v="0"/>
    <x v="1"/>
    <s v="Normal"/>
    <s v="Allowed"/>
    <m/>
    <m/>
    <m/>
  </r>
  <r>
    <x v="1"/>
    <x v="5"/>
    <x v="6"/>
    <x v="14"/>
    <n v="0.6"/>
    <n v="0"/>
    <s v="DOWN"/>
    <n v="0.59"/>
    <n v="-3.4482758620689689E-2"/>
    <n v="-4.8849805534298088E-2"/>
    <n v="0.44966933193859487"/>
    <n v="3.1950248534116862E-2"/>
    <n v="0"/>
    <x v="878"/>
    <n v="0"/>
    <x v="0"/>
    <x v="0"/>
    <n v="0"/>
    <n v="0"/>
    <n v="0"/>
    <x v="1"/>
    <x v="1"/>
    <s v="Normal"/>
    <s v="Allowed"/>
    <m/>
    <m/>
    <m/>
  </r>
  <r>
    <x v="1"/>
    <x v="5"/>
    <x v="7"/>
    <x v="0"/>
    <n v="0.79300000000000004"/>
    <n v="0"/>
    <s v="DOWN"/>
    <n v="0.56999999999999995"/>
    <n v="-5.1724137931034531E-2"/>
    <n v="-2.6703176088529658E-2"/>
    <n v="0.34089784338901952"/>
    <n v="-7.339724297977418E-2"/>
    <n v="0"/>
    <x v="284"/>
    <n v="0"/>
    <x v="0"/>
    <x v="0"/>
    <n v="0"/>
    <n v="0"/>
    <n v="0"/>
    <x v="1"/>
    <x v="0"/>
    <s v="Normal"/>
    <s v="Allowed"/>
    <m/>
    <m/>
    <m/>
  </r>
  <r>
    <x v="1"/>
    <x v="5"/>
    <x v="7"/>
    <x v="1"/>
    <n v="0.79500000000000004"/>
    <n v="0"/>
    <s v="DOWN"/>
    <n v="0.56999999999999995"/>
    <n v="-2.5220680958385898E-3"/>
    <n v="-2.6703176088529658E-2"/>
    <n v="0.34089784338901952"/>
    <n v="7.0933590404373775E-2"/>
    <n v="0"/>
    <x v="285"/>
    <n v="0"/>
    <x v="0"/>
    <x v="0"/>
    <n v="0"/>
    <n v="0"/>
    <n v="0"/>
    <x v="1"/>
    <x v="0"/>
    <s v="Normal"/>
    <s v="Allowed"/>
    <m/>
    <m/>
    <m/>
  </r>
  <r>
    <x v="1"/>
    <x v="5"/>
    <x v="7"/>
    <x v="2"/>
    <n v="0.88500000000000001"/>
    <n v="0"/>
    <s v="DOWN"/>
    <n v="0.56999999999999995"/>
    <n v="-0.1132075471698113"/>
    <n v="-2.6703176088529658E-2"/>
    <n v="0.34089784338901952"/>
    <n v="-0.25375452722523145"/>
    <n v="0"/>
    <x v="286"/>
    <n v="0"/>
    <x v="0"/>
    <x v="0"/>
    <n v="0"/>
    <n v="0"/>
    <n v="0"/>
    <x v="1"/>
    <x v="0"/>
    <s v="Normal"/>
    <s v="Allowed"/>
    <m/>
    <m/>
    <m/>
  </r>
  <r>
    <x v="1"/>
    <x v="5"/>
    <x v="7"/>
    <x v="3"/>
    <n v="0.83799999999999997"/>
    <n v="1"/>
    <s v="DOWN"/>
    <n v="0.56999999999999995"/>
    <n v="5.3107344632768408E-2"/>
    <n v="-2.6703176088529658E-2"/>
    <n v="0.34089784338901952"/>
    <n v="0.23411858499269347"/>
    <n v="0"/>
    <x v="287"/>
    <n v="0"/>
    <x v="0"/>
    <x v="0"/>
    <n v="0"/>
    <n v="0"/>
    <n v="0"/>
    <x v="0"/>
    <x v="0"/>
    <s v="Normal"/>
    <s v="Allowed"/>
    <m/>
    <m/>
    <m/>
  </r>
  <r>
    <x v="1"/>
    <x v="5"/>
    <x v="7"/>
    <x v="4"/>
    <n v="0.83199999999999996"/>
    <n v="1"/>
    <s v="DOWN"/>
    <n v="0.56999999999999995"/>
    <n v="7.1599045346062117E-3"/>
    <n v="-2.6703176088529658E-2"/>
    <n v="0.34089784338901952"/>
    <n v="9.9334980492946742E-2"/>
    <n v="0"/>
    <x v="288"/>
    <n v="1"/>
    <x v="1"/>
    <x v="0"/>
    <n v="1"/>
    <n v="0"/>
    <n v="0"/>
    <x v="1"/>
    <x v="0"/>
    <s v="Normal"/>
    <s v="Allowed"/>
    <m/>
    <m/>
    <m/>
  </r>
  <r>
    <x v="1"/>
    <x v="5"/>
    <x v="7"/>
    <x v="5"/>
    <n v="0.82099999999999995"/>
    <n v="0"/>
    <s v="DOWN"/>
    <n v="0.56999999999999995"/>
    <n v="1.322115384615386E-2"/>
    <n v="-2.6703176088529658E-2"/>
    <n v="0.34089784338901952"/>
    <n v="0.11711523175910329"/>
    <n v="0"/>
    <x v="289"/>
    <n v="2"/>
    <x v="1"/>
    <x v="0"/>
    <n v="1"/>
    <n v="0"/>
    <n v="0"/>
    <x v="0"/>
    <x v="0"/>
    <s v="Normal"/>
    <s v="Allowed"/>
    <m/>
    <m/>
    <m/>
  </r>
  <r>
    <x v="1"/>
    <x v="5"/>
    <x v="7"/>
    <x v="6"/>
    <n v="0.81399999999999995"/>
    <n v="1"/>
    <s v="DOWN"/>
    <n v="0.56999999999999995"/>
    <n v="8.5261875761266821E-3"/>
    <n v="-2.6703176088529658E-2"/>
    <n v="0.34089784338901952"/>
    <n v="0.10334287631281359"/>
    <n v="0"/>
    <x v="290"/>
    <n v="2"/>
    <x v="0"/>
    <x v="0"/>
    <n v="0"/>
    <n v="0"/>
    <n v="0"/>
    <x v="1"/>
    <x v="0"/>
    <s v="Normal"/>
    <s v="Allowed"/>
    <m/>
    <m/>
    <m/>
  </r>
  <r>
    <x v="1"/>
    <x v="5"/>
    <x v="7"/>
    <x v="7"/>
    <n v="0.77600000000000002"/>
    <n v="0"/>
    <s v="DOWN"/>
    <n v="0.56999999999999995"/>
    <n v="4.668304668304659E-2"/>
    <n v="-2.6703176088529658E-2"/>
    <n v="0.34089784338901952"/>
    <n v="0.21527335591803881"/>
    <n v="0"/>
    <x v="291"/>
    <n v="3"/>
    <x v="1"/>
    <x v="0"/>
    <n v="1"/>
    <n v="0"/>
    <n v="0"/>
    <x v="0"/>
    <x v="0"/>
    <s v="Normal"/>
    <s v="Allowed"/>
    <m/>
    <m/>
    <m/>
  </r>
  <r>
    <x v="1"/>
    <x v="5"/>
    <x v="7"/>
    <x v="8"/>
    <n v="0.81299999999999994"/>
    <n v="0"/>
    <s v="DOWN"/>
    <n v="0.56999999999999995"/>
    <n v="-4.7680412371133921E-2"/>
    <n v="-2.6703176088529658E-2"/>
    <n v="0.34089784338901952"/>
    <n v="-6.1535256644806191E-2"/>
    <n v="0"/>
    <x v="292"/>
    <n v="3"/>
    <x v="0"/>
    <x v="0"/>
    <n v="0"/>
    <n v="0"/>
    <n v="0"/>
    <x v="1"/>
    <x v="0"/>
    <s v="Normal"/>
    <s v="Allowed"/>
    <m/>
    <m/>
    <m/>
  </r>
  <r>
    <x v="1"/>
    <x v="5"/>
    <x v="7"/>
    <x v="9"/>
    <n v="0.83899999999999997"/>
    <n v="0"/>
    <s v="DOWN"/>
    <n v="0.56999999999999995"/>
    <n v="-3.1980319803198057E-2"/>
    <n v="-2.6703176088529658E-2"/>
    <n v="0.34089784338901952"/>
    <n v="-1.5480132294783471E-2"/>
    <n v="0"/>
    <x v="293"/>
    <n v="3"/>
    <x v="0"/>
    <x v="0"/>
    <n v="0"/>
    <n v="0"/>
    <n v="0"/>
    <x v="1"/>
    <x v="0"/>
    <s v="Normal"/>
    <s v="Allowed"/>
    <m/>
    <m/>
    <m/>
  </r>
  <r>
    <x v="1"/>
    <x v="5"/>
    <x v="7"/>
    <x v="10"/>
    <n v="0.79600000000000004"/>
    <n v="0"/>
    <s v="DOWN"/>
    <n v="0.56999999999999995"/>
    <n v="5.1251489868891463E-2"/>
    <n v="-2.6703176088529658E-2"/>
    <n v="0.34089784338901952"/>
    <n v="0.22867456473892167"/>
    <n v="0"/>
    <x v="294"/>
    <n v="3"/>
    <x v="0"/>
    <x v="0"/>
    <n v="0"/>
    <n v="0"/>
    <n v="0"/>
    <x v="0"/>
    <x v="0"/>
    <s v="Normal"/>
    <s v="Allowed"/>
    <m/>
    <m/>
    <m/>
  </r>
  <r>
    <x v="1"/>
    <x v="5"/>
    <x v="7"/>
    <x v="11"/>
    <n v="0.61"/>
    <n v="0"/>
    <s v="DOWN"/>
    <n v="0.56999999999999995"/>
    <n v="0.23366834170854281"/>
    <n v="-2.6703176088529658E-2"/>
    <n v="0.34089784338901952"/>
    <n v="0.76378165144314658"/>
    <n v="-1"/>
    <x v="118"/>
    <n v="3"/>
    <x v="0"/>
    <x v="0"/>
    <n v="0"/>
    <n v="0"/>
    <n v="0"/>
    <x v="0"/>
    <x v="0"/>
    <s v="Normal"/>
    <s v="Allowed"/>
    <m/>
    <m/>
    <m/>
  </r>
  <r>
    <x v="1"/>
    <x v="5"/>
    <x v="7"/>
    <x v="12"/>
    <n v="0.41"/>
    <n v="0"/>
    <s v="DOWN"/>
    <n v="0.56999999999999995"/>
    <n v="0.32786885245901642"/>
    <n v="-2.6703176088529658E-2"/>
    <n v="0.34089784338901952"/>
    <n v="1.0401122665446789"/>
    <n v="-1"/>
    <x v="879"/>
    <n v="3"/>
    <x v="0"/>
    <x v="0"/>
    <n v="0"/>
    <n v="0"/>
    <n v="0"/>
    <x v="0"/>
    <x v="1"/>
    <s v="Normal"/>
    <s v="Allowed"/>
    <m/>
    <m/>
    <m/>
  </r>
  <r>
    <x v="1"/>
    <x v="5"/>
    <x v="7"/>
    <x v="13"/>
    <n v="0.59"/>
    <n v="0"/>
    <s v="DOWN"/>
    <n v="0.56999999999999995"/>
    <n v="-0.43902439024390238"/>
    <n v="-2.6703176088529658E-2"/>
    <n v="0.34089784338901952"/>
    <n v="-1.2095154667342602"/>
    <n v="1"/>
    <x v="880"/>
    <n v="3"/>
    <x v="0"/>
    <x v="1"/>
    <n v="0"/>
    <n v="1"/>
    <n v="1"/>
    <x v="1"/>
    <x v="0"/>
    <s v="Abnormal"/>
    <s v="Allowed"/>
    <m/>
    <m/>
    <m/>
  </r>
  <r>
    <x v="1"/>
    <x v="5"/>
    <x v="7"/>
    <x v="14"/>
    <n v="0.44"/>
    <n v="0"/>
    <s v="DOWN"/>
    <n v="0.56999999999999995"/>
    <n v="0.25423728813559321"/>
    <n v="-2.6703176088529658E-2"/>
    <n v="0.34089784338901952"/>
    <n v="0.82411921832994539"/>
    <n v="-1"/>
    <x v="881"/>
    <n v="3"/>
    <x v="0"/>
    <x v="0"/>
    <n v="0"/>
    <n v="0"/>
    <n v="0"/>
    <x v="0"/>
    <x v="1"/>
    <s v="Normal"/>
    <s v="Allowed"/>
    <m/>
    <m/>
    <m/>
  </r>
  <r>
    <x v="2"/>
    <x v="5"/>
    <x v="8"/>
    <x v="0"/>
    <n v="0.82830000000000004"/>
    <n v="0"/>
    <s v="UP"/>
    <n v="0.85"/>
    <n v="-1.051248357424432E-2"/>
    <n v="4.5902054585511267E-3"/>
    <n v="7.1528610508022367E-2"/>
    <n v="-0.21114193223565539"/>
    <n v="0"/>
    <x v="882"/>
    <n v="0"/>
    <x v="0"/>
    <x v="0"/>
    <n v="0"/>
    <n v="0"/>
    <n v="0"/>
    <x v="1"/>
    <x v="0"/>
    <s v="Normal"/>
    <s v="Allowed"/>
    <m/>
    <m/>
    <m/>
  </r>
  <r>
    <x v="2"/>
    <x v="5"/>
    <x v="8"/>
    <x v="1"/>
    <n v="0.81189999999999996"/>
    <n v="1"/>
    <s v="UP"/>
    <n v="0.85"/>
    <n v="-1.9799589520705159E-2"/>
    <n v="4.5902054585511267E-3"/>
    <n v="7.1528610508022367E-2"/>
    <n v="-0.34097957175500876"/>
    <n v="0"/>
    <x v="883"/>
    <n v="0"/>
    <x v="0"/>
    <x v="0"/>
    <n v="0"/>
    <n v="0"/>
    <n v="0"/>
    <x v="1"/>
    <x v="0"/>
    <s v="Normal"/>
    <s v="Allowed"/>
    <m/>
    <m/>
    <m/>
  </r>
  <r>
    <x v="2"/>
    <x v="5"/>
    <x v="8"/>
    <x v="2"/>
    <n v="0.82499999999999996"/>
    <n v="1"/>
    <s v="UP"/>
    <n v="0.85"/>
    <n v="1.6134991994087938E-2"/>
    <n v="4.5902054585511267E-3"/>
    <n v="7.1528610508022367E-2"/>
    <n v="0.1614009618464767"/>
    <n v="0"/>
    <x v="884"/>
    <n v="1"/>
    <x v="1"/>
    <x v="0"/>
    <n v="1"/>
    <n v="0"/>
    <n v="0"/>
    <x v="0"/>
    <x v="0"/>
    <s v="Normal"/>
    <s v="Allowed"/>
    <m/>
    <m/>
    <m/>
  </r>
  <r>
    <x v="2"/>
    <x v="5"/>
    <x v="8"/>
    <x v="3"/>
    <n v="0.79790000000000005"/>
    <n v="0"/>
    <s v="UP"/>
    <n v="0.85"/>
    <n v="-3.2848484848484731E-2"/>
    <n v="4.5902054585511267E-3"/>
    <n v="7.1528610508022367E-2"/>
    <n v="-0.52340860588696714"/>
    <n v="1"/>
    <x v="885"/>
    <n v="2"/>
    <x v="2"/>
    <x v="1"/>
    <n v="1"/>
    <n v="1"/>
    <n v="1"/>
    <x v="1"/>
    <x v="0"/>
    <s v="Abnormal"/>
    <s v="Allowed"/>
    <m/>
    <m/>
    <m/>
  </r>
  <r>
    <x v="2"/>
    <x v="5"/>
    <x v="8"/>
    <x v="4"/>
    <n v="0.78200000000000003"/>
    <n v="1"/>
    <s v="UP"/>
    <n v="0.85"/>
    <n v="-1.9927309186614891E-2"/>
    <n v="4.5902054585511267E-3"/>
    <n v="7.1528610508022367E-2"/>
    <n v="-0.34276514629647714"/>
    <n v="0"/>
    <x v="886"/>
    <n v="2"/>
    <x v="0"/>
    <x v="0"/>
    <n v="0"/>
    <n v="0"/>
    <n v="0"/>
    <x v="1"/>
    <x v="0"/>
    <s v="Normal"/>
    <s v="Allowed"/>
    <m/>
    <m/>
    <m/>
  </r>
  <r>
    <x v="2"/>
    <x v="5"/>
    <x v="8"/>
    <x v="5"/>
    <n v="0.74029999999999996"/>
    <n v="1"/>
    <s v="UP"/>
    <n v="0.85"/>
    <n v="-5.3324808184143313E-2"/>
    <n v="4.5902054585511267E-3"/>
    <n v="7.1528610508022367E-2"/>
    <n v="-0.80967620133203788"/>
    <n v="1"/>
    <x v="887"/>
    <n v="3"/>
    <x v="2"/>
    <x v="1"/>
    <n v="1"/>
    <n v="1"/>
    <n v="1"/>
    <x v="1"/>
    <x v="0"/>
    <s v="Abnormal"/>
    <s v="Allowed"/>
    <m/>
    <m/>
    <m/>
  </r>
  <r>
    <x v="2"/>
    <x v="5"/>
    <x v="8"/>
    <x v="6"/>
    <n v="0.66669999999999996"/>
    <n v="1"/>
    <s v="UP"/>
    <n v="0.85"/>
    <n v="-9.9419154396866133E-2"/>
    <n v="4.5902054585511267E-3"/>
    <n v="7.1528610508022367E-2"/>
    <n v="-1.4540945101086786"/>
    <n v="1"/>
    <x v="463"/>
    <n v="4"/>
    <x v="2"/>
    <x v="1"/>
    <n v="1"/>
    <n v="1"/>
    <n v="1"/>
    <x v="1"/>
    <x v="0"/>
    <s v="Abnormal"/>
    <s v="Allowed"/>
    <m/>
    <m/>
    <m/>
  </r>
  <r>
    <x v="2"/>
    <x v="5"/>
    <x v="8"/>
    <x v="7"/>
    <n v="0.75"/>
    <n v="0"/>
    <s v="UP"/>
    <n v="0.85"/>
    <n v="0.12494375281235939"/>
    <n v="4.5902054585511267E-3"/>
    <n v="7.1528610508022367E-2"/>
    <n v="1.6825931120290654"/>
    <n v="-1"/>
    <x v="309"/>
    <n v="5"/>
    <x v="1"/>
    <x v="0"/>
    <n v="1"/>
    <n v="0"/>
    <n v="0"/>
    <x v="0"/>
    <x v="0"/>
    <s v="Normal"/>
    <s v="Maxed Out"/>
    <m/>
    <m/>
    <m/>
  </r>
  <r>
    <x v="2"/>
    <x v="5"/>
    <x v="8"/>
    <x v="8"/>
    <n v="0.73680000000000001"/>
    <n v="1"/>
    <s v="UP"/>
    <n v="0.85"/>
    <n v="-1.7599999999999991E-2"/>
    <n v="4.5902054585511267E-3"/>
    <n v="7.1528610508022367E-2"/>
    <n v="-0.31022838694821775"/>
    <n v="0"/>
    <x v="888"/>
    <n v="5"/>
    <x v="0"/>
    <x v="0"/>
    <n v="0"/>
    <n v="0"/>
    <n v="0"/>
    <x v="1"/>
    <x v="0"/>
    <s v="Normal"/>
    <s v="Maxed Out"/>
    <m/>
    <m/>
    <m/>
  </r>
  <r>
    <x v="2"/>
    <x v="5"/>
    <x v="8"/>
    <x v="9"/>
    <n v="0.77890000000000004"/>
    <n v="0"/>
    <s v="UP"/>
    <n v="0.85"/>
    <n v="5.7138979370249761E-2"/>
    <n v="4.5902054585511267E-3"/>
    <n v="7.1528610508022367E-2"/>
    <n v="0.73465391734129892"/>
    <n v="-1"/>
    <x v="889"/>
    <n v="6"/>
    <x v="1"/>
    <x v="0"/>
    <n v="1"/>
    <n v="0"/>
    <n v="0"/>
    <x v="0"/>
    <x v="0"/>
    <s v="Normal"/>
    <s v="Maxed Out"/>
    <m/>
    <m/>
    <m/>
  </r>
  <r>
    <x v="2"/>
    <x v="5"/>
    <x v="8"/>
    <x v="10"/>
    <n v="0.73599999999999999"/>
    <n v="0"/>
    <s v="UP"/>
    <n v="0.85"/>
    <n v="-5.5077673642316152E-2"/>
    <n v="4.5902054585511267E-3"/>
    <n v="7.1528610508022367E-2"/>
    <n v="-0.83418199622618372"/>
    <n v="1"/>
    <x v="890"/>
    <n v="6"/>
    <x v="0"/>
    <x v="2"/>
    <n v="0"/>
    <n v="-1"/>
    <n v="0"/>
    <x v="1"/>
    <x v="0"/>
    <s v="Abnormal"/>
    <s v="Maxed Out"/>
    <m/>
    <m/>
    <m/>
  </r>
  <r>
    <x v="2"/>
    <x v="5"/>
    <x v="8"/>
    <x v="11"/>
    <n v="0.79"/>
    <n v="0"/>
    <s v="UP"/>
    <n v="0.85"/>
    <n v="7.3369565217391366E-2"/>
    <n v="4.5902054585511267E-3"/>
    <n v="7.1528610508022367E-2"/>
    <n v="0.96156432049139573"/>
    <n v="-1"/>
    <x v="891"/>
    <n v="6"/>
    <x v="0"/>
    <x v="0"/>
    <n v="0"/>
    <n v="0"/>
    <n v="0"/>
    <x v="0"/>
    <x v="0"/>
    <s v="Normal"/>
    <s v="Maxed Out"/>
    <m/>
    <m/>
    <m/>
  </r>
  <r>
    <x v="2"/>
    <x v="5"/>
    <x v="8"/>
    <x v="12"/>
    <n v="0.76400000000000001"/>
    <n v="0"/>
    <s v="UP"/>
    <n v="0.85"/>
    <n v="-3.2911392405063321E-2"/>
    <n v="4.5902054585511267E-3"/>
    <n v="7.1528610508022367E-2"/>
    <n v="-0.52428807993423021"/>
    <n v="1"/>
    <x v="892"/>
    <n v="6"/>
    <x v="0"/>
    <x v="2"/>
    <n v="0"/>
    <n v="-1"/>
    <n v="0"/>
    <x v="1"/>
    <x v="0"/>
    <s v="Abnormal"/>
    <s v="Maxed Out"/>
    <m/>
    <m/>
    <m/>
  </r>
  <r>
    <x v="2"/>
    <x v="5"/>
    <x v="8"/>
    <x v="13"/>
    <n v="0.73799999999999999"/>
    <n v="0"/>
    <s v="UP"/>
    <n v="0.85"/>
    <n v="-3.4031413612565467E-2"/>
    <n v="4.5902054585511267E-3"/>
    <n v="7.1528610508022367E-2"/>
    <n v="-0.53994644655910029"/>
    <n v="1"/>
    <x v="893"/>
    <n v="6"/>
    <x v="0"/>
    <x v="2"/>
    <n v="0"/>
    <n v="-1"/>
    <n v="0"/>
    <x v="1"/>
    <x v="0"/>
    <s v="Abnormal"/>
    <s v="Maxed Out"/>
    <m/>
    <m/>
    <m/>
  </r>
  <r>
    <x v="2"/>
    <x v="5"/>
    <x v="8"/>
    <x v="14"/>
    <n v="0.74399999999999999"/>
    <n v="0"/>
    <s v="UP"/>
    <n v="0.85"/>
    <n v="8.1300813008130159E-3"/>
    <n v="4.5902054585511267E-3"/>
    <n v="7.1528610508022367E-2"/>
    <n v="4.9488950185392885E-2"/>
    <n v="0"/>
    <x v="894"/>
    <n v="6"/>
    <x v="0"/>
    <x v="0"/>
    <n v="0"/>
    <n v="0"/>
    <n v="0"/>
    <x v="1"/>
    <x v="0"/>
    <s v="Normal"/>
    <s v="Maxed Out"/>
    <m/>
    <m/>
    <m/>
  </r>
  <r>
    <x v="2"/>
    <x v="5"/>
    <x v="8"/>
    <x v="15"/>
    <n v="0.78200000000000003"/>
    <n v="0"/>
    <s v="UP"/>
    <n v="0.85"/>
    <n v="5.1075268817204353E-2"/>
    <n v="4.5902054585511267E-3"/>
    <n v="7.1528610508022367E-2"/>
    <n v="0.6498806984855332"/>
    <n v="-1"/>
    <x v="886"/>
    <n v="6"/>
    <x v="0"/>
    <x v="0"/>
    <n v="0"/>
    <n v="0"/>
    <n v="0"/>
    <x v="0"/>
    <x v="0"/>
    <s v="Normal"/>
    <s v="Maxed Out"/>
    <m/>
    <m/>
    <m/>
  </r>
  <r>
    <x v="2"/>
    <x v="5"/>
    <x v="9"/>
    <x v="0"/>
    <n v="0.68869999999999998"/>
    <n v="0"/>
    <s v="UP"/>
    <n v="0.65"/>
    <n v="-8.2085253456221745E-3"/>
    <n v="1.2057533289701232E-2"/>
    <n v="0.17981498891186962"/>
    <n v="-0.11270505733677268"/>
    <n v="0"/>
    <x v="895"/>
    <n v="0"/>
    <x v="0"/>
    <x v="0"/>
    <n v="0"/>
    <n v="0"/>
    <n v="0"/>
    <x v="1"/>
    <x v="1"/>
    <s v="Normal"/>
    <s v="Allowed"/>
    <m/>
    <m/>
    <m/>
  </r>
  <r>
    <x v="2"/>
    <x v="5"/>
    <x v="9"/>
    <x v="1"/>
    <n v="0.65049999999999997"/>
    <n v="0"/>
    <s v="UP"/>
    <n v="0.65"/>
    <n v="-5.5466821547843777E-2"/>
    <n v="1.2057533289701232E-2"/>
    <n v="0.17981498891186962"/>
    <n v="-0.37552128021229558"/>
    <n v="0"/>
    <x v="896"/>
    <n v="0"/>
    <x v="0"/>
    <x v="0"/>
    <n v="0"/>
    <n v="0"/>
    <n v="0"/>
    <x v="1"/>
    <x v="1"/>
    <s v="Normal"/>
    <s v="Allowed"/>
    <m/>
    <m/>
    <m/>
  </r>
  <r>
    <x v="2"/>
    <x v="5"/>
    <x v="9"/>
    <x v="2"/>
    <n v="0.73809999999999998"/>
    <n v="0"/>
    <s v="UP"/>
    <n v="0.65"/>
    <n v="0.1346656418139893"/>
    <n v="1.2057533289701232E-2"/>
    <n v="0.17981498891186962"/>
    <n v="0.68185699794125831"/>
    <n v="-1"/>
    <x v="897"/>
    <n v="0"/>
    <x v="0"/>
    <x v="0"/>
    <n v="0"/>
    <n v="0"/>
    <n v="0"/>
    <x v="0"/>
    <x v="1"/>
    <s v="Normal"/>
    <s v="Allowed"/>
    <m/>
    <m/>
    <m/>
  </r>
  <r>
    <x v="2"/>
    <x v="5"/>
    <x v="9"/>
    <x v="3"/>
    <n v="0.70299999999999996"/>
    <n v="0"/>
    <s v="UP"/>
    <n v="0.65"/>
    <n v="-4.7554531906245798E-2"/>
    <n v="1.2057533289701232E-2"/>
    <n v="0.17981498891186962"/>
    <n v="-0.33151888814543662"/>
    <n v="0"/>
    <x v="327"/>
    <n v="0"/>
    <x v="0"/>
    <x v="0"/>
    <n v="0"/>
    <n v="0"/>
    <n v="0"/>
    <x v="1"/>
    <x v="1"/>
    <s v="Normal"/>
    <s v="Allowed"/>
    <m/>
    <m/>
    <m/>
  </r>
  <r>
    <x v="2"/>
    <x v="5"/>
    <x v="9"/>
    <x v="4"/>
    <n v="0.62670000000000003"/>
    <n v="0"/>
    <s v="UP"/>
    <n v="0.65"/>
    <n v="-0.1085348506401137"/>
    <n v="1.2057533289701232E-2"/>
    <n v="0.17981498891186962"/>
    <n v="-0.67064700590071114"/>
    <n v="1"/>
    <x v="898"/>
    <n v="0"/>
    <x v="0"/>
    <x v="1"/>
    <n v="0"/>
    <n v="1"/>
    <n v="1"/>
    <x v="1"/>
    <x v="0"/>
    <s v="Abnormal"/>
    <s v="Allowed"/>
    <m/>
    <m/>
    <m/>
  </r>
  <r>
    <x v="2"/>
    <x v="5"/>
    <x v="9"/>
    <x v="5"/>
    <n v="0.72729999999999995"/>
    <n v="0"/>
    <s v="UP"/>
    <n v="0.65"/>
    <n v="0.16052337641614789"/>
    <n v="1.2057533289701232E-2"/>
    <n v="0.17981498891186962"/>
    <n v="0.82565888430586998"/>
    <n v="-1"/>
    <x v="899"/>
    <n v="0"/>
    <x v="0"/>
    <x v="0"/>
    <n v="0"/>
    <n v="0"/>
    <n v="0"/>
    <x v="0"/>
    <x v="1"/>
    <s v="Normal"/>
    <s v="Allowed"/>
    <m/>
    <m/>
    <m/>
  </r>
  <r>
    <x v="2"/>
    <x v="5"/>
    <x v="9"/>
    <x v="6"/>
    <n v="0.70209999999999995"/>
    <n v="0"/>
    <s v="UP"/>
    <n v="0.65"/>
    <n v="-3.464870067372474E-2"/>
    <n v="1.2057533289701232E-2"/>
    <n v="0.17981498891186962"/>
    <n v="-0.2597460547981208"/>
    <n v="0"/>
    <x v="900"/>
    <n v="0"/>
    <x v="0"/>
    <x v="0"/>
    <n v="0"/>
    <n v="0"/>
    <n v="0"/>
    <x v="1"/>
    <x v="1"/>
    <s v="Normal"/>
    <s v="Allowed"/>
    <m/>
    <m/>
    <m/>
  </r>
  <r>
    <x v="2"/>
    <x v="5"/>
    <x v="9"/>
    <x v="7"/>
    <n v="0.77780000000000005"/>
    <n v="0"/>
    <s v="UP"/>
    <n v="0.65"/>
    <n v="0.1078193989460192"/>
    <n v="1.2057533289701232E-2"/>
    <n v="0.17981498891186962"/>
    <n v="0.53255774858264171"/>
    <n v="-1"/>
    <x v="901"/>
    <n v="0"/>
    <x v="0"/>
    <x v="0"/>
    <n v="0"/>
    <n v="0"/>
    <n v="0"/>
    <x v="0"/>
    <x v="1"/>
    <s v="Normal"/>
    <s v="Allowed"/>
    <m/>
    <m/>
    <m/>
  </r>
  <r>
    <x v="2"/>
    <x v="5"/>
    <x v="9"/>
    <x v="8"/>
    <n v="0.58950000000000002"/>
    <n v="0"/>
    <s v="UP"/>
    <n v="0.65"/>
    <n v="-0.2420930830547699"/>
    <n v="1.2057533289701232E-2"/>
    <n v="0.17981498891186962"/>
    <n v="-1.4134006173925504"/>
    <n v="1"/>
    <x v="902"/>
    <n v="0"/>
    <x v="0"/>
    <x v="1"/>
    <n v="0"/>
    <n v="1"/>
    <n v="1"/>
    <x v="1"/>
    <x v="0"/>
    <s v="Abnormal"/>
    <s v="Allowed"/>
    <m/>
    <m/>
    <m/>
  </r>
  <r>
    <x v="2"/>
    <x v="5"/>
    <x v="9"/>
    <x v="9"/>
    <n v="0.68889999999999996"/>
    <n v="0"/>
    <s v="UP"/>
    <n v="0.65"/>
    <n v="0.1686174724342662"/>
    <n v="1.2057533289701232E-2"/>
    <n v="0.17981498891186962"/>
    <n v="0.87067235102017904"/>
    <n v="-1"/>
    <x v="903"/>
    <n v="0"/>
    <x v="0"/>
    <x v="0"/>
    <n v="0"/>
    <n v="0"/>
    <n v="0"/>
    <x v="0"/>
    <x v="1"/>
    <s v="Normal"/>
    <s v="Allowed"/>
    <m/>
    <m/>
    <m/>
  </r>
  <r>
    <x v="2"/>
    <x v="5"/>
    <x v="9"/>
    <x v="10"/>
    <n v="0.66959999999999997"/>
    <n v="0"/>
    <s v="UP"/>
    <n v="0.65"/>
    <n v="-2.8015677166497291E-2"/>
    <n v="1.2057533289701232E-2"/>
    <n v="0.17981498891186962"/>
    <n v="-0.22285800921656806"/>
    <n v="0"/>
    <x v="904"/>
    <n v="0"/>
    <x v="0"/>
    <x v="0"/>
    <n v="0"/>
    <n v="0"/>
    <n v="0"/>
    <x v="1"/>
    <x v="1"/>
    <s v="Normal"/>
    <s v="Allowed"/>
    <m/>
    <m/>
    <m/>
  </r>
  <r>
    <x v="2"/>
    <x v="5"/>
    <x v="9"/>
    <x v="11"/>
    <n v="0.83799999999999997"/>
    <n v="0"/>
    <s v="UP"/>
    <n v="0.65"/>
    <n v="0.25149342891278381"/>
    <n v="1.2057533289701232E-2"/>
    <n v="0.17981498891186962"/>
    <n v="1.331568058213624"/>
    <n v="-1"/>
    <x v="905"/>
    <n v="0"/>
    <x v="0"/>
    <x v="0"/>
    <n v="0"/>
    <n v="0"/>
    <n v="0"/>
    <x v="0"/>
    <x v="1"/>
    <s v="Normal"/>
    <s v="Allowed"/>
    <m/>
    <m/>
    <m/>
  </r>
  <r>
    <x v="2"/>
    <x v="5"/>
    <x v="9"/>
    <x v="12"/>
    <n v="0.83799999999999997"/>
    <n v="0"/>
    <s v="UP"/>
    <n v="0.65"/>
    <n v="0"/>
    <n v="1.2057533289701232E-2"/>
    <n v="0.17981498891186962"/>
    <n v="-6.7055218047539042E-2"/>
    <n v="0"/>
    <x v="905"/>
    <n v="0"/>
    <x v="0"/>
    <x v="0"/>
    <n v="0"/>
    <n v="0"/>
    <n v="0"/>
    <x v="1"/>
    <x v="1"/>
    <s v="Normal"/>
    <s v="Allowed"/>
    <m/>
    <m/>
    <m/>
  </r>
  <r>
    <x v="2"/>
    <x v="5"/>
    <x v="9"/>
    <x v="13"/>
    <n v="0.75800000000000001"/>
    <n v="0"/>
    <s v="UP"/>
    <n v="0.65"/>
    <n v="-9.5465393794749359E-2"/>
    <n v="1.2057533289701232E-2"/>
    <n v="0.17981498891186962"/>
    <n v="-0.59796420607154954"/>
    <n v="1"/>
    <x v="906"/>
    <n v="0"/>
    <x v="0"/>
    <x v="0"/>
    <n v="0"/>
    <n v="0"/>
    <n v="0"/>
    <x v="1"/>
    <x v="1"/>
    <s v="Abnormal"/>
    <s v="Allowed"/>
    <m/>
    <m/>
    <m/>
  </r>
  <r>
    <x v="2"/>
    <x v="5"/>
    <x v="9"/>
    <x v="14"/>
    <n v="0.77300000000000002"/>
    <n v="0"/>
    <s v="UP"/>
    <n v="0.65"/>
    <n v="1.9788918205804772E-2"/>
    <n v="1.2057533289701232E-2"/>
    <n v="0.17981498891186962"/>
    <n v="4.2996331745696809E-2"/>
    <n v="0"/>
    <x v="907"/>
    <n v="0"/>
    <x v="0"/>
    <x v="0"/>
    <n v="0"/>
    <n v="0"/>
    <n v="0"/>
    <x v="0"/>
    <x v="1"/>
    <s v="Normal"/>
    <s v="Allowed"/>
    <m/>
    <m/>
    <m/>
  </r>
  <r>
    <x v="2"/>
    <x v="5"/>
    <x v="9"/>
    <x v="15"/>
    <n v="0.80200000000000005"/>
    <n v="0"/>
    <s v="UP"/>
    <n v="0.65"/>
    <n v="3.7516170763260061E-2"/>
    <n v="1.2057533289701232E-2"/>
    <n v="0.17981498891186962"/>
    <n v="0.14158239881791246"/>
    <n v="0"/>
    <x v="908"/>
    <n v="0"/>
    <x v="0"/>
    <x v="0"/>
    <n v="0"/>
    <n v="0"/>
    <n v="0"/>
    <x v="0"/>
    <x v="1"/>
    <s v="Normal"/>
    <s v="Allowed"/>
    <m/>
    <m/>
    <m/>
  </r>
  <r>
    <x v="2"/>
    <x v="5"/>
    <x v="10"/>
    <x v="0"/>
    <n v="0.89319999999999999"/>
    <n v="0"/>
    <s v="UP"/>
    <n v="0.85"/>
    <n v="7.4978938500421255E-2"/>
    <n v="1.8209321594669165E-2"/>
    <n v="0.22834931756330515"/>
    <n v="0.24860865585908259"/>
    <n v="0"/>
    <x v="909"/>
    <n v="0"/>
    <x v="0"/>
    <x v="0"/>
    <n v="0"/>
    <n v="0"/>
    <n v="0"/>
    <x v="0"/>
    <x v="1"/>
    <s v="Normal"/>
    <s v="Allowed"/>
    <m/>
    <m/>
    <m/>
  </r>
  <r>
    <x v="2"/>
    <x v="5"/>
    <x v="10"/>
    <x v="1"/>
    <n v="0.84619999999999995"/>
    <n v="0"/>
    <s v="UP"/>
    <n v="0.85"/>
    <n v="-5.2619793999104388E-2"/>
    <n v="1.8209321594669165E-2"/>
    <n v="0.22834931756330515"/>
    <n v="-0.31017879251659092"/>
    <n v="0"/>
    <x v="910"/>
    <n v="0"/>
    <x v="0"/>
    <x v="0"/>
    <n v="0"/>
    <n v="0"/>
    <n v="0"/>
    <x v="1"/>
    <x v="1"/>
    <s v="Normal"/>
    <s v="Allowed"/>
    <m/>
    <m/>
    <m/>
  </r>
  <r>
    <x v="2"/>
    <x v="5"/>
    <x v="10"/>
    <x v="2"/>
    <n v="0.86739999999999995"/>
    <n v="0"/>
    <s v="UP"/>
    <n v="0.85"/>
    <n v="2.5053178917513588E-2"/>
    <n v="1.8209321594669165E-2"/>
    <n v="0.22834931756330515"/>
    <n v="2.9970999676612146E-2"/>
    <n v="0"/>
    <x v="496"/>
    <n v="0"/>
    <x v="0"/>
    <x v="0"/>
    <n v="0"/>
    <n v="0"/>
    <n v="0"/>
    <x v="0"/>
    <x v="1"/>
    <s v="Normal"/>
    <s v="Allowed"/>
    <m/>
    <m/>
    <m/>
  </r>
  <r>
    <x v="2"/>
    <x v="5"/>
    <x v="10"/>
    <x v="3"/>
    <n v="0.91180000000000005"/>
    <n v="0"/>
    <s v="UP"/>
    <n v="0.85"/>
    <n v="5.1187456767350828E-2"/>
    <n v="1.8209321594669165E-2"/>
    <n v="0.22834931756330515"/>
    <n v="0.14441967913277937"/>
    <n v="0"/>
    <x v="154"/>
    <n v="0"/>
    <x v="0"/>
    <x v="0"/>
    <n v="0"/>
    <n v="0"/>
    <n v="0"/>
    <x v="0"/>
    <x v="1"/>
    <s v="Normal"/>
    <s v="Allowed"/>
    <m/>
    <m/>
    <m/>
  </r>
  <r>
    <x v="2"/>
    <x v="5"/>
    <x v="10"/>
    <x v="4"/>
    <n v="0.85529999999999995"/>
    <n v="0"/>
    <s v="UP"/>
    <n v="0.85"/>
    <n v="-6.1965343277034547E-2"/>
    <n v="1.8209321594669165E-2"/>
    <n v="0.22834931756330515"/>
    <n v="-0.35110534039357022"/>
    <n v="0"/>
    <x v="911"/>
    <n v="0"/>
    <x v="0"/>
    <x v="0"/>
    <n v="0"/>
    <n v="0"/>
    <n v="0"/>
    <x v="1"/>
    <x v="1"/>
    <s v="Normal"/>
    <s v="Allowed"/>
    <m/>
    <m/>
    <m/>
  </r>
  <r>
    <x v="2"/>
    <x v="5"/>
    <x v="10"/>
    <x v="5"/>
    <n v="0.9"/>
    <n v="0"/>
    <s v="UP"/>
    <n v="0.85"/>
    <n v="5.2262364082778061E-2"/>
    <n v="1.8209321594669165E-2"/>
    <n v="0.22834931756330515"/>
    <n v="0.14912697288297516"/>
    <n v="0"/>
    <x v="759"/>
    <n v="0"/>
    <x v="0"/>
    <x v="0"/>
    <n v="0"/>
    <n v="0"/>
    <n v="0"/>
    <x v="0"/>
    <x v="1"/>
    <s v="Normal"/>
    <s v="Allowed"/>
    <m/>
    <m/>
    <m/>
  </r>
  <r>
    <x v="2"/>
    <x v="5"/>
    <x v="10"/>
    <x v="6"/>
    <n v="0.82289999999999996"/>
    <n v="0"/>
    <s v="UP"/>
    <n v="0.85"/>
    <n v="-8.5666666666666724E-2"/>
    <n v="1.8209321594669165E-2"/>
    <n v="0.22834931756330515"/>
    <n v="-0.45489949070041957"/>
    <n v="0"/>
    <x v="912"/>
    <n v="0"/>
    <x v="0"/>
    <x v="0"/>
    <n v="0"/>
    <n v="0"/>
    <n v="0"/>
    <x v="1"/>
    <x v="0"/>
    <s v="Normal"/>
    <s v="Allowed"/>
    <m/>
    <m/>
    <m/>
  </r>
  <r>
    <x v="2"/>
    <x v="5"/>
    <x v="10"/>
    <x v="7"/>
    <n v="0.86919999999999997"/>
    <n v="0"/>
    <s v="UP"/>
    <n v="0.85"/>
    <n v="5.6264430672013623E-2"/>
    <n v="1.8209321594669165E-2"/>
    <n v="0.22834931756330515"/>
    <n v="0.16665304492006838"/>
    <n v="0"/>
    <x v="913"/>
    <n v="0"/>
    <x v="0"/>
    <x v="0"/>
    <n v="0"/>
    <n v="0"/>
    <n v="0"/>
    <x v="0"/>
    <x v="1"/>
    <s v="Normal"/>
    <s v="Allowed"/>
    <m/>
    <m/>
    <m/>
  </r>
  <r>
    <x v="2"/>
    <x v="5"/>
    <x v="10"/>
    <x v="8"/>
    <n v="0.77529999999999999"/>
    <n v="0"/>
    <s v="UP"/>
    <n v="0.85"/>
    <n v="-0.1080303727565577"/>
    <n v="1.8209321594669165E-2"/>
    <n v="0.22834931756330515"/>
    <n v="-0.55283587311895299"/>
    <n v="1"/>
    <x v="914"/>
    <n v="0"/>
    <x v="0"/>
    <x v="1"/>
    <n v="0"/>
    <n v="1"/>
    <n v="1"/>
    <x v="1"/>
    <x v="0"/>
    <s v="Abnormal"/>
    <s v="Allowed"/>
    <m/>
    <m/>
    <m/>
  </r>
  <r>
    <x v="2"/>
    <x v="5"/>
    <x v="10"/>
    <x v="9"/>
    <n v="0.87239999999999995"/>
    <n v="0"/>
    <s v="UP"/>
    <n v="0.85"/>
    <n v="0.1252418418676641"/>
    <n v="1.8209321594669165E-2"/>
    <n v="0.22834931756330515"/>
    <n v="0.46872275080621767"/>
    <n v="0"/>
    <x v="915"/>
    <n v="0"/>
    <x v="0"/>
    <x v="0"/>
    <n v="0"/>
    <n v="0"/>
    <n v="0"/>
    <x v="0"/>
    <x v="1"/>
    <s v="Normal"/>
    <s v="Allowed"/>
    <m/>
    <m/>
    <m/>
  </r>
  <r>
    <x v="2"/>
    <x v="5"/>
    <x v="10"/>
    <x v="10"/>
    <n v="0.80169999999999997"/>
    <n v="0"/>
    <s v="UP"/>
    <n v="0.85"/>
    <n v="-8.1040806969280135E-2"/>
    <n v="1.8209321594669165E-2"/>
    <n v="0.22834931756330515"/>
    <n v="-0.43464166927687115"/>
    <n v="0"/>
    <x v="916"/>
    <n v="0"/>
    <x v="0"/>
    <x v="0"/>
    <n v="0"/>
    <n v="0"/>
    <n v="0"/>
    <x v="1"/>
    <x v="0"/>
    <s v="Normal"/>
    <s v="Allowed"/>
    <m/>
    <m/>
    <m/>
  </r>
  <r>
    <x v="2"/>
    <x v="5"/>
    <x v="10"/>
    <x v="11"/>
    <n v="0.90500000000000003"/>
    <n v="0"/>
    <s v="UP"/>
    <n v="0.85"/>
    <n v="0.1288511912186604"/>
    <n v="1.8209321594669165E-2"/>
    <n v="0.22834931756330515"/>
    <n v="0.48452901372616564"/>
    <n v="0"/>
    <x v="917"/>
    <n v="0"/>
    <x v="0"/>
    <x v="0"/>
    <n v="0"/>
    <n v="0"/>
    <n v="0"/>
    <x v="0"/>
    <x v="1"/>
    <s v="Normal"/>
    <s v="Allowed"/>
    <m/>
    <m/>
    <m/>
  </r>
  <r>
    <x v="2"/>
    <x v="5"/>
    <x v="10"/>
    <x v="12"/>
    <n v="0.94"/>
    <n v="0"/>
    <s v="UP"/>
    <n v="0.85"/>
    <n v="3.8674033149171179E-2"/>
    <n v="1.8209321594669165E-2"/>
    <n v="0.22834931756330515"/>
    <n v="8.9620200195380889E-2"/>
    <n v="0"/>
    <x v="918"/>
    <n v="0"/>
    <x v="0"/>
    <x v="0"/>
    <n v="0"/>
    <n v="0"/>
    <n v="0"/>
    <x v="0"/>
    <x v="1"/>
    <s v="Normal"/>
    <s v="Allowed"/>
    <m/>
    <m/>
    <m/>
  </r>
  <r>
    <x v="2"/>
    <x v="5"/>
    <x v="10"/>
    <x v="13"/>
    <n v="0.86699999999999999"/>
    <n v="0"/>
    <s v="UP"/>
    <n v="0.85"/>
    <n v="-7.7659574468085066E-2"/>
    <n v="1.8209321594669165E-2"/>
    <n v="0.22834931756330515"/>
    <n v="-0.41983438832120246"/>
    <n v="0"/>
    <x v="919"/>
    <n v="0"/>
    <x v="0"/>
    <x v="0"/>
    <n v="0"/>
    <n v="0"/>
    <n v="0"/>
    <x v="1"/>
    <x v="1"/>
    <s v="Normal"/>
    <s v="Allowed"/>
    <m/>
    <m/>
    <m/>
  </r>
  <r>
    <x v="2"/>
    <x v="5"/>
    <x v="10"/>
    <x v="14"/>
    <n v="0.86099999999999999"/>
    <n v="0"/>
    <s v="UP"/>
    <n v="0.85"/>
    <n v="-6.9204152249135011E-3"/>
    <n v="1.8209321594669165E-2"/>
    <n v="0.22834931756330515"/>
    <n v="-0.11004953764583054"/>
    <n v="0"/>
    <x v="920"/>
    <n v="0"/>
    <x v="0"/>
    <x v="0"/>
    <n v="0"/>
    <n v="0"/>
    <n v="0"/>
    <x v="1"/>
    <x v="1"/>
    <s v="Normal"/>
    <s v="Allowed"/>
    <m/>
    <m/>
    <m/>
  </r>
  <r>
    <x v="2"/>
    <x v="5"/>
    <x v="10"/>
    <x v="15"/>
    <n v="0.86499999999999999"/>
    <n v="0"/>
    <s v="UP"/>
    <n v="0.85"/>
    <n v="4.6457607433217233E-3"/>
    <n v="1.8209321594669165E-2"/>
    <n v="0.22834931756330515"/>
    <n v="-5.939829816915141E-2"/>
    <n v="0"/>
    <x v="921"/>
    <n v="0"/>
    <x v="0"/>
    <x v="0"/>
    <n v="0"/>
    <n v="0"/>
    <n v="0"/>
    <x v="1"/>
    <x v="1"/>
    <s v="Normal"/>
    <s v="Allowed"/>
    <m/>
    <m/>
    <m/>
  </r>
  <r>
    <x v="2"/>
    <x v="5"/>
    <x v="11"/>
    <x v="0"/>
    <n v="0.72"/>
    <n v="0"/>
    <s v="UP"/>
    <n v="0.7"/>
    <n v="6.4931223191835433E-2"/>
    <n v="1.9288787744816144E-2"/>
    <n v="0.27585788879837708"/>
    <n v="0.16545633567281842"/>
    <n v="0"/>
    <x v="922"/>
    <n v="0"/>
    <x v="0"/>
    <x v="0"/>
    <n v="0"/>
    <n v="0"/>
    <n v="0"/>
    <x v="0"/>
    <x v="1"/>
    <s v="Normal"/>
    <s v="Allowed"/>
    <m/>
    <m/>
    <m/>
  </r>
  <r>
    <x v="2"/>
    <x v="5"/>
    <x v="11"/>
    <x v="1"/>
    <n v="0.7157"/>
    <n v="0"/>
    <s v="UP"/>
    <n v="0.7"/>
    <n v="-5.9722222222221817E-3"/>
    <n v="1.9288787744816144E-2"/>
    <n v="0.27585788879837708"/>
    <n v="-9.1572548739040957E-2"/>
    <n v="0"/>
    <x v="923"/>
    <n v="0"/>
    <x v="0"/>
    <x v="0"/>
    <n v="0"/>
    <n v="0"/>
    <n v="0"/>
    <x v="1"/>
    <x v="1"/>
    <s v="Normal"/>
    <s v="Allowed"/>
    <m/>
    <m/>
    <m/>
  </r>
  <r>
    <x v="2"/>
    <x v="5"/>
    <x v="11"/>
    <x v="2"/>
    <n v="0.63749999999999996"/>
    <n v="0"/>
    <s v="UP"/>
    <n v="0.7"/>
    <n v="-0.1092636579572447"/>
    <n v="1.9288787744816144E-2"/>
    <n v="0.27585788879837708"/>
    <n v="-0.46600967716395114"/>
    <n v="0"/>
    <x v="924"/>
    <n v="0"/>
    <x v="0"/>
    <x v="0"/>
    <n v="0"/>
    <n v="0"/>
    <n v="0"/>
    <x v="1"/>
    <x v="0"/>
    <s v="Normal"/>
    <s v="Allowed"/>
    <m/>
    <m/>
    <m/>
  </r>
  <r>
    <x v="2"/>
    <x v="5"/>
    <x v="11"/>
    <x v="3"/>
    <n v="0.61460000000000004"/>
    <n v="0"/>
    <s v="UP"/>
    <n v="0.7"/>
    <n v="-3.5921568627450863E-2"/>
    <n v="1.9288787744816144E-2"/>
    <n v="0.27585788879837708"/>
    <n v="-0.20014057460078635"/>
    <n v="0"/>
    <x v="925"/>
    <n v="0"/>
    <x v="0"/>
    <x v="0"/>
    <n v="0"/>
    <n v="0"/>
    <n v="0"/>
    <x v="1"/>
    <x v="0"/>
    <s v="Normal"/>
    <s v="Allowed"/>
    <m/>
    <m/>
    <m/>
  </r>
  <r>
    <x v="2"/>
    <x v="5"/>
    <x v="11"/>
    <x v="4"/>
    <n v="0.66200000000000003"/>
    <n v="0"/>
    <s v="UP"/>
    <n v="0.7"/>
    <n v="7.7123332248616977E-2"/>
    <n v="1.9288787744816144E-2"/>
    <n v="0.27585788879837708"/>
    <n v="0.20965340072645799"/>
    <n v="0"/>
    <x v="926"/>
    <n v="0"/>
    <x v="0"/>
    <x v="0"/>
    <n v="0"/>
    <n v="0"/>
    <n v="0"/>
    <x v="0"/>
    <x v="0"/>
    <s v="Normal"/>
    <s v="Allowed"/>
    <m/>
    <m/>
    <m/>
  </r>
  <r>
    <x v="2"/>
    <x v="5"/>
    <x v="11"/>
    <x v="5"/>
    <n v="0.70369999999999999"/>
    <n v="0"/>
    <s v="UP"/>
    <n v="0.7"/>
    <n v="6.2990936555891178E-2"/>
    <n v="1.9288787744816144E-2"/>
    <n v="0.27585788879837708"/>
    <n v="0.15842269003594339"/>
    <n v="0"/>
    <x v="927"/>
    <n v="0"/>
    <x v="0"/>
    <x v="0"/>
    <n v="0"/>
    <n v="0"/>
    <n v="0"/>
    <x v="0"/>
    <x v="1"/>
    <s v="Normal"/>
    <s v="Allowed"/>
    <m/>
    <m/>
    <m/>
  </r>
  <r>
    <x v="2"/>
    <x v="5"/>
    <x v="11"/>
    <x v="6"/>
    <n v="0.70830000000000004"/>
    <n v="0"/>
    <s v="UP"/>
    <n v="0.7"/>
    <n v="6.5368765098764367E-3"/>
    <n v="1.9288787744816144E-2"/>
    <n v="0.27585788879837708"/>
    <n v="-4.6226378699867468E-2"/>
    <n v="0"/>
    <x v="928"/>
    <n v="0"/>
    <x v="0"/>
    <x v="0"/>
    <n v="0"/>
    <n v="0"/>
    <n v="0"/>
    <x v="1"/>
    <x v="1"/>
    <s v="Normal"/>
    <s v="Allowed"/>
    <m/>
    <m/>
    <m/>
  </r>
  <r>
    <x v="2"/>
    <x v="5"/>
    <x v="11"/>
    <x v="7"/>
    <n v="0.70089999999999997"/>
    <n v="0"/>
    <s v="UP"/>
    <n v="0.7"/>
    <n v="-1.044755047296354E-2"/>
    <n v="1.9288787744816144E-2"/>
    <n v="0.27585788879837708"/>
    <n v="-0.10779585948152384"/>
    <n v="0"/>
    <x v="929"/>
    <n v="0"/>
    <x v="0"/>
    <x v="0"/>
    <n v="0"/>
    <n v="0"/>
    <n v="0"/>
    <x v="1"/>
    <x v="1"/>
    <s v="Normal"/>
    <s v="Allowed"/>
    <m/>
    <m/>
    <m/>
  </r>
  <r>
    <x v="2"/>
    <x v="5"/>
    <x v="11"/>
    <x v="8"/>
    <n v="0.69320000000000004"/>
    <n v="0"/>
    <s v="UP"/>
    <n v="0.7"/>
    <n v="-1.0985875303181521E-2"/>
    <n v="1.9288787744816144E-2"/>
    <n v="0.27585788879837708"/>
    <n v="-0.10974731656169978"/>
    <n v="0"/>
    <x v="930"/>
    <n v="0"/>
    <x v="0"/>
    <x v="0"/>
    <n v="0"/>
    <n v="0"/>
    <n v="0"/>
    <x v="1"/>
    <x v="1"/>
    <s v="Normal"/>
    <s v="Allowed"/>
    <m/>
    <m/>
    <m/>
  </r>
  <r>
    <x v="2"/>
    <x v="5"/>
    <x v="11"/>
    <x v="9"/>
    <n v="0.70650000000000002"/>
    <n v="0"/>
    <s v="UP"/>
    <n v="0.7"/>
    <n v="1.9186381996537761E-2"/>
    <n v="1.9288787744816144E-2"/>
    <n v="0.27585788879837708"/>
    <n v="-3.7122646274303692E-4"/>
    <n v="0"/>
    <x v="931"/>
    <n v="0"/>
    <x v="0"/>
    <x v="0"/>
    <n v="0"/>
    <n v="0"/>
    <n v="0"/>
    <x v="0"/>
    <x v="1"/>
    <s v="Normal"/>
    <s v="Allowed"/>
    <m/>
    <m/>
    <m/>
  </r>
  <r>
    <x v="2"/>
    <x v="5"/>
    <x v="11"/>
    <x v="10"/>
    <n v="0.67259999999999998"/>
    <n v="0"/>
    <s v="UP"/>
    <n v="0.7"/>
    <n v="-4.7983014861995812E-2"/>
    <n v="1.9288787744816144E-2"/>
    <n v="0.27585788879837708"/>
    <n v="-0.24386397974639951"/>
    <n v="0"/>
    <x v="932"/>
    <n v="0"/>
    <x v="0"/>
    <x v="0"/>
    <n v="0"/>
    <n v="0"/>
    <n v="0"/>
    <x v="1"/>
    <x v="0"/>
    <s v="Normal"/>
    <s v="Allowed"/>
    <m/>
    <m/>
    <m/>
  </r>
  <r>
    <x v="2"/>
    <x v="5"/>
    <x v="11"/>
    <x v="11"/>
    <n v="0.79100000000000004"/>
    <n v="0"/>
    <s v="UP"/>
    <n v="0.7"/>
    <n v="0.17603330359797811"/>
    <n v="1.9288787744816144E-2"/>
    <n v="0.27585788879837708"/>
    <n v="0.56820748007582123"/>
    <n v="-1"/>
    <x v="933"/>
    <n v="0"/>
    <x v="0"/>
    <x v="0"/>
    <n v="0"/>
    <n v="0"/>
    <n v="0"/>
    <x v="0"/>
    <x v="1"/>
    <s v="Normal"/>
    <s v="Allowed"/>
    <m/>
    <m/>
    <m/>
  </r>
  <r>
    <x v="2"/>
    <x v="5"/>
    <x v="11"/>
    <x v="12"/>
    <n v="0.76700000000000002"/>
    <n v="0"/>
    <s v="UP"/>
    <n v="0.7"/>
    <n v="-3.034134007585338E-2"/>
    <n v="1.9288787744816144E-2"/>
    <n v="0.27585788879837708"/>
    <n v="-0.17991193957459706"/>
    <n v="0"/>
    <x v="934"/>
    <n v="0"/>
    <x v="0"/>
    <x v="0"/>
    <n v="0"/>
    <n v="0"/>
    <n v="0"/>
    <x v="1"/>
    <x v="1"/>
    <s v="Normal"/>
    <s v="Allowed"/>
    <m/>
    <m/>
    <m/>
  </r>
  <r>
    <x v="2"/>
    <x v="5"/>
    <x v="11"/>
    <x v="13"/>
    <n v="0.629"/>
    <n v="0"/>
    <s v="UP"/>
    <n v="0.7"/>
    <n v="-0.17992177314211211"/>
    <n v="1.9288787744816144E-2"/>
    <n v="0.27585788879837708"/>
    <n v="-0.72214922601880016"/>
    <n v="1"/>
    <x v="935"/>
    <n v="0"/>
    <x v="0"/>
    <x v="1"/>
    <n v="0"/>
    <n v="1"/>
    <n v="1"/>
    <x v="1"/>
    <x v="0"/>
    <s v="Abnormal"/>
    <s v="Allowed"/>
    <m/>
    <m/>
    <m/>
  </r>
  <r>
    <x v="2"/>
    <x v="5"/>
    <x v="11"/>
    <x v="14"/>
    <n v="0.63500000000000001"/>
    <n v="0"/>
    <s v="UP"/>
    <n v="0.7"/>
    <n v="9.5389507154213116E-3"/>
    <n v="1.9288787744816144E-2"/>
    <n v="0.27585788879837708"/>
    <n v="-3.5343694798305847E-2"/>
    <n v="0"/>
    <x v="936"/>
    <n v="0"/>
    <x v="0"/>
    <x v="0"/>
    <n v="0"/>
    <n v="0"/>
    <n v="0"/>
    <x v="1"/>
    <x v="0"/>
    <s v="Normal"/>
    <s v="Allowed"/>
    <m/>
    <m/>
    <m/>
  </r>
  <r>
    <x v="2"/>
    <x v="5"/>
    <x v="11"/>
    <x v="15"/>
    <n v="0.73299999999999998"/>
    <n v="0"/>
    <s v="UP"/>
    <n v="0.7"/>
    <n v="0.15433070866141729"/>
    <n v="1.9288787744816144E-2"/>
    <n v="0.27585788879837708"/>
    <n v="0.48953438128899218"/>
    <n v="0"/>
    <x v="937"/>
    <n v="0"/>
    <x v="0"/>
    <x v="0"/>
    <n v="0"/>
    <n v="0"/>
    <n v="0"/>
    <x v="0"/>
    <x v="1"/>
    <s v="Normal"/>
    <s v="Allowed"/>
    <m/>
    <m/>
    <m/>
  </r>
  <r>
    <x v="0"/>
    <x v="6"/>
    <x v="0"/>
    <x v="0"/>
    <n v="0.32035410470986919"/>
    <n v="0"/>
    <s v="DOWN"/>
    <n v="0.27"/>
    <n v="1.3492893699426359E-2"/>
    <n v="1.2504550363164104E-2"/>
    <n v="5.3924507863027986E-2"/>
    <n v="1.8328277353457097E-2"/>
    <n v="0"/>
    <x v="938"/>
    <n v="0"/>
    <x v="0"/>
    <x v="0"/>
    <n v="0"/>
    <n v="0"/>
    <n v="0"/>
    <x v="0"/>
    <x v="0"/>
    <s v="Normal"/>
    <s v="Allowed"/>
    <m/>
    <m/>
    <m/>
  </r>
  <r>
    <x v="0"/>
    <x v="6"/>
    <x v="0"/>
    <x v="1"/>
    <n v="0.31469529179971473"/>
    <n v="0"/>
    <s v="DOWN"/>
    <n v="0.27"/>
    <n v="1.7664243494802119E-2"/>
    <n v="1.2504550363164104E-2"/>
    <n v="5.3924507863027986E-2"/>
    <n v="9.5683638777826124E-2"/>
    <n v="0"/>
    <x v="939"/>
    <n v="0"/>
    <x v="0"/>
    <x v="0"/>
    <n v="0"/>
    <n v="0"/>
    <n v="0"/>
    <x v="0"/>
    <x v="0"/>
    <s v="Normal"/>
    <s v="Allowed"/>
    <m/>
    <m/>
    <m/>
  </r>
  <r>
    <x v="0"/>
    <x v="6"/>
    <x v="0"/>
    <x v="2"/>
    <n v="0.31744326574459508"/>
    <n v="1"/>
    <s v="DOWN"/>
    <n v="0.27"/>
    <n v="-8.7321736819287437E-3"/>
    <n v="1.2504550363164104E-2"/>
    <n v="5.3924507863027986E-2"/>
    <n v="-0.39382323338092595"/>
    <n v="0"/>
    <x v="940"/>
    <n v="0"/>
    <x v="0"/>
    <x v="0"/>
    <n v="0"/>
    <n v="0"/>
    <n v="0"/>
    <x v="1"/>
    <x v="0"/>
    <s v="Normal"/>
    <s v="Allowed"/>
    <m/>
    <m/>
    <m/>
  </r>
  <r>
    <x v="0"/>
    <x v="6"/>
    <x v="0"/>
    <x v="3"/>
    <n v="0.31360553299999999"/>
    <n v="0"/>
    <s v="DOWN"/>
    <n v="0.27"/>
    <n v="1.208950750803707E-2"/>
    <n v="1.2504550363164104E-2"/>
    <n v="5.3924507863027986E-2"/>
    <n v="-7.6967388590967233E-3"/>
    <n v="0"/>
    <x v="941"/>
    <n v="1"/>
    <x v="1"/>
    <x v="0"/>
    <n v="1"/>
    <n v="0"/>
    <n v="0"/>
    <x v="0"/>
    <x v="0"/>
    <s v="Normal"/>
    <s v="Allowed"/>
    <m/>
    <m/>
    <m/>
  </r>
  <r>
    <x v="0"/>
    <x v="6"/>
    <x v="0"/>
    <x v="4"/>
    <n v="0.31303658697662129"/>
    <n v="0"/>
    <s v="DOWN"/>
    <n v="0.27"/>
    <n v="1.814209136988353E-3"/>
    <n v="1.2504550363164104E-2"/>
    <n v="5.3924507863027986E-2"/>
    <n v="-0.19824643097958286"/>
    <n v="0"/>
    <x v="942"/>
    <n v="1"/>
    <x v="0"/>
    <x v="0"/>
    <n v="0"/>
    <n v="0"/>
    <n v="0"/>
    <x v="1"/>
    <x v="0"/>
    <s v="Normal"/>
    <s v="Allowed"/>
    <m/>
    <m/>
    <m/>
  </r>
  <r>
    <x v="0"/>
    <x v="6"/>
    <x v="0"/>
    <x v="5"/>
    <n v="0.30964165511779851"/>
    <n v="0"/>
    <s v="DOWN"/>
    <n v="0.27"/>
    <n v="1.084515995913387E-2"/>
    <n v="1.2504550363164104E-2"/>
    <n v="5.3924507863027986E-2"/>
    <n v="-3.077247192028534E-2"/>
    <n v="0"/>
    <x v="943"/>
    <n v="1"/>
    <x v="0"/>
    <x v="0"/>
    <n v="0"/>
    <n v="0"/>
    <n v="0"/>
    <x v="0"/>
    <x v="0"/>
    <s v="Normal"/>
    <s v="Allowed"/>
    <m/>
    <m/>
    <m/>
  </r>
  <r>
    <x v="0"/>
    <x v="6"/>
    <x v="0"/>
    <x v="6"/>
    <n v="0.29650238473767893"/>
    <n v="0"/>
    <s v="DOWN"/>
    <n v="0.27"/>
    <n v="4.2433794558813298E-2"/>
    <n v="1.2504550363164104E-2"/>
    <n v="5.3924507863027986E-2"/>
    <n v="0.55502118390531374"/>
    <n v="-1"/>
    <x v="944"/>
    <n v="1"/>
    <x v="0"/>
    <x v="0"/>
    <n v="0"/>
    <n v="0"/>
    <n v="0"/>
    <x v="0"/>
    <x v="0"/>
    <s v="Normal"/>
    <s v="Allowed"/>
    <m/>
    <m/>
    <m/>
  </r>
  <r>
    <x v="0"/>
    <x v="6"/>
    <x v="0"/>
    <x v="7"/>
    <n v="0.29007125258040878"/>
    <n v="0"/>
    <s v="DOWN"/>
    <n v="0.27"/>
    <n v="2.1689984594760979E-2"/>
    <n v="1.2504550363164104E-2"/>
    <n v="5.3924507863027986E-2"/>
    <n v="0.17033876794811958"/>
    <n v="0"/>
    <x v="945"/>
    <n v="1"/>
    <x v="0"/>
    <x v="0"/>
    <n v="0"/>
    <n v="0"/>
    <n v="0"/>
    <x v="0"/>
    <x v="0"/>
    <s v="Normal"/>
    <s v="Allowed"/>
    <m/>
    <m/>
    <m/>
  </r>
  <r>
    <x v="0"/>
    <x v="6"/>
    <x v="0"/>
    <x v="8"/>
    <n v="0.28565664716562439"/>
    <n v="0"/>
    <s v="DOWN"/>
    <n v="0.27"/>
    <n v="1.5219037996744081E-2"/>
    <n v="1.2504550363164104E-2"/>
    <n v="5.3924507863027986E-2"/>
    <n v="5.0338663089424286E-2"/>
    <n v="0"/>
    <x v="946"/>
    <n v="1"/>
    <x v="0"/>
    <x v="0"/>
    <n v="0"/>
    <n v="0"/>
    <n v="0"/>
    <x v="0"/>
    <x v="0"/>
    <s v="Normal"/>
    <s v="Allowed"/>
    <m/>
    <m/>
    <m/>
  </r>
  <r>
    <x v="0"/>
    <x v="6"/>
    <x v="0"/>
    <x v="9"/>
    <n v="0.290302907094938"/>
    <n v="1"/>
    <s v="DOWN"/>
    <n v="0.27"/>
    <n v="-1.626519100960987E-2"/>
    <n v="1.2504550363164104E-2"/>
    <n v="5.3924507863027986E-2"/>
    <n v="-0.53351884908901026"/>
    <n v="1"/>
    <x v="947"/>
    <n v="1"/>
    <x v="0"/>
    <x v="1"/>
    <n v="0"/>
    <n v="1"/>
    <n v="1"/>
    <x v="1"/>
    <x v="0"/>
    <s v="Abnormal"/>
    <s v="Allowed"/>
    <m/>
    <m/>
    <m/>
  </r>
  <r>
    <x v="0"/>
    <x v="6"/>
    <x v="0"/>
    <x v="10"/>
    <n v="0.27922255680262797"/>
    <n v="1"/>
    <s v="DOWN"/>
    <n v="0.27"/>
    <n v="3.8168237456493712E-2"/>
    <n v="1.2504550363164104E-2"/>
    <n v="5.3924507863027986E-2"/>
    <n v="0.47591880038139917"/>
    <n v="0"/>
    <x v="948"/>
    <n v="2"/>
    <x v="1"/>
    <x v="0"/>
    <n v="1"/>
    <n v="0"/>
    <n v="0"/>
    <x v="0"/>
    <x v="0"/>
    <s v="Normal"/>
    <s v="Allowed"/>
    <m/>
    <m/>
    <m/>
  </r>
  <r>
    <x v="0"/>
    <x v="6"/>
    <x v="0"/>
    <x v="11"/>
    <n v="0.27187694865932238"/>
    <n v="0"/>
    <s v="DOWN"/>
    <n v="0.27"/>
    <n v="2.630735936028954E-2"/>
    <n v="1.2504550363164104E-2"/>
    <n v="5.3924507863027986E-2"/>
    <n v="0.25596541431932091"/>
    <n v="0"/>
    <x v="949"/>
    <n v="3"/>
    <x v="1"/>
    <x v="0"/>
    <n v="1"/>
    <n v="0"/>
    <n v="0"/>
    <x v="0"/>
    <x v="1"/>
    <s v="Normal"/>
    <s v="Allowed"/>
    <m/>
    <m/>
    <m/>
  </r>
  <r>
    <x v="0"/>
    <x v="6"/>
    <x v="0"/>
    <x v="12"/>
    <n v="0.2699196164151742"/>
    <n v="0"/>
    <s v="DOWN"/>
    <n v="0.27"/>
    <n v="7.199331365899766E-3"/>
    <n v="1.2504550363164104E-2"/>
    <n v="5.3924507863027986E-2"/>
    <n v="-9.8382334999513862E-2"/>
    <n v="0"/>
    <x v="950"/>
    <n v="3"/>
    <x v="0"/>
    <x v="0"/>
    <n v="0"/>
    <n v="0"/>
    <n v="0"/>
    <x v="1"/>
    <x v="1"/>
    <s v="Normal"/>
    <s v="Allowed"/>
    <m/>
    <m/>
    <m/>
  </r>
  <r>
    <x v="0"/>
    <x v="6"/>
    <x v="0"/>
    <x v="13"/>
    <n v="0.26729898685061437"/>
    <n v="0"/>
    <s v="DOWN"/>
    <n v="0.27"/>
    <n v="9.7089259364126143E-3"/>
    <n v="1.2504550363164104E-2"/>
    <n v="5.3924507863027986E-2"/>
    <n v="-5.1843299782217231E-2"/>
    <n v="0"/>
    <x v="951"/>
    <n v="3"/>
    <x v="0"/>
    <x v="0"/>
    <n v="0"/>
    <n v="0"/>
    <n v="0"/>
    <x v="1"/>
    <x v="1"/>
    <s v="Normal"/>
    <s v="Allowed"/>
    <m/>
    <m/>
    <m/>
  </r>
  <r>
    <x v="0"/>
    <x v="6"/>
    <x v="0"/>
    <x v="14"/>
    <n v="0.2591754834002189"/>
    <n v="0"/>
    <s v="DOWN"/>
    <n v="0.27"/>
    <n v="3.0391074601923071E-2"/>
    <n v="1.2504550363164104E-2"/>
    <n v="5.3924507863027986E-2"/>
    <n v="0.33169564169583121"/>
    <n v="0"/>
    <x v="952"/>
    <n v="3"/>
    <x v="0"/>
    <x v="0"/>
    <n v="0"/>
    <n v="0"/>
    <n v="0"/>
    <x v="0"/>
    <x v="1"/>
    <s v="Normal"/>
    <s v="Allowed"/>
    <m/>
    <m/>
    <m/>
  </r>
  <r>
    <x v="0"/>
    <x v="6"/>
    <x v="0"/>
    <x v="15"/>
    <n v="0.25331456929116358"/>
    <n v="0"/>
    <s v="DOWN"/>
    <n v="0.27"/>
    <n v="2.261369027719682E-2"/>
    <n v="1.2504550363164104E-2"/>
    <n v="5.3924507863027986E-2"/>
    <n v="0.18746837596943186"/>
    <n v="0"/>
    <x v="953"/>
    <n v="3"/>
    <x v="0"/>
    <x v="0"/>
    <n v="0"/>
    <n v="0"/>
    <n v="0"/>
    <x v="0"/>
    <x v="1"/>
    <s v="Normal"/>
    <s v="Allowed"/>
    <m/>
    <m/>
    <m/>
  </r>
  <r>
    <x v="0"/>
    <x v="6"/>
    <x v="1"/>
    <x v="0"/>
    <n v="8.2240592930444695E-2"/>
    <n v="0"/>
    <s v="DOWN"/>
    <n v="5.3999999999999999E-2"/>
    <n v="1.6357367917682952E-2"/>
    <n v="1.0109678696460058E-2"/>
    <n v="0.17556416633612926"/>
    <n v="3.5586357692499036E-2"/>
    <n v="0"/>
    <x v="954"/>
    <n v="0"/>
    <x v="0"/>
    <x v="0"/>
    <n v="0"/>
    <n v="0"/>
    <n v="0"/>
    <x v="0"/>
    <x v="0"/>
    <s v="Normal"/>
    <s v="Allowed"/>
    <m/>
    <m/>
    <m/>
  </r>
  <r>
    <x v="0"/>
    <x v="6"/>
    <x v="1"/>
    <x v="1"/>
    <n v="8.1365576102418208E-2"/>
    <n v="0"/>
    <s v="DOWN"/>
    <n v="5.3999999999999999E-2"/>
    <n v="1.0639719350838531E-2"/>
    <n v="1.0109678696460058E-2"/>
    <n v="0.17556416633612926"/>
    <n v="3.0190708356947638E-3"/>
    <n v="0"/>
    <x v="955"/>
    <n v="0"/>
    <x v="0"/>
    <x v="0"/>
    <n v="0"/>
    <n v="0"/>
    <n v="0"/>
    <x v="0"/>
    <x v="0"/>
    <s v="Normal"/>
    <s v="Allowed"/>
    <m/>
    <m/>
    <m/>
  </r>
  <r>
    <x v="0"/>
    <x v="6"/>
    <x v="1"/>
    <x v="2"/>
    <n v="7.3217442545668823E-2"/>
    <n v="0"/>
    <s v="DOWN"/>
    <n v="5.3999999999999999E-2"/>
    <n v="0.10014227081109819"/>
    <n v="1.0109678696460058E-2"/>
    <n v="0.17556416633612926"/>
    <n v="0.51281872601647405"/>
    <n v="-1"/>
    <x v="956"/>
    <n v="0"/>
    <x v="0"/>
    <x v="0"/>
    <n v="0"/>
    <n v="0"/>
    <n v="0"/>
    <x v="0"/>
    <x v="0"/>
    <s v="Normal"/>
    <s v="Allowed"/>
    <m/>
    <m/>
    <m/>
  </r>
  <r>
    <x v="0"/>
    <x v="6"/>
    <x v="1"/>
    <x v="3"/>
    <n v="7.4215874000000001E-2"/>
    <n v="0"/>
    <s v="DOWN"/>
    <n v="5.3999999999999999E-2"/>
    <n v="-1.3636524571428639E-2"/>
    <n v="1.0109678696460058E-2"/>
    <n v="0.17556416633612926"/>
    <n v="-0.13525654900684581"/>
    <n v="0"/>
    <x v="957"/>
    <n v="0"/>
    <x v="0"/>
    <x v="0"/>
    <n v="0"/>
    <n v="0"/>
    <n v="0"/>
    <x v="1"/>
    <x v="0"/>
    <s v="Normal"/>
    <s v="Allowed"/>
    <m/>
    <m/>
    <m/>
  </r>
  <r>
    <x v="0"/>
    <x v="6"/>
    <x v="1"/>
    <x v="4"/>
    <n v="7.6482677627715795E-2"/>
    <n v="1"/>
    <s v="DOWN"/>
    <n v="5.3999999999999999E-2"/>
    <n v="-3.054337981273109E-2"/>
    <n v="1.0109678696460058E-2"/>
    <n v="0.17556416633612926"/>
    <n v="-0.23155669723261274"/>
    <n v="0"/>
    <x v="958"/>
    <n v="0"/>
    <x v="0"/>
    <x v="0"/>
    <n v="0"/>
    <n v="0"/>
    <n v="0"/>
    <x v="1"/>
    <x v="0"/>
    <s v="Normal"/>
    <s v="Allowed"/>
    <m/>
    <m/>
    <m/>
  </r>
  <r>
    <x v="0"/>
    <x v="6"/>
    <x v="1"/>
    <x v="5"/>
    <n v="7.5369530220986386E-2"/>
    <n v="1"/>
    <s v="DOWN"/>
    <n v="5.3999999999999999E-2"/>
    <n v="1.455424210103788E-2"/>
    <n v="1.0109678696460058E-2"/>
    <n v="0.17556416633612926"/>
    <n v="2.5315891604374492E-2"/>
    <n v="0"/>
    <x v="959"/>
    <n v="1"/>
    <x v="1"/>
    <x v="0"/>
    <n v="1"/>
    <n v="0"/>
    <n v="0"/>
    <x v="0"/>
    <x v="0"/>
    <s v="Normal"/>
    <s v="Allowed"/>
    <m/>
    <m/>
    <m/>
  </r>
  <r>
    <x v="0"/>
    <x v="6"/>
    <x v="1"/>
    <x v="6"/>
    <n v="7.9418181818181818E-2"/>
    <n v="1"/>
    <s v="DOWN"/>
    <n v="5.3999999999999999E-2"/>
    <n v="-5.3717352162400762E-2"/>
    <n v="1.0109678696460058E-2"/>
    <n v="0.17556416633612926"/>
    <n v="-0.36355386290309227"/>
    <n v="0"/>
    <x v="960"/>
    <n v="2"/>
    <x v="2"/>
    <x v="0"/>
    <n v="1"/>
    <n v="0"/>
    <n v="0"/>
    <x v="1"/>
    <x v="0"/>
    <s v="Normal"/>
    <s v="Allowed"/>
    <m/>
    <m/>
    <m/>
  </r>
  <r>
    <x v="0"/>
    <x v="6"/>
    <x v="1"/>
    <x v="7"/>
    <n v="7.9838009835117157E-2"/>
    <n v="1"/>
    <s v="DOWN"/>
    <n v="5.3999999999999999E-2"/>
    <n v="-5.2862960007883817E-3"/>
    <n v="1.0109678696460058E-2"/>
    <n v="0.17556416633612926"/>
    <n v="-8.7694288752363181E-2"/>
    <n v="0"/>
    <x v="961"/>
    <n v="3"/>
    <x v="2"/>
    <x v="0"/>
    <n v="1"/>
    <n v="0"/>
    <n v="0"/>
    <x v="1"/>
    <x v="0"/>
    <s v="Normal"/>
    <s v="Allowed"/>
    <m/>
    <m/>
    <m/>
  </r>
  <r>
    <x v="0"/>
    <x v="6"/>
    <x v="1"/>
    <x v="8"/>
    <n v="7.0814512603817575E-2"/>
    <n v="1"/>
    <s v="DOWN"/>
    <n v="5.3999999999999999E-2"/>
    <n v="0.11302257220508211"/>
    <n v="1.0109678696460058E-2"/>
    <n v="0.17556416633612926"/>
    <n v="0.58618393295354176"/>
    <n v="-1"/>
    <x v="962"/>
    <n v="4"/>
    <x v="1"/>
    <x v="0"/>
    <n v="1"/>
    <n v="0"/>
    <n v="0"/>
    <x v="0"/>
    <x v="0"/>
    <s v="Normal"/>
    <s v="Allowed"/>
    <m/>
    <m/>
    <m/>
  </r>
  <r>
    <x v="0"/>
    <x v="6"/>
    <x v="1"/>
    <x v="9"/>
    <n v="6.2490831744168987E-2"/>
    <n v="1"/>
    <s v="DOWN"/>
    <n v="5.3999999999999999E-2"/>
    <n v="0.1175420200406754"/>
    <n v="1.0109678696460058E-2"/>
    <n v="0.17556416633612926"/>
    <n v="0.61192636052239158"/>
    <n v="-1"/>
    <x v="963"/>
    <n v="5"/>
    <x v="1"/>
    <x v="0"/>
    <n v="1"/>
    <n v="0"/>
    <n v="0"/>
    <x v="0"/>
    <x v="0"/>
    <s v="Normal"/>
    <s v="Maxed Out"/>
    <m/>
    <m/>
    <m/>
  </r>
  <r>
    <x v="0"/>
    <x v="6"/>
    <x v="1"/>
    <x v="10"/>
    <n v="5.0198733990872962E-2"/>
    <n v="0"/>
    <s v="DOWN"/>
    <n v="5.3999999999999999E-2"/>
    <n v="0.1967024187422981"/>
    <n v="1.0109678696460058E-2"/>
    <n v="0.17556416633612926"/>
    <n v="1.0628179083457945"/>
    <n v="-1"/>
    <x v="964"/>
    <n v="6"/>
    <x v="1"/>
    <x v="0"/>
    <n v="1"/>
    <n v="0"/>
    <n v="0"/>
    <x v="0"/>
    <x v="1"/>
    <s v="Normal"/>
    <s v="Maxed Out"/>
    <m/>
    <m/>
    <m/>
  </r>
  <r>
    <x v="0"/>
    <x v="6"/>
    <x v="1"/>
    <x v="11"/>
    <n v="4.7555752473785261E-2"/>
    <n v="0"/>
    <s v="DOWN"/>
    <n v="5.3999999999999999E-2"/>
    <n v="5.2650362010489019E-2"/>
    <n v="1.0109678696460058E-2"/>
    <n v="0.17556416633612926"/>
    <n v="0.24230846306405143"/>
    <n v="0"/>
    <x v="965"/>
    <n v="6"/>
    <x v="0"/>
    <x v="0"/>
    <n v="0"/>
    <n v="0"/>
    <n v="0"/>
    <x v="0"/>
    <x v="1"/>
    <s v="Normal"/>
    <s v="Maxed Out"/>
    <m/>
    <m/>
    <m/>
  </r>
  <r>
    <x v="0"/>
    <x v="6"/>
    <x v="1"/>
    <x v="12"/>
    <n v="4.7844063792085063E-2"/>
    <n v="0"/>
    <s v="DOWN"/>
    <n v="5.3999999999999999E-2"/>
    <n v="-6.0625960751800106E-3"/>
    <n v="1.0109678696460058E-2"/>
    <n v="0.17556416633612926"/>
    <n v="-9.2116034320336035E-2"/>
    <n v="0"/>
    <x v="966"/>
    <n v="6"/>
    <x v="0"/>
    <x v="0"/>
    <n v="0"/>
    <n v="0"/>
    <n v="0"/>
    <x v="1"/>
    <x v="1"/>
    <s v="Normal"/>
    <s v="Maxed Out"/>
    <m/>
    <m/>
    <m/>
  </r>
  <r>
    <x v="0"/>
    <x v="6"/>
    <x v="1"/>
    <x v="13"/>
    <n v="4.9587992937021777E-2"/>
    <n v="0"/>
    <s v="DOWN"/>
    <n v="5.3999999999999999E-2"/>
    <n v="-3.6450272128121679E-2"/>
    <n v="1.0109678696460058E-2"/>
    <n v="0.17556416633612926"/>
    <n v="-0.2652019019384606"/>
    <n v="0"/>
    <x v="967"/>
    <n v="6"/>
    <x v="0"/>
    <x v="0"/>
    <n v="0"/>
    <n v="0"/>
    <n v="0"/>
    <x v="1"/>
    <x v="1"/>
    <s v="Normal"/>
    <s v="Maxed Out"/>
    <m/>
    <m/>
    <m/>
  </r>
  <r>
    <x v="0"/>
    <x v="6"/>
    <x v="1"/>
    <x v="14"/>
    <n v="4.4058744993324427E-2"/>
    <n v="0"/>
    <s v="DOWN"/>
    <n v="5.3999999999999999E-2"/>
    <n v="0.1115037656539086"/>
    <n v="1.0109678696460058E-2"/>
    <n v="0.17556416633612926"/>
    <n v="0.57753292755266949"/>
    <n v="-1"/>
    <x v="968"/>
    <n v="6"/>
    <x v="0"/>
    <x v="0"/>
    <n v="0"/>
    <n v="0"/>
    <n v="0"/>
    <x v="0"/>
    <x v="1"/>
    <s v="Normal"/>
    <s v="Maxed Out"/>
    <m/>
    <m/>
    <m/>
  </r>
  <r>
    <x v="0"/>
    <x v="6"/>
    <x v="1"/>
    <x v="15"/>
    <n v="4.5966785290628698E-2"/>
    <n v="0"/>
    <s v="DOWN"/>
    <n v="5.3999999999999999E-2"/>
    <n v="-4.3306732808512098E-2"/>
    <n v="1.0109678696460058E-2"/>
    <n v="0.17556416633612926"/>
    <n v="-0.30425577508056451"/>
    <n v="0"/>
    <x v="969"/>
    <n v="6"/>
    <x v="0"/>
    <x v="0"/>
    <n v="0"/>
    <n v="0"/>
    <n v="0"/>
    <x v="1"/>
    <x v="1"/>
    <s v="Normal"/>
    <s v="Maxed Out"/>
    <m/>
    <m/>
    <m/>
  </r>
  <r>
    <x v="0"/>
    <x v="6"/>
    <x v="2"/>
    <x v="0"/>
    <n v="0.12626058894715611"/>
    <n v="0"/>
    <s v="DOWN"/>
    <n v="6.6000000000000003E-2"/>
    <n v="1.905234741055619E-2"/>
    <n v="-2.475667272801203E-2"/>
    <n v="0.42334565134305008"/>
    <n v="0.1034828632338269"/>
    <n v="0"/>
    <x v="970"/>
    <n v="0"/>
    <x v="0"/>
    <x v="0"/>
    <n v="0"/>
    <n v="0"/>
    <n v="0"/>
    <x v="0"/>
    <x v="0"/>
    <s v="Normal"/>
    <s v="Allowed"/>
    <m/>
    <m/>
    <m/>
  </r>
  <r>
    <x v="0"/>
    <x v="6"/>
    <x v="2"/>
    <x v="1"/>
    <n v="0.1242983159582999"/>
    <n v="0"/>
    <s v="DOWN"/>
    <n v="6.6000000000000003E-2"/>
    <n v="1.554145284145219E-2"/>
    <n v="-2.475667272801203E-2"/>
    <n v="0.42334565134305008"/>
    <n v="9.5189652808809408E-2"/>
    <n v="0"/>
    <x v="971"/>
    <n v="0"/>
    <x v="0"/>
    <x v="0"/>
    <n v="0"/>
    <n v="0"/>
    <n v="0"/>
    <x v="0"/>
    <x v="0"/>
    <s v="Normal"/>
    <s v="Allowed"/>
    <m/>
    <m/>
    <m/>
  </r>
  <r>
    <x v="0"/>
    <x v="6"/>
    <x v="2"/>
    <x v="2"/>
    <n v="0.11648528819024589"/>
    <n v="0"/>
    <s v="DOWN"/>
    <n v="6.6000000000000003E-2"/>
    <n v="6.2857068559763557E-2"/>
    <n v="-2.475667272801203E-2"/>
    <n v="0.42334565134305008"/>
    <n v="0.20695557167015627"/>
    <n v="0"/>
    <x v="972"/>
    <n v="0"/>
    <x v="0"/>
    <x v="0"/>
    <n v="0"/>
    <n v="0"/>
    <n v="0"/>
    <x v="0"/>
    <x v="0"/>
    <s v="Normal"/>
    <s v="Allowed"/>
    <m/>
    <m/>
    <m/>
  </r>
  <r>
    <x v="0"/>
    <x v="6"/>
    <x v="2"/>
    <x v="3"/>
    <n v="0.11714975800000001"/>
    <n v="0"/>
    <s v="DOWN"/>
    <n v="6.6000000000000003E-2"/>
    <n v="-5.7043238685119419E-3"/>
    <n v="-2.475667272801203E-2"/>
    <n v="0.42334565134305008"/>
    <n v="4.5004238968930327E-2"/>
    <n v="0"/>
    <x v="973"/>
    <n v="0"/>
    <x v="0"/>
    <x v="0"/>
    <n v="0"/>
    <n v="0"/>
    <n v="0"/>
    <x v="1"/>
    <x v="0"/>
    <s v="Normal"/>
    <s v="Allowed"/>
    <m/>
    <m/>
    <m/>
  </r>
  <r>
    <x v="0"/>
    <x v="6"/>
    <x v="2"/>
    <x v="4"/>
    <n v="0.1235552012754085"/>
    <n v="1"/>
    <s v="DOWN"/>
    <n v="6.6000000000000003E-2"/>
    <n v="-5.4677392294813769E-2"/>
    <n v="-2.475667272801203E-2"/>
    <n v="0.42334565134305008"/>
    <n v="-7.0676808588630222E-2"/>
    <n v="0"/>
    <x v="974"/>
    <n v="0"/>
    <x v="0"/>
    <x v="0"/>
    <n v="0"/>
    <n v="0"/>
    <n v="0"/>
    <x v="1"/>
    <x v="0"/>
    <s v="Normal"/>
    <s v="Allowed"/>
    <m/>
    <m/>
    <m/>
  </r>
  <r>
    <x v="0"/>
    <x v="6"/>
    <x v="2"/>
    <x v="5"/>
    <n v="0.12470308788598571"/>
    <n v="1"/>
    <s v="DOWN"/>
    <n v="6.6000000000000003E-2"/>
    <n v="-9.2904758256070873E-3"/>
    <n v="-2.475667272801203E-2"/>
    <n v="0.42334565134305008"/>
    <n v="3.6533260359091782E-2"/>
    <n v="0"/>
    <x v="975"/>
    <n v="1"/>
    <x v="2"/>
    <x v="0"/>
    <n v="1"/>
    <n v="0"/>
    <n v="0"/>
    <x v="1"/>
    <x v="0"/>
    <s v="Normal"/>
    <s v="Allowed"/>
    <m/>
    <m/>
    <m/>
  </r>
  <r>
    <x v="0"/>
    <x v="6"/>
    <x v="2"/>
    <x v="6"/>
    <n v="0.13302397525135351"/>
    <n v="1"/>
    <s v="DOWN"/>
    <n v="6.6000000000000003E-2"/>
    <n v="-6.6725592015616134E-2"/>
    <n v="-2.475667272801203E-2"/>
    <n v="0.42334565134305008"/>
    <n v="-9.9136294785263743E-2"/>
    <n v="0"/>
    <x v="976"/>
    <n v="2"/>
    <x v="2"/>
    <x v="0"/>
    <n v="1"/>
    <n v="0"/>
    <n v="0"/>
    <x v="1"/>
    <x v="0"/>
    <s v="Normal"/>
    <s v="Allowed"/>
    <m/>
    <m/>
    <m/>
  </r>
  <r>
    <x v="0"/>
    <x v="6"/>
    <x v="2"/>
    <x v="7"/>
    <n v="0.13422562141491401"/>
    <n v="1"/>
    <s v="DOWN"/>
    <n v="6.6000000000000003E-2"/>
    <n v="-9.033305171417004E-3"/>
    <n v="-2.475667272801203E-2"/>
    <n v="0.42334565134305008"/>
    <n v="3.71407324173832E-2"/>
    <n v="0"/>
    <x v="977"/>
    <n v="3"/>
    <x v="2"/>
    <x v="0"/>
    <n v="1"/>
    <n v="0"/>
    <n v="0"/>
    <x v="1"/>
    <x v="0"/>
    <s v="Normal"/>
    <s v="Allowed"/>
    <m/>
    <m/>
    <m/>
  </r>
  <r>
    <x v="0"/>
    <x v="6"/>
    <x v="2"/>
    <x v="8"/>
    <n v="0.1145631067961165"/>
    <n v="1"/>
    <s v="DOWN"/>
    <n v="6.6000000000000003E-2"/>
    <n v="0.14648853483804969"/>
    <n v="-2.475667272801203E-2"/>
    <n v="0.42334565134305008"/>
    <n v="0.40450446821124053"/>
    <n v="0"/>
    <x v="978"/>
    <n v="4"/>
    <x v="1"/>
    <x v="0"/>
    <n v="1"/>
    <n v="0"/>
    <n v="0"/>
    <x v="0"/>
    <x v="0"/>
    <s v="Normal"/>
    <s v="Allowed"/>
    <m/>
    <m/>
    <m/>
  </r>
  <r>
    <x v="0"/>
    <x v="6"/>
    <x v="2"/>
    <x v="9"/>
    <n v="9.412231930103257E-2"/>
    <n v="1"/>
    <s v="DOWN"/>
    <n v="6.6000000000000003E-2"/>
    <n v="0.17842382305030891"/>
    <n v="-2.475667272801203E-2"/>
    <n v="0.42334565134305008"/>
    <n v="0.47993996190521271"/>
    <n v="0"/>
    <x v="979"/>
    <n v="5"/>
    <x v="1"/>
    <x v="0"/>
    <n v="1"/>
    <n v="0"/>
    <n v="0"/>
    <x v="0"/>
    <x v="0"/>
    <s v="Normal"/>
    <s v="Maxed Out"/>
    <m/>
    <m/>
    <m/>
  </r>
  <r>
    <x v="0"/>
    <x v="6"/>
    <x v="2"/>
    <x v="10"/>
    <n v="7.1768437747819186E-2"/>
    <n v="1"/>
    <s v="DOWN"/>
    <n v="6.6000000000000003E-2"/>
    <n v="0.23749820148097589"/>
    <n v="-2.475667272801203E-2"/>
    <n v="0.42334565134305008"/>
    <n v="0.6194816773881886"/>
    <n v="-1"/>
    <x v="980"/>
    <n v="6"/>
    <x v="1"/>
    <x v="0"/>
    <n v="1"/>
    <n v="0"/>
    <n v="0"/>
    <x v="0"/>
    <x v="0"/>
    <s v="Normal"/>
    <s v="Maxed Out"/>
    <m/>
    <m/>
    <m/>
  </r>
  <r>
    <x v="0"/>
    <x v="6"/>
    <x v="2"/>
    <x v="11"/>
    <n v="6.2230919765166343E-2"/>
    <n v="0"/>
    <s v="DOWN"/>
    <n v="6.6000000000000003E-2"/>
    <n v="0.1328929301229308"/>
    <n v="-2.475667272801203E-2"/>
    <n v="0.42334565134305008"/>
    <n v="0.3723898009836753"/>
    <n v="0"/>
    <x v="981"/>
    <n v="7"/>
    <x v="1"/>
    <x v="0"/>
    <n v="1"/>
    <n v="0"/>
    <n v="0"/>
    <x v="0"/>
    <x v="1"/>
    <s v="Normal"/>
    <s v="Maxed Out"/>
    <m/>
    <m/>
    <m/>
  </r>
  <r>
    <x v="0"/>
    <x v="6"/>
    <x v="2"/>
    <x v="12"/>
    <n v="6.3251843228560339E-2"/>
    <n v="0"/>
    <s v="DOWN"/>
    <n v="6.6000000000000003E-2"/>
    <n v="-1.6405405339444411E-2"/>
    <n v="-2.475667272801203E-2"/>
    <n v="0.42334565134305008"/>
    <n v="1.972682927549509E-2"/>
    <n v="0"/>
    <x v="982"/>
    <n v="7"/>
    <x v="0"/>
    <x v="0"/>
    <n v="0"/>
    <n v="0"/>
    <n v="0"/>
    <x v="1"/>
    <x v="1"/>
    <s v="Normal"/>
    <s v="Maxed Out"/>
    <m/>
    <m/>
    <m/>
  </r>
  <r>
    <x v="0"/>
    <x v="6"/>
    <x v="2"/>
    <x v="13"/>
    <n v="5.644219540677306E-2"/>
    <n v="0"/>
    <s v="DOWN"/>
    <n v="6.6000000000000003E-2"/>
    <n v="0.10765927875304181"/>
    <n v="-2.475667272801203E-2"/>
    <n v="0.42334565134305008"/>
    <n v="0.31278448487888943"/>
    <n v="0"/>
    <x v="983"/>
    <n v="7"/>
    <x v="0"/>
    <x v="0"/>
    <n v="0"/>
    <n v="0"/>
    <n v="0"/>
    <x v="0"/>
    <x v="1"/>
    <s v="Normal"/>
    <s v="Maxed Out"/>
    <m/>
    <m/>
    <m/>
  </r>
  <r>
    <x v="0"/>
    <x v="6"/>
    <x v="2"/>
    <x v="14"/>
    <n v="4.8463356973995272E-2"/>
    <n v="0"/>
    <s v="DOWN"/>
    <n v="6.6000000000000003E-2"/>
    <n v="0.14136300644004229"/>
    <n v="-2.475667272801203E-2"/>
    <n v="0.42334565134305008"/>
    <n v="0.39239727310542843"/>
    <n v="0"/>
    <x v="984"/>
    <n v="7"/>
    <x v="0"/>
    <x v="0"/>
    <n v="0"/>
    <n v="0"/>
    <n v="0"/>
    <x v="0"/>
    <x v="1"/>
    <s v="Normal"/>
    <s v="Maxed Out"/>
    <m/>
    <m/>
    <m/>
  </r>
  <r>
    <x v="0"/>
    <x v="6"/>
    <x v="2"/>
    <x v="15"/>
    <n v="4.6603475513428118E-2"/>
    <n v="0"/>
    <s v="DOWN"/>
    <n v="6.6000000000000003E-2"/>
    <n v="3.8377066235117392E-2"/>
    <n v="-2.475667272801203E-2"/>
    <n v="0.42334565134305008"/>
    <n v="0.14913047710030733"/>
    <n v="0"/>
    <x v="985"/>
    <n v="7"/>
    <x v="0"/>
    <x v="0"/>
    <n v="0"/>
    <n v="0"/>
    <n v="0"/>
    <x v="0"/>
    <x v="1"/>
    <s v="Normal"/>
    <s v="Maxed Out"/>
    <m/>
    <m/>
    <m/>
  </r>
  <r>
    <x v="0"/>
    <x v="6"/>
    <x v="3"/>
    <x v="0"/>
    <n v="0.17338709677419359"/>
    <n v="0"/>
    <s v="UP"/>
    <n v="0.16400000000000001"/>
    <n v="-8.0645161290322266E-3"/>
    <n v="2.6472445732452773E-2"/>
    <n v="0.13493378643970674"/>
    <n v="-0.25595488552392587"/>
    <n v="0"/>
    <x v="986"/>
    <n v="0"/>
    <x v="0"/>
    <x v="0"/>
    <n v="0"/>
    <n v="0"/>
    <n v="0"/>
    <x v="1"/>
    <x v="1"/>
    <s v="Normal"/>
    <s v="Allowed"/>
    <m/>
    <m/>
    <m/>
  </r>
  <r>
    <x v="0"/>
    <x v="6"/>
    <x v="3"/>
    <x v="1"/>
    <n v="0.16996047430830041"/>
    <n v="0"/>
    <s v="UP"/>
    <n v="0.16400000000000001"/>
    <n v="-1.97628458498025E-2"/>
    <n v="2.6472445732452773E-2"/>
    <n v="0.13493378643970674"/>
    <n v="-0.34265170201026601"/>
    <n v="0"/>
    <x v="987"/>
    <n v="0"/>
    <x v="0"/>
    <x v="0"/>
    <n v="0"/>
    <n v="0"/>
    <n v="0"/>
    <x v="1"/>
    <x v="1"/>
    <s v="Normal"/>
    <s v="Allowed"/>
    <m/>
    <m/>
    <m/>
  </r>
  <r>
    <x v="0"/>
    <x v="6"/>
    <x v="3"/>
    <x v="2"/>
    <n v="0.17199999999999999"/>
    <n v="0"/>
    <s v="UP"/>
    <n v="0.16400000000000001"/>
    <n v="1.1999999999999809E-2"/>
    <n v="2.6472445732452773E-2"/>
    <n v="0.13493378643970674"/>
    <n v="-0.10725590761450818"/>
    <n v="0"/>
    <x v="988"/>
    <n v="0"/>
    <x v="0"/>
    <x v="0"/>
    <n v="0"/>
    <n v="0"/>
    <n v="0"/>
    <x v="0"/>
    <x v="1"/>
    <s v="Normal"/>
    <s v="Allowed"/>
    <m/>
    <m/>
    <m/>
  </r>
  <r>
    <x v="0"/>
    <x v="6"/>
    <x v="3"/>
    <x v="3"/>
    <n v="0.16935483900000001"/>
    <n v="0"/>
    <s v="UP"/>
    <n v="0.16400000000000001"/>
    <n v="-1.537884302325569E-2"/>
    <n v="2.6472445732452773E-2"/>
    <n v="0.13493378643970674"/>
    <n v="-0.31016167158704255"/>
    <n v="0"/>
    <x v="989"/>
    <n v="0"/>
    <x v="0"/>
    <x v="0"/>
    <n v="0"/>
    <n v="0"/>
    <n v="0"/>
    <x v="1"/>
    <x v="1"/>
    <s v="Normal"/>
    <s v="Allowed"/>
    <m/>
    <m/>
    <m/>
  </r>
  <r>
    <x v="0"/>
    <x v="6"/>
    <x v="3"/>
    <x v="4"/>
    <n v="0.16935483870967741"/>
    <n v="0"/>
    <s v="UP"/>
    <n v="0.16400000000000001"/>
    <n v="-1.714285821466917E-9"/>
    <n v="2.6472445732452773E-2"/>
    <n v="0.13493378643970674"/>
    <n v="-0.19618842800774314"/>
    <n v="0"/>
    <x v="990"/>
    <n v="0"/>
    <x v="0"/>
    <x v="0"/>
    <n v="0"/>
    <n v="0"/>
    <n v="0"/>
    <x v="1"/>
    <x v="1"/>
    <s v="Normal"/>
    <s v="Allowed"/>
    <m/>
    <m/>
    <m/>
  </r>
  <r>
    <x v="0"/>
    <x v="6"/>
    <x v="3"/>
    <x v="5"/>
    <n v="0.16400000000000001"/>
    <n v="0"/>
    <s v="UP"/>
    <n v="0.16400000000000001"/>
    <n v="-3.1619047619047512E-2"/>
    <n v="2.6472445732452773E-2"/>
    <n v="0.13493378643970674"/>
    <n v="-0.43051851492700566"/>
    <n v="0"/>
    <x v="96"/>
    <n v="0"/>
    <x v="0"/>
    <x v="0"/>
    <n v="0"/>
    <n v="0"/>
    <n v="0"/>
    <x v="1"/>
    <x v="1"/>
    <s v="Normal"/>
    <s v="Allowed"/>
    <m/>
    <m/>
    <m/>
  </r>
  <r>
    <x v="0"/>
    <x v="6"/>
    <x v="3"/>
    <x v="6"/>
    <n v="0.16666666666666671"/>
    <n v="1"/>
    <s v="UP"/>
    <n v="0.16400000000000001"/>
    <n v="1.6260162601626261E-2"/>
    <n v="2.6472445732452773E-2"/>
    <n v="0.13493378643970674"/>
    <n v="-7.568366233752527E-2"/>
    <n v="0"/>
    <x v="240"/>
    <n v="0"/>
    <x v="0"/>
    <x v="0"/>
    <n v="0"/>
    <n v="0"/>
    <n v="0"/>
    <x v="0"/>
    <x v="1"/>
    <s v="Normal"/>
    <s v="Allowed"/>
    <m/>
    <m/>
    <m/>
  </r>
  <r>
    <x v="0"/>
    <x v="6"/>
    <x v="3"/>
    <x v="7"/>
    <n v="0.16666666666666671"/>
    <n v="1"/>
    <s v="UP"/>
    <n v="0.16400000000000001"/>
    <n v="0"/>
    <n v="2.6472445732452773E-2"/>
    <n v="0.13493378643970674"/>
    <n v="-0.19618841530309838"/>
    <n v="0"/>
    <x v="240"/>
    <n v="1"/>
    <x v="2"/>
    <x v="0"/>
    <n v="1"/>
    <n v="0"/>
    <n v="0"/>
    <x v="1"/>
    <x v="1"/>
    <s v="Normal"/>
    <s v="Allowed"/>
    <m/>
    <m/>
    <m/>
  </r>
  <r>
    <x v="0"/>
    <x v="6"/>
    <x v="3"/>
    <x v="8"/>
    <n v="0.16867469879518071"/>
    <n v="1"/>
    <s v="UP"/>
    <n v="0.16400000000000001"/>
    <n v="1.2048192771083981E-2"/>
    <n v="2.6472445732452773E-2"/>
    <n v="0.13493378643970674"/>
    <n v="-0.10689874894909339"/>
    <n v="0"/>
    <x v="991"/>
    <n v="2"/>
    <x v="1"/>
    <x v="0"/>
    <n v="1"/>
    <n v="0"/>
    <n v="0"/>
    <x v="0"/>
    <x v="1"/>
    <s v="Normal"/>
    <s v="Allowed"/>
    <m/>
    <m/>
    <m/>
  </r>
  <r>
    <x v="0"/>
    <x v="6"/>
    <x v="3"/>
    <x v="9"/>
    <n v="0.16935483870967741"/>
    <n v="1"/>
    <s v="UP"/>
    <n v="0.16400000000000001"/>
    <n v="4.0322580645161324E-3"/>
    <n v="2.6472445732452773E-2"/>
    <n v="0.13493378643970674"/>
    <n v="-0.1663051801926845"/>
    <n v="0"/>
    <x v="990"/>
    <n v="3"/>
    <x v="1"/>
    <x v="0"/>
    <n v="1"/>
    <n v="0"/>
    <n v="0"/>
    <x v="1"/>
    <x v="1"/>
    <s v="Normal"/>
    <s v="Allowed"/>
    <m/>
    <m/>
    <m/>
  </r>
  <r>
    <x v="0"/>
    <x v="6"/>
    <x v="3"/>
    <x v="10"/>
    <n v="0.17551020408163259"/>
    <n v="1"/>
    <s v="UP"/>
    <n v="0.16400000000000001"/>
    <n v="3.6345966958211573E-2"/>
    <n v="2.6472445732452773E-2"/>
    <n v="0.13493378643970674"/>
    <n v="7.3173083526938923E-2"/>
    <n v="0"/>
    <x v="992"/>
    <n v="4"/>
    <x v="1"/>
    <x v="0"/>
    <n v="1"/>
    <n v="0"/>
    <n v="0"/>
    <x v="0"/>
    <x v="1"/>
    <s v="Normal"/>
    <s v="Allowed"/>
    <m/>
    <m/>
    <m/>
  </r>
  <r>
    <x v="0"/>
    <x v="6"/>
    <x v="3"/>
    <x v="11"/>
    <n v="0.18367346938775511"/>
    <n v="0"/>
    <s v="UP"/>
    <n v="0.16400000000000001"/>
    <n v="4.651162790697716E-2"/>
    <n v="2.6472445732452773E-2"/>
    <n v="0.13493378643970674"/>
    <n v="0.14851122690074819"/>
    <n v="0"/>
    <x v="993"/>
    <n v="5"/>
    <x v="1"/>
    <x v="0"/>
    <n v="1"/>
    <n v="0"/>
    <n v="0"/>
    <x v="0"/>
    <x v="1"/>
    <s v="Normal"/>
    <s v="Maxed Out"/>
    <m/>
    <m/>
    <m/>
  </r>
  <r>
    <x v="0"/>
    <x v="6"/>
    <x v="3"/>
    <x v="12"/>
    <n v="0.19008264462809921"/>
    <n v="0"/>
    <s v="UP"/>
    <n v="0.16400000000000001"/>
    <n v="3.4894398530762302E-2"/>
    <n v="2.6472445732452773E-2"/>
    <n v="0.13493378643970674"/>
    <n v="6.24154484990515E-2"/>
    <n v="0"/>
    <x v="994"/>
    <n v="5"/>
    <x v="0"/>
    <x v="0"/>
    <n v="0"/>
    <n v="0"/>
    <n v="0"/>
    <x v="0"/>
    <x v="1"/>
    <s v="Normal"/>
    <s v="Maxed Out"/>
    <m/>
    <m/>
    <m/>
  </r>
  <r>
    <x v="0"/>
    <x v="6"/>
    <x v="3"/>
    <x v="13"/>
    <n v="0.1882845188284519"/>
    <n v="0"/>
    <s v="UP"/>
    <n v="0.16400000000000001"/>
    <n v="-9.4597052937966872E-3"/>
    <n v="2.6472445732452773E-2"/>
    <n v="0.13493378643970674"/>
    <n v="-0.26629469145079709"/>
    <n v="0"/>
    <x v="995"/>
    <n v="5"/>
    <x v="0"/>
    <x v="0"/>
    <n v="0"/>
    <n v="0"/>
    <n v="0"/>
    <x v="1"/>
    <x v="1"/>
    <s v="Normal"/>
    <s v="Maxed Out"/>
    <m/>
    <m/>
    <m/>
  </r>
  <r>
    <x v="0"/>
    <x v="6"/>
    <x v="3"/>
    <x v="14"/>
    <n v="0.18907563025210081"/>
    <n v="0"/>
    <s v="UP"/>
    <n v="0.16400000000000001"/>
    <n v="4.2016806722686272E-3"/>
    <n v="2.6472445732452773E-2"/>
    <n v="0.13493378643970674"/>
    <n v="-0.16504958207880369"/>
    <n v="0"/>
    <x v="996"/>
    <n v="5"/>
    <x v="0"/>
    <x v="0"/>
    <n v="0"/>
    <n v="0"/>
    <n v="0"/>
    <x v="1"/>
    <x v="1"/>
    <s v="Normal"/>
    <s v="Maxed Out"/>
    <m/>
    <m/>
    <m/>
  </r>
  <r>
    <x v="0"/>
    <x v="6"/>
    <x v="3"/>
    <x v="15"/>
    <n v="0.18257261410788381"/>
    <n v="0"/>
    <s v="UP"/>
    <n v="0.16400000000000001"/>
    <n v="-3.4393729829414361E-2"/>
    <n v="2.6472445732452773E-2"/>
    <n v="0.13493378643970674"/>
    <n v="-0.45108180217757632"/>
    <n v="0"/>
    <x v="997"/>
    <n v="5"/>
    <x v="0"/>
    <x v="0"/>
    <n v="0"/>
    <n v="0"/>
    <n v="0"/>
    <x v="1"/>
    <x v="1"/>
    <s v="Normal"/>
    <s v="Maxed Out"/>
    <m/>
    <m/>
    <m/>
  </r>
  <r>
    <x v="0"/>
    <x v="6"/>
    <x v="4"/>
    <x v="0"/>
    <n v="0.13931763884787801"/>
    <n v="1"/>
    <s v="DOWN"/>
    <n v="0.104"/>
    <n v="-1.0080349389686881E-3"/>
    <n v="1.7244519882342341E-3"/>
    <n v="8.3117651155014696E-2"/>
    <n v="-3.2874929563478941E-2"/>
    <n v="0"/>
    <x v="998"/>
    <n v="0"/>
    <x v="2"/>
    <x v="0"/>
    <n v="1"/>
    <n v="0"/>
    <n v="0"/>
    <x v="1"/>
    <x v="0"/>
    <s v="Normal"/>
    <s v="Allowed"/>
    <m/>
    <m/>
    <m/>
  </r>
  <r>
    <x v="0"/>
    <x v="6"/>
    <x v="4"/>
    <x v="1"/>
    <n v="0.13946218891516049"/>
    <n v="1"/>
    <s v="DOWN"/>
    <n v="0.104"/>
    <n v="-1.037557544600033E-3"/>
    <n v="1.7244519882342341E-3"/>
    <n v="8.3117651155014696E-2"/>
    <n v="-3.3230120130357275E-2"/>
    <n v="0"/>
    <x v="999"/>
    <n v="1"/>
    <x v="2"/>
    <x v="0"/>
    <n v="1"/>
    <n v="0"/>
    <n v="0"/>
    <x v="1"/>
    <x v="0"/>
    <s v="Normal"/>
    <s v="Allowed"/>
    <m/>
    <m/>
    <m/>
  </r>
  <r>
    <x v="0"/>
    <x v="6"/>
    <x v="4"/>
    <x v="2"/>
    <n v="0.13823411905713151"/>
    <n v="0"/>
    <s v="DOWN"/>
    <n v="0.104"/>
    <n v="8.805754933160095E-3"/>
    <n v="1.7244519882342341E-3"/>
    <n v="8.3117651155014696E-2"/>
    <n v="8.5196138804731231E-2"/>
    <n v="0"/>
    <x v="1000"/>
    <n v="2"/>
    <x v="1"/>
    <x v="0"/>
    <n v="1"/>
    <n v="0"/>
    <n v="0"/>
    <x v="1"/>
    <x v="0"/>
    <s v="Normal"/>
    <s v="Allowed"/>
    <m/>
    <m/>
    <m/>
  </r>
  <r>
    <x v="0"/>
    <x v="6"/>
    <x v="4"/>
    <x v="3"/>
    <n v="0.13605767299999999"/>
    <n v="0"/>
    <s v="DOWN"/>
    <n v="0.104"/>
    <n v="1.5744637228324261E-2"/>
    <n v="1.7244519882342341E-3"/>
    <n v="8.3117651155014696E-2"/>
    <n v="0.16867879500038246"/>
    <n v="0"/>
    <x v="1001"/>
    <n v="2"/>
    <x v="0"/>
    <x v="0"/>
    <n v="0"/>
    <n v="0"/>
    <n v="0"/>
    <x v="0"/>
    <x v="0"/>
    <s v="Normal"/>
    <s v="Allowed"/>
    <m/>
    <m/>
    <m/>
  </r>
  <r>
    <x v="0"/>
    <x v="6"/>
    <x v="4"/>
    <x v="4"/>
    <n v="0.13374455636888299"/>
    <n v="0"/>
    <s v="DOWN"/>
    <n v="0.104"/>
    <n v="1.7001000973440109E-2"/>
    <n v="1.7244519882342341E-3"/>
    <n v="8.3117651155014696E-2"/>
    <n v="0.18379428163477646"/>
    <n v="0"/>
    <x v="1002"/>
    <n v="2"/>
    <x v="0"/>
    <x v="0"/>
    <n v="0"/>
    <n v="0"/>
    <n v="0"/>
    <x v="0"/>
    <x v="0"/>
    <s v="Normal"/>
    <s v="Allowed"/>
    <m/>
    <m/>
    <m/>
  </r>
  <r>
    <x v="0"/>
    <x v="6"/>
    <x v="4"/>
    <x v="5"/>
    <n v="0.13265885647114761"/>
    <n v="0"/>
    <s v="DOWN"/>
    <n v="0.104"/>
    <n v="8.1177128042572086E-3"/>
    <n v="1.7244519882342341E-3"/>
    <n v="8.3117651155014696E-2"/>
    <n v="7.691820843324268E-2"/>
    <n v="0"/>
    <x v="1003"/>
    <n v="2"/>
    <x v="0"/>
    <x v="0"/>
    <n v="0"/>
    <n v="0"/>
    <n v="0"/>
    <x v="1"/>
    <x v="0"/>
    <s v="Normal"/>
    <s v="Allowed"/>
    <m/>
    <m/>
    <m/>
  </r>
  <r>
    <x v="0"/>
    <x v="6"/>
    <x v="4"/>
    <x v="6"/>
    <n v="0.12674050632911391"/>
    <n v="0"/>
    <s v="DOWN"/>
    <n v="0.104"/>
    <n v="4.4613305884488072E-2"/>
    <n v="1.7244519882342341E-3"/>
    <n v="8.3117651155014696E-2"/>
    <n v="0.51600175534635817"/>
    <n v="-1"/>
    <x v="1004"/>
    <n v="2"/>
    <x v="0"/>
    <x v="0"/>
    <n v="0"/>
    <n v="0"/>
    <n v="0"/>
    <x v="0"/>
    <x v="0"/>
    <s v="Normal"/>
    <s v="Allowed"/>
    <m/>
    <m/>
    <m/>
  </r>
  <r>
    <x v="0"/>
    <x v="6"/>
    <x v="4"/>
    <x v="7"/>
    <n v="0.12397509969335251"/>
    <n v="0"/>
    <s v="DOWN"/>
    <n v="0.104"/>
    <n v="2.1819438124858991E-2"/>
    <n v="1.7244519882342341E-3"/>
    <n v="8.3117651155014696E-2"/>
    <n v="0.24176556793150397"/>
    <n v="0"/>
    <x v="1005"/>
    <n v="2"/>
    <x v="0"/>
    <x v="0"/>
    <n v="0"/>
    <n v="0"/>
    <n v="0"/>
    <x v="0"/>
    <x v="0"/>
    <s v="Normal"/>
    <s v="Allowed"/>
    <m/>
    <m/>
    <m/>
  </r>
  <r>
    <x v="0"/>
    <x v="6"/>
    <x v="4"/>
    <x v="8"/>
    <n v="0.1196799074937913"/>
    <n v="0"/>
    <s v="DOWN"/>
    <n v="0.104"/>
    <n v="3.4645603917118767E-2"/>
    <n v="1.7244519882342341E-3"/>
    <n v="8.3117651155014696E-2"/>
    <n v="0.39607894919319214"/>
    <n v="0"/>
    <x v="1006"/>
    <n v="2"/>
    <x v="0"/>
    <x v="0"/>
    <n v="0"/>
    <n v="0"/>
    <n v="0"/>
    <x v="0"/>
    <x v="0"/>
    <s v="Normal"/>
    <s v="Allowed"/>
    <m/>
    <m/>
    <m/>
  </r>
  <r>
    <x v="0"/>
    <x v="6"/>
    <x v="4"/>
    <x v="9"/>
    <n v="0.1197890704934806"/>
    <n v="0"/>
    <s v="DOWN"/>
    <n v="0.104"/>
    <n v="-9.1212469975348741E-4"/>
    <n v="1.7244519882342341E-3"/>
    <n v="8.3117651155014696E-2"/>
    <n v="-3.1721020160573321E-2"/>
    <n v="0"/>
    <x v="1007"/>
    <n v="2"/>
    <x v="0"/>
    <x v="0"/>
    <n v="0"/>
    <n v="0"/>
    <n v="0"/>
    <x v="1"/>
    <x v="0"/>
    <s v="Normal"/>
    <s v="Allowed"/>
    <m/>
    <m/>
    <m/>
  </r>
  <r>
    <x v="0"/>
    <x v="6"/>
    <x v="4"/>
    <x v="10"/>
    <n v="0.1171214840628316"/>
    <n v="0"/>
    <s v="DOWN"/>
    <n v="0.104"/>
    <n v="2.2269030218363559E-2"/>
    <n v="1.7244519882342341E-3"/>
    <n v="8.3117651155014696E-2"/>
    <n v="0.2471746728238701"/>
    <n v="0"/>
    <x v="1008"/>
    <n v="2"/>
    <x v="0"/>
    <x v="0"/>
    <n v="0"/>
    <n v="0"/>
    <n v="0"/>
    <x v="0"/>
    <x v="0"/>
    <s v="Normal"/>
    <s v="Allowed"/>
    <m/>
    <m/>
    <m/>
  </r>
  <r>
    <x v="0"/>
    <x v="6"/>
    <x v="4"/>
    <x v="11"/>
    <n v="0.1184386208340969"/>
    <n v="0"/>
    <s v="DOWN"/>
    <n v="0.104"/>
    <n v="-1.1245902336403969E-2"/>
    <n v="1.7244519882342341E-3"/>
    <n v="8.3117651155014696E-2"/>
    <n v="-0.15604813351195945"/>
    <n v="0"/>
    <x v="1009"/>
    <n v="2"/>
    <x v="0"/>
    <x v="0"/>
    <n v="0"/>
    <n v="0"/>
    <n v="0"/>
    <x v="1"/>
    <x v="0"/>
    <s v="Normal"/>
    <s v="Allowed"/>
    <m/>
    <m/>
    <m/>
  </r>
  <r>
    <x v="0"/>
    <x v="6"/>
    <x v="4"/>
    <x v="12"/>
    <n v="0.11683875780299161"/>
    <n v="0"/>
    <s v="DOWN"/>
    <n v="0.104"/>
    <n v="1.3507950530311419E-2"/>
    <n v="1.7244519882342341E-3"/>
    <n v="8.3117651155014696E-2"/>
    <n v="0.14176890682462767"/>
    <n v="0"/>
    <x v="1010"/>
    <n v="2"/>
    <x v="0"/>
    <x v="0"/>
    <n v="0"/>
    <n v="0"/>
    <n v="0"/>
    <x v="0"/>
    <x v="0"/>
    <s v="Normal"/>
    <s v="Allowed"/>
    <m/>
    <m/>
    <m/>
  </r>
  <r>
    <x v="0"/>
    <x v="6"/>
    <x v="4"/>
    <x v="13"/>
    <n v="0.1162181970474296"/>
    <n v="0"/>
    <s v="DOWN"/>
    <n v="0.104"/>
    <n v="5.3112577301478187E-3"/>
    <n v="1.7244519882342341E-3"/>
    <n v="8.3117651155014696E-2"/>
    <n v="4.3153357825574015E-2"/>
    <n v="0"/>
    <x v="1011"/>
    <n v="2"/>
    <x v="0"/>
    <x v="0"/>
    <n v="0"/>
    <n v="0"/>
    <n v="0"/>
    <x v="1"/>
    <x v="0"/>
    <s v="Normal"/>
    <s v="Allowed"/>
    <m/>
    <m/>
    <m/>
  </r>
  <r>
    <x v="0"/>
    <x v="6"/>
    <x v="4"/>
    <x v="14"/>
    <n v="0.11551422376635929"/>
    <n v="0"/>
    <s v="DOWN"/>
    <n v="0.104"/>
    <n v="6.0573412680202344E-3"/>
    <n v="1.7244519882342341E-3"/>
    <n v="8.3117651155014696E-2"/>
    <n v="5.2129592446075589E-2"/>
    <n v="0"/>
    <x v="1012"/>
    <n v="2"/>
    <x v="0"/>
    <x v="0"/>
    <n v="0"/>
    <n v="0"/>
    <n v="0"/>
    <x v="1"/>
    <x v="0"/>
    <s v="Normal"/>
    <s v="Allowed"/>
    <m/>
    <m/>
    <m/>
  </r>
  <r>
    <x v="0"/>
    <x v="6"/>
    <x v="4"/>
    <x v="15"/>
    <n v="0.1130170490862368"/>
    <n v="0"/>
    <s v="DOWN"/>
    <n v="0.104"/>
    <n v="2.161789776792607E-2"/>
    <n v="1.7244519882342341E-3"/>
    <n v="8.3117651155014696E-2"/>
    <n v="0.23934080791804971"/>
    <n v="0"/>
    <x v="1013"/>
    <n v="2"/>
    <x v="0"/>
    <x v="0"/>
    <n v="0"/>
    <n v="0"/>
    <n v="0"/>
    <x v="0"/>
    <x v="0"/>
    <s v="Normal"/>
    <s v="Allowed"/>
    <m/>
    <m/>
    <m/>
  </r>
  <r>
    <x v="0"/>
    <x v="6"/>
    <x v="5"/>
    <x v="0"/>
    <n v="0.11647344297654361"/>
    <n v="0"/>
    <s v="DOWN"/>
    <n v="0.1"/>
    <n v="-1.162380050049644E-2"/>
    <n v="-3.0570725046180952E-3"/>
    <n v="0.17799866497296365"/>
    <n v="-4.8128046337760744E-2"/>
    <n v="0"/>
    <x v="1014"/>
    <n v="0"/>
    <x v="0"/>
    <x v="0"/>
    <n v="0"/>
    <n v="0"/>
    <n v="0"/>
    <x v="1"/>
    <x v="0"/>
    <s v="Normal"/>
    <s v="Allowed"/>
    <m/>
    <m/>
    <m/>
  </r>
  <r>
    <x v="0"/>
    <x v="6"/>
    <x v="5"/>
    <x v="1"/>
    <n v="0.1147011308562197"/>
    <n v="0"/>
    <s v="DOWN"/>
    <n v="0.1"/>
    <n v="1.5216448273799419E-2"/>
    <n v="-3.0570725046180952E-3"/>
    <n v="0.17799866497296365"/>
    <n v="0.10266099906531936"/>
    <n v="0"/>
    <x v="1015"/>
    <n v="0"/>
    <x v="0"/>
    <x v="0"/>
    <n v="0"/>
    <n v="0"/>
    <n v="0"/>
    <x v="0"/>
    <x v="0"/>
    <s v="Normal"/>
    <s v="Allowed"/>
    <m/>
    <m/>
    <m/>
  </r>
  <r>
    <x v="0"/>
    <x v="6"/>
    <x v="5"/>
    <x v="2"/>
    <n v="0.1130856219709208"/>
    <n v="0"/>
    <s v="DOWN"/>
    <n v="0.1"/>
    <n v="1.4084507042253841E-2"/>
    <n v="-3.0570725046180952E-3"/>
    <n v="0.17799866497296365"/>
    <n v="9.6301730967901275E-2"/>
    <n v="0"/>
    <x v="1016"/>
    <n v="0"/>
    <x v="0"/>
    <x v="0"/>
    <n v="0"/>
    <n v="0"/>
    <n v="0"/>
    <x v="0"/>
    <x v="0"/>
    <s v="Normal"/>
    <s v="Allowed"/>
    <m/>
    <m/>
    <m/>
  </r>
  <r>
    <x v="0"/>
    <x v="6"/>
    <x v="5"/>
    <x v="3"/>
    <n v="0.104909213"/>
    <n v="0"/>
    <s v="DOWN"/>
    <n v="0.1"/>
    <n v="7.2302816471428222E-2"/>
    <n v="-3.0570725046180952E-3"/>
    <n v="0.17799866497296365"/>
    <n v="0.42337333815111916"/>
    <n v="0"/>
    <x v="1017"/>
    <n v="0"/>
    <x v="0"/>
    <x v="0"/>
    <n v="0"/>
    <n v="0"/>
    <n v="0"/>
    <x v="0"/>
    <x v="0"/>
    <s v="Normal"/>
    <s v="Allowed"/>
    <m/>
    <m/>
    <m/>
  </r>
  <r>
    <x v="0"/>
    <x v="6"/>
    <x v="5"/>
    <x v="4"/>
    <n v="0.1031149301825994"/>
    <n v="0"/>
    <s v="DOWN"/>
    <n v="0.1"/>
    <n v="1.710319585945802E-2"/>
    <n v="-3.0570725046180952E-3"/>
    <n v="0.17799866497296365"/>
    <n v="0.113260784102725"/>
    <n v="0"/>
    <x v="1018"/>
    <n v="0"/>
    <x v="0"/>
    <x v="0"/>
    <n v="0"/>
    <n v="0"/>
    <n v="0"/>
    <x v="0"/>
    <x v="0"/>
    <s v="Normal"/>
    <s v="Allowed"/>
    <m/>
    <m/>
    <m/>
  </r>
  <r>
    <x v="0"/>
    <x v="6"/>
    <x v="5"/>
    <x v="5"/>
    <n v="9.6450100468854646E-2"/>
    <n v="0"/>
    <s v="DOWN"/>
    <n v="0.1"/>
    <n v="6.4634963161420464E-2"/>
    <n v="-3.0570725046180952E-3"/>
    <n v="0.17799866497296365"/>
    <n v="0.38029518747413271"/>
    <n v="0"/>
    <x v="1019"/>
    <n v="0"/>
    <x v="0"/>
    <x v="0"/>
    <n v="0"/>
    <n v="0"/>
    <n v="0"/>
    <x v="0"/>
    <x v="1"/>
    <s v="Normal"/>
    <s v="Allowed"/>
    <m/>
    <m/>
    <m/>
  </r>
  <r>
    <x v="0"/>
    <x v="6"/>
    <x v="5"/>
    <x v="6"/>
    <n v="8.8223499532148114E-2"/>
    <n v="0"/>
    <s v="DOWN"/>
    <n v="0.1"/>
    <n v="8.5293855545158712E-2"/>
    <n v="-3.0570725046180952E-3"/>
    <n v="0.17799866497296365"/>
    <n v="0.49635725112430751"/>
    <n v="0"/>
    <x v="1020"/>
    <n v="0"/>
    <x v="0"/>
    <x v="0"/>
    <n v="0"/>
    <n v="0"/>
    <n v="0"/>
    <x v="0"/>
    <x v="1"/>
    <s v="Normal"/>
    <s v="Allowed"/>
    <m/>
    <m/>
    <m/>
  </r>
  <r>
    <x v="0"/>
    <x v="6"/>
    <x v="5"/>
    <x v="7"/>
    <n v="8.6584714056654202E-2"/>
    <n v="0"/>
    <s v="DOWN"/>
    <n v="0.1"/>
    <n v="1.8575385063893869E-2"/>
    <n v="-3.0570725046180952E-3"/>
    <n v="0.17799866497296365"/>
    <n v="0.12153157200250762"/>
    <n v="0"/>
    <x v="1021"/>
    <n v="0"/>
    <x v="0"/>
    <x v="0"/>
    <n v="0"/>
    <n v="0"/>
    <n v="0"/>
    <x v="0"/>
    <x v="1"/>
    <s v="Normal"/>
    <s v="Allowed"/>
    <m/>
    <m/>
    <m/>
  </r>
  <r>
    <x v="0"/>
    <x v="6"/>
    <x v="5"/>
    <x v="8"/>
    <n v="8.1796311146752204E-2"/>
    <n v="0"/>
    <s v="DOWN"/>
    <n v="0.1"/>
    <n v="5.5303097805102702E-2"/>
    <n v="-3.0570725046180952E-3"/>
    <n v="0.17799866497296365"/>
    <n v="0.32786858439969291"/>
    <n v="0"/>
    <x v="1022"/>
    <n v="0"/>
    <x v="0"/>
    <x v="0"/>
    <n v="0"/>
    <n v="0"/>
    <n v="0"/>
    <x v="0"/>
    <x v="1"/>
    <s v="Normal"/>
    <s v="Allowed"/>
    <m/>
    <m/>
    <m/>
  </r>
  <r>
    <x v="0"/>
    <x v="6"/>
    <x v="5"/>
    <x v="9"/>
    <n v="7.3747494989979956E-2"/>
    <n v="0"/>
    <s v="DOWN"/>
    <n v="0.1"/>
    <n v="9.8400723014656799E-2"/>
    <n v="-3.0570725046180952E-3"/>
    <n v="0.17799866497296365"/>
    <n v="0.56999189030257835"/>
    <n v="-1"/>
    <x v="1023"/>
    <n v="0"/>
    <x v="0"/>
    <x v="0"/>
    <n v="0"/>
    <n v="0"/>
    <n v="0"/>
    <x v="0"/>
    <x v="1"/>
    <s v="Normal"/>
    <s v="Allowed"/>
    <m/>
    <m/>
    <m/>
  </r>
  <r>
    <x v="0"/>
    <x v="6"/>
    <x v="5"/>
    <x v="10"/>
    <n v="8.082684937870166E-2"/>
    <n v="0"/>
    <s v="DOWN"/>
    <n v="0.1"/>
    <n v="-9.5994506520981807E-2"/>
    <n v="-3.0570725046180952E-3"/>
    <n v="0.17799866497296365"/>
    <n v="-0.52212433183406204"/>
    <n v="1"/>
    <x v="1024"/>
    <n v="0"/>
    <x v="0"/>
    <x v="0"/>
    <n v="0"/>
    <n v="0"/>
    <n v="0"/>
    <x v="1"/>
    <x v="1"/>
    <s v="Abnormal"/>
    <s v="Allowed"/>
    <m/>
    <m/>
    <m/>
  </r>
  <r>
    <x v="0"/>
    <x v="6"/>
    <x v="5"/>
    <x v="11"/>
    <n v="0.1016241720352055"/>
    <n v="0"/>
    <s v="DOWN"/>
    <n v="0.1"/>
    <n v="-0.25730710545280833"/>
    <n v="-3.0570725046180952E-3"/>
    <n v="0.17799866497296365"/>
    <n v="-1.4283816846986377"/>
    <n v="1"/>
    <x v="1025"/>
    <n v="0"/>
    <x v="0"/>
    <x v="0"/>
    <n v="0"/>
    <n v="0"/>
    <n v="0"/>
    <x v="1"/>
    <x v="1"/>
    <s v="Abnormal"/>
    <s v="Allowed"/>
    <m/>
    <m/>
    <m/>
  </r>
  <r>
    <x v="0"/>
    <x v="6"/>
    <x v="5"/>
    <x v="12"/>
    <n v="9.90574533229273E-2"/>
    <n v="0"/>
    <s v="DOWN"/>
    <n v="0.1"/>
    <n v="2.5256970471444731E-2"/>
    <n v="-3.0570725046180952E-3"/>
    <n v="0.17799866497296365"/>
    <n v="0.15906885020942974"/>
    <n v="0"/>
    <x v="1026"/>
    <n v="0"/>
    <x v="0"/>
    <x v="0"/>
    <n v="0"/>
    <n v="0"/>
    <n v="0"/>
    <x v="0"/>
    <x v="1"/>
    <s v="Normal"/>
    <s v="Allowed"/>
    <m/>
    <m/>
    <m/>
  </r>
  <r>
    <x v="0"/>
    <x v="6"/>
    <x v="5"/>
    <x v="13"/>
    <n v="9.9061242735806881E-2"/>
    <n v="0"/>
    <s v="DOWN"/>
    <n v="0.1"/>
    <n v="-3.8254697172844747E-5"/>
    <n v="-3.0570725046180952E-3"/>
    <n v="0.17799866497296365"/>
    <n v="1.6959777804534549E-2"/>
    <n v="0"/>
    <x v="1027"/>
    <n v="0"/>
    <x v="0"/>
    <x v="0"/>
    <n v="0"/>
    <n v="0"/>
    <n v="0"/>
    <x v="1"/>
    <x v="1"/>
    <s v="Normal"/>
    <s v="Allowed"/>
    <m/>
    <m/>
    <m/>
  </r>
  <r>
    <x v="0"/>
    <x v="6"/>
    <x v="5"/>
    <x v="14"/>
    <n v="0.1012043914420146"/>
    <n v="0"/>
    <s v="DOWN"/>
    <n v="0.1"/>
    <n v="-2.1634583284235821E-2"/>
    <n v="-3.0570725046180952E-3"/>
    <n v="0.17799866497296365"/>
    <n v="-0.10436882086974909"/>
    <n v="0"/>
    <x v="1028"/>
    <n v="0"/>
    <x v="0"/>
    <x v="0"/>
    <n v="0"/>
    <n v="0"/>
    <n v="0"/>
    <x v="1"/>
    <x v="1"/>
    <s v="Normal"/>
    <s v="Allowed"/>
    <m/>
    <m/>
    <m/>
  </r>
  <r>
    <x v="0"/>
    <x v="6"/>
    <x v="5"/>
    <x v="15"/>
    <n v="0.1016437139049311"/>
    <n v="0"/>
    <s v="DOWN"/>
    <n v="0.1"/>
    <n v="-4.3409426869407538E-3"/>
    <n v="-3.0570725046180952E-3"/>
    <n v="0.17799866497296365"/>
    <n v="-7.2128079304283913E-3"/>
    <n v="0"/>
    <x v="1029"/>
    <n v="0"/>
    <x v="0"/>
    <x v="0"/>
    <n v="0"/>
    <n v="0"/>
    <n v="0"/>
    <x v="1"/>
    <x v="1"/>
    <s v="Normal"/>
    <s v="Allowed"/>
    <m/>
    <m/>
    <m/>
  </r>
  <r>
    <x v="1"/>
    <x v="6"/>
    <x v="6"/>
    <x v="0"/>
    <n v="0.66"/>
    <n v="0"/>
    <s v="DOWN"/>
    <n v="0.59"/>
    <n v="0.1081081081081081"/>
    <n v="-4.8849805534298088E-2"/>
    <n v="0.44966933193859487"/>
    <n v="0.34905185320452264"/>
    <n v="0"/>
    <x v="1030"/>
    <n v="0"/>
    <x v="1"/>
    <x v="0"/>
    <n v="1"/>
    <n v="0"/>
    <n v="0"/>
    <x v="0"/>
    <x v="0"/>
    <s v="Normal"/>
    <s v="Allowed"/>
    <m/>
    <m/>
    <m/>
  </r>
  <r>
    <x v="1"/>
    <x v="6"/>
    <x v="6"/>
    <x v="1"/>
    <n v="0.68899999999999995"/>
    <n v="1"/>
    <s v="DOWN"/>
    <n v="0.59"/>
    <n v="-4.3939393939393813E-2"/>
    <n v="-4.8849805534298088E-2"/>
    <n v="0.44966933193859487"/>
    <n v="1.0920050014829168E-2"/>
    <n v="0"/>
    <x v="1031"/>
    <n v="0"/>
    <x v="0"/>
    <x v="0"/>
    <n v="0"/>
    <n v="0"/>
    <n v="0"/>
    <x v="1"/>
    <x v="0"/>
    <s v="Normal"/>
    <s v="Allowed"/>
    <m/>
    <m/>
    <m/>
  </r>
  <r>
    <x v="1"/>
    <x v="6"/>
    <x v="6"/>
    <x v="2"/>
    <n v="0.73"/>
    <n v="1"/>
    <s v="DOWN"/>
    <n v="0.59"/>
    <n v="-5.9506531204644469E-2"/>
    <n v="-4.8849805534298088E-2"/>
    <n v="0.44966933193859487"/>
    <n v="-2.369902707041098E-2"/>
    <n v="0"/>
    <x v="452"/>
    <n v="1"/>
    <x v="2"/>
    <x v="0"/>
    <n v="1"/>
    <n v="0"/>
    <n v="0"/>
    <x v="1"/>
    <x v="0"/>
    <s v="Normal"/>
    <s v="Allowed"/>
    <m/>
    <m/>
    <m/>
  </r>
  <r>
    <x v="1"/>
    <x v="6"/>
    <x v="6"/>
    <x v="3"/>
    <n v="0.73"/>
    <n v="0"/>
    <s v="DOWN"/>
    <n v="0.59"/>
    <n v="0"/>
    <n v="-4.8849805534298088E-2"/>
    <n v="0.44966933193859487"/>
    <n v="0.10863495031715623"/>
    <n v="0"/>
    <x v="452"/>
    <n v="2"/>
    <x v="2"/>
    <x v="0"/>
    <n v="1"/>
    <n v="0"/>
    <n v="0"/>
    <x v="1"/>
    <x v="0"/>
    <s v="Normal"/>
    <s v="Allowed"/>
    <m/>
    <m/>
    <m/>
  </r>
  <r>
    <x v="1"/>
    <x v="6"/>
    <x v="6"/>
    <x v="4"/>
    <n v="0.73"/>
    <n v="1"/>
    <s v="DOWN"/>
    <n v="0.59"/>
    <n v="0"/>
    <n v="-4.8849805534298088E-2"/>
    <n v="0.44966933193859487"/>
    <n v="0.10863495031715623"/>
    <n v="0"/>
    <x v="452"/>
    <n v="2"/>
    <x v="0"/>
    <x v="0"/>
    <n v="0"/>
    <n v="0"/>
    <n v="0"/>
    <x v="1"/>
    <x v="0"/>
    <s v="Normal"/>
    <s v="Allowed"/>
    <m/>
    <m/>
    <m/>
  </r>
  <r>
    <x v="1"/>
    <x v="6"/>
    <x v="6"/>
    <x v="5"/>
    <n v="0.78"/>
    <n v="1"/>
    <s v="DOWN"/>
    <n v="0.59"/>
    <n v="-6.8493150684931572E-2"/>
    <n v="-4.8849805534298088E-2"/>
    <n v="0.44966933193859487"/>
    <n v="-4.3683977882031558E-2"/>
    <n v="0"/>
    <x v="281"/>
    <n v="3"/>
    <x v="2"/>
    <x v="0"/>
    <n v="1"/>
    <n v="0"/>
    <n v="0"/>
    <x v="1"/>
    <x v="0"/>
    <s v="Normal"/>
    <s v="Allowed"/>
    <m/>
    <m/>
    <m/>
  </r>
  <r>
    <x v="1"/>
    <x v="6"/>
    <x v="6"/>
    <x v="6"/>
    <n v="0.8"/>
    <n v="0"/>
    <s v="DOWN"/>
    <n v="0.59"/>
    <n v="-2.5641025641025661E-2"/>
    <n v="-4.8849805534298088E-2"/>
    <n v="0.44966933193859487"/>
    <n v="5.1612992581050045E-2"/>
    <n v="0"/>
    <x v="619"/>
    <n v="4"/>
    <x v="2"/>
    <x v="0"/>
    <n v="1"/>
    <n v="0"/>
    <n v="0"/>
    <x v="1"/>
    <x v="0"/>
    <s v="Normal"/>
    <s v="Allowed"/>
    <m/>
    <m/>
    <m/>
  </r>
  <r>
    <x v="1"/>
    <x v="6"/>
    <x v="6"/>
    <x v="7"/>
    <n v="0.74"/>
    <n v="1"/>
    <s v="DOWN"/>
    <n v="0.59"/>
    <n v="7.5000000000000067E-2"/>
    <n v="-4.8849805534298088E-2"/>
    <n v="0.44966933193859487"/>
    <n v="0.27542417669526686"/>
    <n v="0"/>
    <x v="279"/>
    <n v="4"/>
    <x v="0"/>
    <x v="0"/>
    <n v="0"/>
    <n v="0"/>
    <n v="0"/>
    <x v="0"/>
    <x v="0"/>
    <s v="Normal"/>
    <s v="Allowed"/>
    <m/>
    <m/>
    <m/>
  </r>
  <r>
    <x v="1"/>
    <x v="6"/>
    <x v="6"/>
    <x v="8"/>
    <n v="0.76"/>
    <n v="1"/>
    <s v="DOWN"/>
    <n v="0.59"/>
    <n v="-2.7027027027027049E-2"/>
    <n v="-4.8849805534298088E-2"/>
    <n v="0.44966933193859487"/>
    <n v="4.8530724595314573E-2"/>
    <n v="0"/>
    <x v="618"/>
    <n v="5"/>
    <x v="2"/>
    <x v="0"/>
    <n v="1"/>
    <n v="0"/>
    <n v="0"/>
    <x v="1"/>
    <x v="0"/>
    <s v="Normal"/>
    <s v="Maxed Out"/>
    <m/>
    <m/>
    <m/>
  </r>
  <r>
    <x v="1"/>
    <x v="6"/>
    <x v="6"/>
    <x v="9"/>
    <n v="0.7"/>
    <n v="1"/>
    <s v="DOWN"/>
    <n v="0.59"/>
    <n v="7.8947368421052697E-2"/>
    <n v="-4.8849805534298088E-2"/>
    <n v="0.44966933193859487"/>
    <n v="0.28420255703095687"/>
    <n v="0"/>
    <x v="276"/>
    <n v="6"/>
    <x v="1"/>
    <x v="0"/>
    <n v="1"/>
    <n v="0"/>
    <n v="0"/>
    <x v="0"/>
    <x v="0"/>
    <s v="Normal"/>
    <s v="Maxed Out"/>
    <m/>
    <m/>
    <m/>
  </r>
  <r>
    <x v="1"/>
    <x v="6"/>
    <x v="6"/>
    <x v="10"/>
    <n v="0.74"/>
    <n v="1"/>
    <s v="DOWN"/>
    <n v="0.59"/>
    <n v="-5.7142857142857197E-2"/>
    <n v="-4.8849805534298088E-2"/>
    <n v="0.44966933193859487"/>
    <n v="-1.8442555494737577E-2"/>
    <n v="0"/>
    <x v="279"/>
    <n v="7"/>
    <x v="2"/>
    <x v="0"/>
    <n v="1"/>
    <n v="0"/>
    <n v="0"/>
    <x v="1"/>
    <x v="0"/>
    <s v="Normal"/>
    <s v="Maxed Out"/>
    <m/>
    <m/>
    <m/>
  </r>
  <r>
    <x v="1"/>
    <x v="6"/>
    <x v="6"/>
    <x v="11"/>
    <n v="0.74"/>
    <n v="1"/>
    <s v="DOWN"/>
    <n v="0.59"/>
    <n v="0"/>
    <n v="-4.8849805534298088E-2"/>
    <n v="0.44966933193859487"/>
    <n v="0.10863495031715623"/>
    <n v="0"/>
    <x v="279"/>
    <n v="8"/>
    <x v="2"/>
    <x v="0"/>
    <n v="1"/>
    <n v="0"/>
    <n v="0"/>
    <x v="1"/>
    <x v="0"/>
    <s v="Normal"/>
    <s v="Maxed Out"/>
    <m/>
    <m/>
    <m/>
  </r>
  <r>
    <x v="1"/>
    <x v="6"/>
    <x v="6"/>
    <x v="12"/>
    <n v="0.74"/>
    <n v="1"/>
    <s v="DOWN"/>
    <n v="0.59"/>
    <n v="0"/>
    <n v="-4.8849805534298088E-2"/>
    <n v="0.44966933193859487"/>
    <n v="0.10863495031715623"/>
    <n v="0"/>
    <x v="279"/>
    <n v="9"/>
    <x v="2"/>
    <x v="0"/>
    <n v="1"/>
    <n v="0"/>
    <n v="0"/>
    <x v="1"/>
    <x v="0"/>
    <s v="Normal"/>
    <s v="Maxed Out"/>
    <m/>
    <m/>
    <m/>
  </r>
  <r>
    <x v="1"/>
    <x v="6"/>
    <x v="6"/>
    <x v="13"/>
    <n v="0.72"/>
    <n v="1"/>
    <s v="DOWN"/>
    <n v="0.59"/>
    <n v="2.7027027027027049E-2"/>
    <n v="-4.8849805534298088E-2"/>
    <n v="0.44966933193859487"/>
    <n v="0.16873917603899788"/>
    <n v="0"/>
    <x v="1032"/>
    <n v="10"/>
    <x v="1"/>
    <x v="0"/>
    <n v="1"/>
    <n v="0"/>
    <n v="0"/>
    <x v="0"/>
    <x v="0"/>
    <s v="Normal"/>
    <s v="Maxed Out"/>
    <m/>
    <m/>
    <m/>
  </r>
  <r>
    <x v="1"/>
    <x v="6"/>
    <x v="6"/>
    <x v="14"/>
    <n v="0.7"/>
    <n v="1"/>
    <s v="DOWN"/>
    <n v="0.59"/>
    <n v="2.7777777777777801E-2"/>
    <n v="-4.8849805534298088E-2"/>
    <n v="0.44966933193859487"/>
    <n v="0.17040873786460461"/>
    <n v="0"/>
    <x v="276"/>
    <n v="11"/>
    <x v="1"/>
    <x v="0"/>
    <n v="1"/>
    <n v="0"/>
    <n v="0"/>
    <x v="0"/>
    <x v="0"/>
    <s v="Normal"/>
    <s v="Maxed Out"/>
    <m/>
    <m/>
    <m/>
  </r>
  <r>
    <x v="1"/>
    <x v="6"/>
    <x v="7"/>
    <x v="0"/>
    <n v="0.82499999999999996"/>
    <n v="0"/>
    <s v="DOWN"/>
    <n v="0.56999999999999995"/>
    <n v="9.6038415366146556E-3"/>
    <n v="-2.6703176088529658E-2"/>
    <n v="0.34089784338901952"/>
    <n v="0.10650409889426066"/>
    <n v="0"/>
    <x v="1033"/>
    <n v="0"/>
    <x v="1"/>
    <x v="0"/>
    <n v="1"/>
    <n v="0"/>
    <n v="0"/>
    <x v="1"/>
    <x v="0"/>
    <s v="Normal"/>
    <s v="Allowed"/>
    <m/>
    <m/>
    <m/>
  </r>
  <r>
    <x v="1"/>
    <x v="6"/>
    <x v="7"/>
    <x v="1"/>
    <n v="0.82299999999999995"/>
    <n v="1"/>
    <s v="DOWN"/>
    <n v="0.56999999999999995"/>
    <n v="2.424242424242426E-3"/>
    <n v="-2.6703176088529658E-2"/>
    <n v="0.34089784338901952"/>
    <n v="8.5443246643050752E-2"/>
    <n v="0"/>
    <x v="1034"/>
    <n v="0"/>
    <x v="0"/>
    <x v="0"/>
    <n v="0"/>
    <n v="0"/>
    <n v="0"/>
    <x v="1"/>
    <x v="0"/>
    <s v="Normal"/>
    <s v="Allowed"/>
    <m/>
    <m/>
    <m/>
  </r>
  <r>
    <x v="1"/>
    <x v="6"/>
    <x v="7"/>
    <x v="2"/>
    <n v="0.85399999999999998"/>
    <n v="1"/>
    <s v="DOWN"/>
    <n v="0.56999999999999995"/>
    <n v="-3.7667071688942927E-2"/>
    <n v="-2.6703176088529658E-2"/>
    <n v="0.34089784338901952"/>
    <n v="-3.2161821534029751E-2"/>
    <n v="0"/>
    <x v="1035"/>
    <n v="1"/>
    <x v="2"/>
    <x v="0"/>
    <n v="1"/>
    <n v="0"/>
    <n v="0"/>
    <x v="1"/>
    <x v="0"/>
    <s v="Normal"/>
    <s v="Allowed"/>
    <m/>
    <m/>
    <m/>
  </r>
  <r>
    <x v="1"/>
    <x v="6"/>
    <x v="7"/>
    <x v="3"/>
    <n v="0.84499999999999997"/>
    <n v="0"/>
    <s v="DOWN"/>
    <n v="0.56999999999999995"/>
    <n v="1.053864168618268E-2"/>
    <n v="-2.6703176088529658E-2"/>
    <n v="0.34089784338901952"/>
    <n v="0.10924626980468577"/>
    <n v="0"/>
    <x v="1036"/>
    <n v="2"/>
    <x v="1"/>
    <x v="0"/>
    <n v="1"/>
    <n v="0"/>
    <n v="0"/>
    <x v="0"/>
    <x v="0"/>
    <s v="Normal"/>
    <s v="Allowed"/>
    <m/>
    <m/>
    <m/>
  </r>
  <r>
    <x v="1"/>
    <x v="6"/>
    <x v="7"/>
    <x v="4"/>
    <n v="0.85099999999999998"/>
    <n v="1"/>
    <s v="DOWN"/>
    <n v="0.56999999999999995"/>
    <n v="-7.100591715976338E-3"/>
    <n v="-2.6703176088529658E-2"/>
    <n v="0.34089784338901952"/>
    <n v="5.7502811333962019E-2"/>
    <n v="0"/>
    <x v="1037"/>
    <n v="2"/>
    <x v="0"/>
    <x v="0"/>
    <n v="0"/>
    <n v="0"/>
    <n v="0"/>
    <x v="1"/>
    <x v="0"/>
    <s v="Normal"/>
    <s v="Allowed"/>
    <m/>
    <m/>
    <m/>
  </r>
  <r>
    <x v="1"/>
    <x v="6"/>
    <x v="7"/>
    <x v="5"/>
    <n v="0.85499999999999998"/>
    <n v="1"/>
    <s v="DOWN"/>
    <n v="0.56999999999999995"/>
    <n v="-4.7003525264394871E-3"/>
    <n v="-2.6703176088529658E-2"/>
    <n v="0.34089784338901952"/>
    <n v="6.4543745256203905E-2"/>
    <n v="0"/>
    <x v="1038"/>
    <n v="3"/>
    <x v="2"/>
    <x v="0"/>
    <n v="1"/>
    <n v="0"/>
    <n v="0"/>
    <x v="1"/>
    <x v="0"/>
    <s v="Normal"/>
    <s v="Allowed"/>
    <m/>
    <m/>
    <m/>
  </r>
  <r>
    <x v="1"/>
    <x v="6"/>
    <x v="7"/>
    <x v="6"/>
    <n v="0.86899999999999999"/>
    <n v="1"/>
    <s v="DOWN"/>
    <n v="0.56999999999999995"/>
    <n v="-1.6374269005847968E-2"/>
    <n v="-2.6703176088529658E-2"/>
    <n v="0.34089784338901952"/>
    <n v="3.0299127093317332E-2"/>
    <n v="0"/>
    <x v="1039"/>
    <n v="4"/>
    <x v="2"/>
    <x v="0"/>
    <n v="1"/>
    <n v="0"/>
    <n v="0"/>
    <x v="1"/>
    <x v="0"/>
    <s v="Normal"/>
    <s v="Allowed"/>
    <m/>
    <m/>
    <m/>
  </r>
  <r>
    <x v="1"/>
    <x v="6"/>
    <x v="7"/>
    <x v="7"/>
    <n v="0.82599999999999996"/>
    <n v="0"/>
    <s v="DOWN"/>
    <n v="0.56999999999999995"/>
    <n v="4.9482163406214093E-2"/>
    <n v="-2.6703176088529658E-2"/>
    <n v="0.34089784338901952"/>
    <n v="0.22348436920970477"/>
    <n v="0"/>
    <x v="1040"/>
    <n v="5"/>
    <x v="1"/>
    <x v="0"/>
    <n v="1"/>
    <n v="0"/>
    <n v="0"/>
    <x v="0"/>
    <x v="0"/>
    <s v="Normal"/>
    <s v="Maxed Out"/>
    <m/>
    <m/>
    <m/>
  </r>
  <r>
    <x v="1"/>
    <x v="6"/>
    <x v="7"/>
    <x v="8"/>
    <n v="0.871"/>
    <n v="1"/>
    <s v="DOWN"/>
    <n v="0.56999999999999995"/>
    <n v="-5.4479418886198602E-2"/>
    <n v="-2.6703176088529658E-2"/>
    <n v="0.34089784338901952"/>
    <n v="-8.1479667109456491E-2"/>
    <n v="0"/>
    <x v="1041"/>
    <n v="5"/>
    <x v="0"/>
    <x v="0"/>
    <n v="0"/>
    <n v="0"/>
    <n v="0"/>
    <x v="1"/>
    <x v="0"/>
    <s v="Normal"/>
    <s v="Maxed Out"/>
    <m/>
    <m/>
    <m/>
  </r>
  <r>
    <x v="1"/>
    <x v="6"/>
    <x v="7"/>
    <x v="9"/>
    <n v="0.85799999999999998"/>
    <n v="1"/>
    <s v="DOWN"/>
    <n v="0.56999999999999995"/>
    <n v="1.492537313432837E-2"/>
    <n v="-2.6703176088529658E-2"/>
    <n v="0.34089784338901952"/>
    <n v="0.12211443994191869"/>
    <n v="0"/>
    <x v="1042"/>
    <n v="6"/>
    <x v="1"/>
    <x v="0"/>
    <n v="1"/>
    <n v="0"/>
    <n v="0"/>
    <x v="0"/>
    <x v="0"/>
    <s v="Normal"/>
    <s v="Maxed Out"/>
    <m/>
    <m/>
    <m/>
  </r>
  <r>
    <x v="1"/>
    <x v="6"/>
    <x v="7"/>
    <x v="10"/>
    <n v="0.86199999999999999"/>
    <n v="1"/>
    <s v="DOWN"/>
    <n v="0.56999999999999995"/>
    <n v="-4.6620046620046663E-3"/>
    <n v="-2.6703176088529658E-2"/>
    <n v="0.34089784338901952"/>
    <n v="6.4656236036590153E-2"/>
    <n v="0"/>
    <x v="1043"/>
    <n v="7"/>
    <x v="2"/>
    <x v="0"/>
    <n v="1"/>
    <n v="0"/>
    <n v="0"/>
    <x v="1"/>
    <x v="0"/>
    <s v="Normal"/>
    <s v="Maxed Out"/>
    <m/>
    <m/>
    <m/>
  </r>
  <r>
    <x v="1"/>
    <x v="6"/>
    <x v="7"/>
    <x v="11"/>
    <n v="0.71"/>
    <n v="1"/>
    <s v="DOWN"/>
    <n v="0.56999999999999995"/>
    <n v="0.1763341067285383"/>
    <n v="-2.6703176088529658E-2"/>
    <n v="0.34089784338901952"/>
    <n v="0.59559567992153473"/>
    <n v="-1"/>
    <x v="1044"/>
    <n v="8"/>
    <x v="1"/>
    <x v="0"/>
    <n v="1"/>
    <n v="0"/>
    <n v="0"/>
    <x v="0"/>
    <x v="0"/>
    <s v="Normal"/>
    <s v="Maxed Out"/>
    <m/>
    <m/>
    <m/>
  </r>
  <r>
    <x v="1"/>
    <x v="6"/>
    <x v="7"/>
    <x v="12"/>
    <n v="0.75"/>
    <n v="1"/>
    <s v="DOWN"/>
    <n v="0.56999999999999995"/>
    <n v="-5.6338028169014127E-2"/>
    <n v="-2.6703176088529658E-2"/>
    <n v="0.34089784338901952"/>
    <n v="-8.6931767552035563E-2"/>
    <n v="0"/>
    <x v="109"/>
    <n v="9"/>
    <x v="2"/>
    <x v="0"/>
    <n v="1"/>
    <n v="0"/>
    <n v="0"/>
    <x v="1"/>
    <x v="0"/>
    <s v="Normal"/>
    <s v="Maxed Out"/>
    <m/>
    <m/>
    <m/>
  </r>
  <r>
    <x v="1"/>
    <x v="6"/>
    <x v="7"/>
    <x v="13"/>
    <n v="0.65"/>
    <n v="1"/>
    <s v="DOWN"/>
    <n v="0.56999999999999995"/>
    <n v="0.1333333333333333"/>
    <n v="-2.6703176088529658E-2"/>
    <n v="0.34089784338901952"/>
    <n v="0.46945591626766453"/>
    <n v="0"/>
    <x v="295"/>
    <n v="10"/>
    <x v="1"/>
    <x v="0"/>
    <n v="1"/>
    <n v="0"/>
    <n v="0"/>
    <x v="0"/>
    <x v="0"/>
    <s v="Normal"/>
    <s v="Maxed Out"/>
    <m/>
    <m/>
    <m/>
  </r>
  <r>
    <x v="1"/>
    <x v="6"/>
    <x v="7"/>
    <x v="14"/>
    <n v="0.65"/>
    <n v="1"/>
    <s v="DOWN"/>
    <n v="0.56999999999999995"/>
    <n v="0"/>
    <n v="-2.6703176088529658E-2"/>
    <n v="0.34089784338901952"/>
    <n v="7.8331900909261606E-2"/>
    <n v="0"/>
    <x v="295"/>
    <n v="11"/>
    <x v="2"/>
    <x v="0"/>
    <n v="1"/>
    <n v="0"/>
    <n v="0"/>
    <x v="1"/>
    <x v="0"/>
    <s v="Normal"/>
    <s v="Maxed Out"/>
    <m/>
    <m/>
    <m/>
  </r>
  <r>
    <x v="2"/>
    <x v="6"/>
    <x v="8"/>
    <x v="0"/>
    <n v="0.72109999999999996"/>
    <n v="1"/>
    <s v="UP"/>
    <n v="0.85"/>
    <n v="-1.569751569751579E-2"/>
    <n v="4.5902054585511267E-3"/>
    <n v="7.1528610508022367E-2"/>
    <n v="-0.28363085780607367"/>
    <n v="0"/>
    <x v="1045"/>
    <n v="0"/>
    <x v="2"/>
    <x v="0"/>
    <n v="1"/>
    <n v="0"/>
    <n v="0"/>
    <x v="1"/>
    <x v="0"/>
    <s v="Normal"/>
    <s v="Allowed"/>
    <m/>
    <m/>
    <m/>
  </r>
  <r>
    <x v="2"/>
    <x v="6"/>
    <x v="8"/>
    <x v="1"/>
    <n v="0.75319999999999998"/>
    <n v="1"/>
    <s v="UP"/>
    <n v="0.85"/>
    <n v="4.4515323810844568E-2"/>
    <n v="4.5902054585511267E-3"/>
    <n v="7.1528610508022367E-2"/>
    <n v="0.55816991367133573"/>
    <n v="-1"/>
    <x v="1046"/>
    <n v="1"/>
    <x v="1"/>
    <x v="0"/>
    <n v="1"/>
    <n v="0"/>
    <n v="0"/>
    <x v="0"/>
    <x v="0"/>
    <s v="Normal"/>
    <s v="Allowed"/>
    <m/>
    <m/>
    <m/>
  </r>
  <r>
    <x v="2"/>
    <x v="6"/>
    <x v="8"/>
    <x v="2"/>
    <n v="0.83199999999999996"/>
    <n v="0"/>
    <s v="UP"/>
    <n v="0.85"/>
    <n v="0.1046202867764206"/>
    <n v="4.5902054585511267E-3"/>
    <n v="7.1528610508022367E-2"/>
    <n v="1.3984625257979881"/>
    <n v="-1"/>
    <x v="1047"/>
    <n v="2"/>
    <x v="1"/>
    <x v="0"/>
    <n v="1"/>
    <n v="0"/>
    <n v="0"/>
    <x v="0"/>
    <x v="0"/>
    <s v="Normal"/>
    <s v="Allowed"/>
    <m/>
    <m/>
    <m/>
  </r>
  <r>
    <x v="2"/>
    <x v="6"/>
    <x v="8"/>
    <x v="3"/>
    <n v="0.84209999999999996"/>
    <n v="0"/>
    <s v="UP"/>
    <n v="0.85"/>
    <n v="1.2139423076923081E-2"/>
    <n v="4.5902054585511267E-3"/>
    <n v="7.1528610508022367E-2"/>
    <n v="0.10554123119063334"/>
    <n v="0"/>
    <x v="761"/>
    <n v="2"/>
    <x v="0"/>
    <x v="0"/>
    <n v="0"/>
    <n v="0"/>
    <n v="0"/>
    <x v="0"/>
    <x v="1"/>
    <s v="Normal"/>
    <s v="Allowed"/>
    <m/>
    <m/>
    <m/>
  </r>
  <r>
    <x v="2"/>
    <x v="6"/>
    <x v="8"/>
    <x v="4"/>
    <n v="0.86270000000000002"/>
    <n v="1"/>
    <s v="UP"/>
    <n v="0.85"/>
    <n v="2.4462652891580651E-2"/>
    <n v="4.5902054585511267E-3"/>
    <n v="7.1528610508022367E-2"/>
    <n v="0.27782515684127135"/>
    <n v="0"/>
    <x v="1048"/>
    <n v="2"/>
    <x v="0"/>
    <x v="0"/>
    <n v="0"/>
    <n v="0"/>
    <n v="0"/>
    <x v="0"/>
    <x v="1"/>
    <s v="Normal"/>
    <s v="Allowed"/>
    <m/>
    <m/>
    <m/>
  </r>
  <r>
    <x v="2"/>
    <x v="6"/>
    <x v="8"/>
    <x v="5"/>
    <n v="0.82530000000000003"/>
    <n v="1"/>
    <s v="UP"/>
    <n v="0.85"/>
    <n v="-4.3352266141184641E-2"/>
    <n v="4.5902054585511267E-3"/>
    <n v="7.1528610508022367E-2"/>
    <n v="-0.67025587746260962"/>
    <n v="1"/>
    <x v="1049"/>
    <n v="3"/>
    <x v="2"/>
    <x v="1"/>
    <n v="1"/>
    <n v="1"/>
    <n v="1"/>
    <x v="1"/>
    <x v="0"/>
    <s v="Abnormal"/>
    <s v="Allowed"/>
    <m/>
    <m/>
    <m/>
  </r>
  <r>
    <x v="2"/>
    <x v="6"/>
    <x v="8"/>
    <x v="6"/>
    <n v="0.72340000000000004"/>
    <n v="1"/>
    <s v="UP"/>
    <n v="0.85"/>
    <n v="-0.12347025324124559"/>
    <n v="4.5902054585511267E-3"/>
    <n v="7.1528610508022367E-2"/>
    <n v="-1.7903389677258439"/>
    <n v="1"/>
    <x v="1050"/>
    <n v="4"/>
    <x v="2"/>
    <x v="1"/>
    <n v="1"/>
    <n v="1"/>
    <n v="1"/>
    <x v="1"/>
    <x v="0"/>
    <s v="Abnormal"/>
    <s v="Allowed"/>
    <m/>
    <m/>
    <m/>
  </r>
  <r>
    <x v="2"/>
    <x v="6"/>
    <x v="8"/>
    <x v="7"/>
    <n v="0.69440000000000002"/>
    <n v="1"/>
    <s v="UP"/>
    <n v="0.85"/>
    <n v="-4.0088471108653607E-2"/>
    <n v="4.5902054585511267E-3"/>
    <n v="7.1528610508022367E-2"/>
    <n v="-0.62462665288589314"/>
    <n v="1"/>
    <x v="1051"/>
    <n v="5"/>
    <x v="2"/>
    <x v="2"/>
    <n v="1"/>
    <n v="-1"/>
    <n v="0"/>
    <x v="1"/>
    <x v="0"/>
    <s v="Abnormal"/>
    <s v="Maxed Out"/>
    <m/>
    <m/>
    <m/>
  </r>
  <r>
    <x v="2"/>
    <x v="6"/>
    <x v="8"/>
    <x v="8"/>
    <n v="0.79059999999999997"/>
    <n v="1"/>
    <s v="UP"/>
    <n v="0.85"/>
    <n v="0.1385368663594469"/>
    <n v="4.5902054585511267E-3"/>
    <n v="7.1528610508022367E-2"/>
    <n v="1.8726305453098777"/>
    <n v="-1"/>
    <x v="335"/>
    <n v="6"/>
    <x v="1"/>
    <x v="0"/>
    <n v="1"/>
    <n v="0"/>
    <n v="0"/>
    <x v="0"/>
    <x v="0"/>
    <s v="Normal"/>
    <s v="Maxed Out"/>
    <m/>
    <m/>
    <m/>
  </r>
  <r>
    <x v="2"/>
    <x v="6"/>
    <x v="8"/>
    <x v="9"/>
    <n v="0.79749999999999999"/>
    <n v="1"/>
    <s v="UP"/>
    <n v="0.85"/>
    <n v="8.727548697192028E-3"/>
    <n v="4.5902054585511267E-3"/>
    <n v="7.1528610508022367E-2"/>
    <n v="5.7841795181759796E-2"/>
    <n v="0"/>
    <x v="1052"/>
    <n v="7"/>
    <x v="1"/>
    <x v="0"/>
    <n v="1"/>
    <n v="0"/>
    <n v="0"/>
    <x v="1"/>
    <x v="0"/>
    <s v="Normal"/>
    <s v="Maxed Out"/>
    <m/>
    <m/>
    <m/>
  </r>
  <r>
    <x v="2"/>
    <x v="6"/>
    <x v="8"/>
    <x v="10"/>
    <n v="0.7974"/>
    <n v="1"/>
    <s v="UP"/>
    <n v="0.85"/>
    <n v="-1.2539184952976669E-4"/>
    <n v="4.5902054585511267E-3"/>
    <n v="7.1528610508022367E-2"/>
    <n v="-6.5926029802466396E-2"/>
    <n v="0"/>
    <x v="1053"/>
    <n v="8"/>
    <x v="2"/>
    <x v="0"/>
    <n v="1"/>
    <n v="0"/>
    <n v="0"/>
    <x v="1"/>
    <x v="0"/>
    <s v="Normal"/>
    <s v="Maxed Out"/>
    <m/>
    <m/>
    <m/>
  </r>
  <r>
    <x v="2"/>
    <x v="6"/>
    <x v="8"/>
    <x v="11"/>
    <n v="0.745"/>
    <n v="1"/>
    <s v="UP"/>
    <n v="0.85"/>
    <n v="-6.5713569099573613E-2"/>
    <n v="4.5902054585511267E-3"/>
    <n v="7.1528610508022367E-2"/>
    <n v="-0.98287627927904098"/>
    <n v="1"/>
    <x v="310"/>
    <n v="9"/>
    <x v="2"/>
    <x v="2"/>
    <n v="1"/>
    <n v="-1"/>
    <n v="0"/>
    <x v="1"/>
    <x v="0"/>
    <s v="Abnormal"/>
    <s v="Maxed Out"/>
    <m/>
    <m/>
    <m/>
  </r>
  <r>
    <x v="2"/>
    <x v="6"/>
    <x v="8"/>
    <x v="12"/>
    <n v="0.68100000000000005"/>
    <n v="1"/>
    <s v="UP"/>
    <n v="0.85"/>
    <n v="-8.5906040268456302E-2"/>
    <n v="4.5902054585511267E-3"/>
    <n v="7.1528610508022367E-2"/>
    <n v="-1.2651755022818139"/>
    <n v="1"/>
    <x v="1054"/>
    <n v="10"/>
    <x v="2"/>
    <x v="2"/>
    <n v="1"/>
    <n v="-1"/>
    <n v="0"/>
    <x v="1"/>
    <x v="0"/>
    <s v="Abnormal"/>
    <s v="Maxed Out"/>
    <m/>
    <m/>
    <m/>
  </r>
  <r>
    <x v="2"/>
    <x v="6"/>
    <x v="8"/>
    <x v="13"/>
    <n v="0.73099999999999998"/>
    <n v="1"/>
    <s v="UP"/>
    <n v="0.85"/>
    <n v="7.3421439060205471E-2"/>
    <n v="4.5902054585511267E-3"/>
    <n v="7.1528610508022367E-2"/>
    <n v="0.96228953858868127"/>
    <n v="-1"/>
    <x v="1055"/>
    <n v="11"/>
    <x v="1"/>
    <x v="0"/>
    <n v="1"/>
    <n v="0"/>
    <n v="0"/>
    <x v="0"/>
    <x v="0"/>
    <s v="Normal"/>
    <s v="Maxed Out"/>
    <m/>
    <m/>
    <m/>
  </r>
  <r>
    <x v="2"/>
    <x v="6"/>
    <x v="8"/>
    <x v="14"/>
    <n v="0.74099999999999999"/>
    <n v="1"/>
    <s v="UP"/>
    <n v="0.85"/>
    <n v="1.367989056087552E-2"/>
    <n v="4.5902054585511267E-3"/>
    <n v="7.1528610508022367E-2"/>
    <n v="0.127077613248267"/>
    <n v="0"/>
    <x v="1056"/>
    <n v="12"/>
    <x v="1"/>
    <x v="0"/>
    <n v="1"/>
    <n v="0"/>
    <n v="0"/>
    <x v="0"/>
    <x v="0"/>
    <s v="Normal"/>
    <s v="Maxed Out"/>
    <m/>
    <m/>
    <m/>
  </r>
  <r>
    <x v="2"/>
    <x v="6"/>
    <x v="8"/>
    <x v="15"/>
    <n v="0.79500000000000004"/>
    <n v="1"/>
    <s v="UP"/>
    <n v="0.85"/>
    <n v="7.2874493927125569E-2"/>
    <n v="4.5902054585511267E-3"/>
    <n v="7.1528610508022367E-2"/>
    <n v="0.95464301604063662"/>
    <n v="-1"/>
    <x v="476"/>
    <n v="13"/>
    <x v="1"/>
    <x v="0"/>
    <n v="1"/>
    <n v="0"/>
    <n v="0"/>
    <x v="0"/>
    <x v="0"/>
    <s v="Normal"/>
    <s v="Maxed Out"/>
    <m/>
    <m/>
    <m/>
  </r>
  <r>
    <x v="2"/>
    <x v="6"/>
    <x v="9"/>
    <x v="0"/>
    <n v="0.64959999999999996"/>
    <n v="0"/>
    <s v="UP"/>
    <n v="0.65"/>
    <n v="-6.8807339449541344E-2"/>
    <n v="1.2057533289701232E-2"/>
    <n v="0.17981498891186962"/>
    <n v="-0.44971152420934063"/>
    <n v="0"/>
    <x v="1057"/>
    <n v="0"/>
    <x v="0"/>
    <x v="0"/>
    <n v="0"/>
    <n v="0"/>
    <n v="0"/>
    <x v="1"/>
    <x v="1"/>
    <s v="Normal"/>
    <s v="Allowed"/>
    <m/>
    <m/>
    <m/>
  </r>
  <r>
    <x v="2"/>
    <x v="6"/>
    <x v="9"/>
    <x v="1"/>
    <n v="0.62549999999999994"/>
    <n v="1"/>
    <s v="UP"/>
    <n v="0.65"/>
    <n v="-3.7099753694581301E-2"/>
    <n v="1.2057533289701232E-2"/>
    <n v="0.17981498891186962"/>
    <n v="-0.27337702647455797"/>
    <n v="0"/>
    <x v="1058"/>
    <n v="0"/>
    <x v="0"/>
    <x v="0"/>
    <n v="0"/>
    <n v="0"/>
    <n v="0"/>
    <x v="1"/>
    <x v="0"/>
    <s v="Normal"/>
    <s v="Allowed"/>
    <m/>
    <m/>
    <m/>
  </r>
  <r>
    <x v="2"/>
    <x v="6"/>
    <x v="9"/>
    <x v="2"/>
    <n v="0.6321"/>
    <n v="0"/>
    <s v="UP"/>
    <n v="0.65"/>
    <n v="1.0551558752997681E-2"/>
    <n v="1.2057533289701232E-2"/>
    <n v="0.17981498891186962"/>
    <n v="-8.3751334959159349E-3"/>
    <n v="0"/>
    <x v="1059"/>
    <n v="1"/>
    <x v="1"/>
    <x v="0"/>
    <n v="1"/>
    <n v="0"/>
    <n v="0"/>
    <x v="0"/>
    <x v="0"/>
    <s v="Normal"/>
    <s v="Allowed"/>
    <m/>
    <m/>
    <m/>
  </r>
  <r>
    <x v="2"/>
    <x v="6"/>
    <x v="9"/>
    <x v="3"/>
    <n v="0.64190000000000003"/>
    <n v="0"/>
    <s v="UP"/>
    <n v="0.65"/>
    <n v="1.55038759689923E-2"/>
    <n v="1.2057533289701232E-2"/>
    <n v="0.17981498891186962"/>
    <n v="1.9166047836980813E-2"/>
    <n v="0"/>
    <x v="1060"/>
    <n v="1"/>
    <x v="0"/>
    <x v="0"/>
    <n v="0"/>
    <n v="0"/>
    <n v="0"/>
    <x v="0"/>
    <x v="1"/>
    <s v="Normal"/>
    <s v="Allowed"/>
    <m/>
    <m/>
    <m/>
  </r>
  <r>
    <x v="2"/>
    <x v="6"/>
    <x v="9"/>
    <x v="4"/>
    <n v="0.64219999999999999"/>
    <n v="1"/>
    <s v="UP"/>
    <n v="0.65"/>
    <n v="4.6736251752604288E-4"/>
    <n v="1.2057533289701232E-2"/>
    <n v="0.17981498891186962"/>
    <n v="-6.4456088128758429E-2"/>
    <n v="0"/>
    <x v="1061"/>
    <n v="1"/>
    <x v="0"/>
    <x v="0"/>
    <n v="0"/>
    <n v="0"/>
    <n v="0"/>
    <x v="1"/>
    <x v="1"/>
    <s v="Normal"/>
    <s v="Allowed"/>
    <m/>
    <m/>
    <m/>
  </r>
  <r>
    <x v="2"/>
    <x v="6"/>
    <x v="9"/>
    <x v="5"/>
    <n v="0.65969999999999995"/>
    <n v="1"/>
    <s v="UP"/>
    <n v="0.65"/>
    <n v="2.7250077857365249E-2"/>
    <n v="1.2057533289701232E-2"/>
    <n v="0.17981498891186962"/>
    <n v="8.4489867388697737E-2"/>
    <n v="0"/>
    <x v="1062"/>
    <n v="2"/>
    <x v="1"/>
    <x v="0"/>
    <n v="1"/>
    <n v="0"/>
    <n v="0"/>
    <x v="0"/>
    <x v="1"/>
    <s v="Normal"/>
    <s v="Allowed"/>
    <m/>
    <m/>
    <m/>
  </r>
  <r>
    <x v="2"/>
    <x v="6"/>
    <x v="9"/>
    <x v="6"/>
    <n v="0.629"/>
    <n v="1"/>
    <s v="UP"/>
    <n v="0.65"/>
    <n v="-4.6536304380779069E-2"/>
    <n v="1.2057533289701232E-2"/>
    <n v="0.17981498891186962"/>
    <n v="-0.32585624827526549"/>
    <n v="0"/>
    <x v="1063"/>
    <n v="3"/>
    <x v="2"/>
    <x v="0"/>
    <n v="1"/>
    <n v="0"/>
    <n v="0"/>
    <x v="1"/>
    <x v="0"/>
    <s v="Normal"/>
    <s v="Allowed"/>
    <m/>
    <m/>
    <m/>
  </r>
  <r>
    <x v="2"/>
    <x v="6"/>
    <x v="9"/>
    <x v="7"/>
    <n v="0.64680000000000004"/>
    <n v="1"/>
    <s v="UP"/>
    <n v="0.65"/>
    <n v="2.8298887122416599E-2"/>
    <n v="1.2057533289701232E-2"/>
    <n v="0.17981498891186962"/>
    <n v="9.0322580620214768E-2"/>
    <n v="0"/>
    <x v="1064"/>
    <n v="4"/>
    <x v="1"/>
    <x v="0"/>
    <n v="1"/>
    <n v="0"/>
    <n v="0"/>
    <x v="0"/>
    <x v="1"/>
    <s v="Normal"/>
    <s v="Allowed"/>
    <m/>
    <m/>
    <m/>
  </r>
  <r>
    <x v="2"/>
    <x v="6"/>
    <x v="9"/>
    <x v="8"/>
    <n v="0.64900000000000002"/>
    <n v="1"/>
    <s v="UP"/>
    <n v="0.65"/>
    <n v="3.4013605442176562E-3"/>
    <n v="1.2057533289701232E-2"/>
    <n v="0.17981498891186962"/>
    <n v="-4.8139328083078289E-2"/>
    <n v="0"/>
    <x v="1065"/>
    <n v="5"/>
    <x v="1"/>
    <x v="0"/>
    <n v="1"/>
    <n v="0"/>
    <n v="0"/>
    <x v="1"/>
    <x v="1"/>
    <s v="Normal"/>
    <s v="Maxed Out"/>
    <m/>
    <m/>
    <m/>
  </r>
  <r>
    <x v="2"/>
    <x v="6"/>
    <x v="9"/>
    <x v="9"/>
    <n v="0.65359999999999996"/>
    <n v="1"/>
    <s v="UP"/>
    <n v="0.65"/>
    <n v="7.087827426810381E-3"/>
    <n v="1.2057533289701232E-2"/>
    <n v="0.17981498891186962"/>
    <n v="-2.7637884321904824E-2"/>
    <n v="0"/>
    <x v="1066"/>
    <n v="6"/>
    <x v="1"/>
    <x v="0"/>
    <n v="1"/>
    <n v="0"/>
    <n v="0"/>
    <x v="1"/>
    <x v="1"/>
    <s v="Normal"/>
    <s v="Maxed Out"/>
    <m/>
    <m/>
    <m/>
  </r>
  <r>
    <x v="2"/>
    <x v="6"/>
    <x v="9"/>
    <x v="10"/>
    <n v="0.68240000000000001"/>
    <n v="1"/>
    <s v="UP"/>
    <n v="0.65"/>
    <n v="4.4063647490820153E-2"/>
    <n v="1.2057533289701232E-2"/>
    <n v="0.17981498891186962"/>
    <n v="0.17799469551899069"/>
    <n v="0"/>
    <x v="1067"/>
    <n v="7"/>
    <x v="1"/>
    <x v="0"/>
    <n v="1"/>
    <n v="0"/>
    <n v="0"/>
    <x v="0"/>
    <x v="1"/>
    <s v="Normal"/>
    <s v="Maxed Out"/>
    <m/>
    <m/>
    <m/>
  </r>
  <r>
    <x v="2"/>
    <x v="6"/>
    <x v="9"/>
    <x v="11"/>
    <n v="0.68899999999999995"/>
    <n v="0"/>
    <s v="UP"/>
    <n v="0.65"/>
    <n v="9.6717467760843185E-3"/>
    <n v="1.2057533289701232E-2"/>
    <n v="0.17981498891186962"/>
    <n v="-1.3268006900060084E-2"/>
    <n v="0"/>
    <x v="1068"/>
    <n v="8"/>
    <x v="1"/>
    <x v="0"/>
    <n v="1"/>
    <n v="0"/>
    <n v="0"/>
    <x v="1"/>
    <x v="1"/>
    <s v="Normal"/>
    <s v="Maxed Out"/>
    <m/>
    <m/>
    <m/>
  </r>
  <r>
    <x v="2"/>
    <x v="6"/>
    <x v="9"/>
    <x v="12"/>
    <n v="0.67400000000000004"/>
    <n v="0"/>
    <s v="UP"/>
    <n v="0.65"/>
    <n v="-2.17706821480405E-2"/>
    <n v="1.2057533289701232E-2"/>
    <n v="0.17981498891186962"/>
    <n v="-0.18812789546883391"/>
    <n v="0"/>
    <x v="1069"/>
    <n v="8"/>
    <x v="0"/>
    <x v="0"/>
    <n v="0"/>
    <n v="0"/>
    <n v="0"/>
    <x v="1"/>
    <x v="1"/>
    <s v="Normal"/>
    <s v="Maxed Out"/>
    <m/>
    <m/>
    <m/>
  </r>
  <r>
    <x v="2"/>
    <x v="6"/>
    <x v="9"/>
    <x v="13"/>
    <n v="0.64800000000000002"/>
    <n v="0"/>
    <s v="UP"/>
    <n v="0.65"/>
    <n v="-3.8575667655786378E-2"/>
    <n v="1.2057533289701232E-2"/>
    <n v="0.17981498891186962"/>
    <n v="-0.28158498494418505"/>
    <n v="0"/>
    <x v="1070"/>
    <n v="8"/>
    <x v="0"/>
    <x v="0"/>
    <n v="0"/>
    <n v="0"/>
    <n v="0"/>
    <x v="1"/>
    <x v="1"/>
    <s v="Normal"/>
    <s v="Maxed Out"/>
    <m/>
    <m/>
    <m/>
  </r>
  <r>
    <x v="2"/>
    <x v="6"/>
    <x v="9"/>
    <x v="14"/>
    <n v="0.68"/>
    <n v="0"/>
    <s v="UP"/>
    <n v="0.65"/>
    <n v="4.9382716049382748E-2"/>
    <n v="1.2057533289701232E-2"/>
    <n v="0.17981498891186962"/>
    <n v="0.20757548069574569"/>
    <n v="0"/>
    <x v="135"/>
    <n v="8"/>
    <x v="0"/>
    <x v="0"/>
    <n v="0"/>
    <n v="0"/>
    <n v="0"/>
    <x v="0"/>
    <x v="1"/>
    <s v="Normal"/>
    <s v="Maxed Out"/>
    <m/>
    <m/>
    <m/>
  </r>
  <r>
    <x v="2"/>
    <x v="6"/>
    <x v="9"/>
    <x v="15"/>
    <n v="0.69099999999999995"/>
    <n v="0"/>
    <s v="UP"/>
    <n v="0.65"/>
    <n v="1.617647058823514E-2"/>
    <n v="1.2057533289701232E-2"/>
    <n v="0.17981498891186962"/>
    <n v="2.290652922461691E-2"/>
    <n v="0"/>
    <x v="1071"/>
    <n v="8"/>
    <x v="0"/>
    <x v="0"/>
    <n v="0"/>
    <n v="0"/>
    <n v="0"/>
    <x v="0"/>
    <x v="1"/>
    <s v="Normal"/>
    <s v="Maxed Out"/>
    <m/>
    <m/>
    <m/>
  </r>
  <r>
    <x v="2"/>
    <x v="6"/>
    <x v="10"/>
    <x v="0"/>
    <n v="0.83779999999999999"/>
    <n v="1"/>
    <s v="UP"/>
    <n v="0.85"/>
    <n v="-7.2283445905912957E-3"/>
    <n v="1.8209321594669165E-2"/>
    <n v="0.22834931756330515"/>
    <n v="-0.11139803900753235"/>
    <n v="0"/>
    <x v="1072"/>
    <n v="0"/>
    <x v="0"/>
    <x v="0"/>
    <n v="0"/>
    <n v="0"/>
    <n v="0"/>
    <x v="1"/>
    <x v="1"/>
    <s v="Normal"/>
    <s v="Allowed"/>
    <m/>
    <m/>
    <m/>
  </r>
  <r>
    <x v="2"/>
    <x v="6"/>
    <x v="10"/>
    <x v="1"/>
    <n v="0.82869999999999999"/>
    <n v="1"/>
    <s v="UP"/>
    <n v="0.85"/>
    <n v="-1.086178085461924E-2"/>
    <n v="1.8209321594669165E-2"/>
    <n v="0.22834931756330515"/>
    <n v="-0.12730978467333953"/>
    <n v="0"/>
    <x v="1073"/>
    <n v="1"/>
    <x v="2"/>
    <x v="0"/>
    <n v="1"/>
    <n v="0"/>
    <n v="0"/>
    <x v="1"/>
    <x v="0"/>
    <s v="Normal"/>
    <s v="Allowed"/>
    <m/>
    <m/>
    <m/>
  </r>
  <r>
    <x v="2"/>
    <x v="6"/>
    <x v="10"/>
    <x v="2"/>
    <n v="0.82720000000000005"/>
    <n v="1"/>
    <s v="UP"/>
    <n v="0.85"/>
    <n v="-1.810063955593032E-3"/>
    <n v="1.8209321594669165E-2"/>
    <n v="0.22834931756330515"/>
    <n v="-8.7670003851499298E-2"/>
    <n v="0"/>
    <x v="1074"/>
    <n v="2"/>
    <x v="2"/>
    <x v="0"/>
    <n v="1"/>
    <n v="0"/>
    <n v="0"/>
    <x v="1"/>
    <x v="0"/>
    <s v="Normal"/>
    <s v="Allowed"/>
    <m/>
    <m/>
    <m/>
  </r>
  <r>
    <x v="2"/>
    <x v="6"/>
    <x v="10"/>
    <x v="3"/>
    <n v="0.81679999999999997"/>
    <n v="0"/>
    <s v="UP"/>
    <n v="0.85"/>
    <n v="-1.257253384912969E-2"/>
    <n v="1.8209321594669165E-2"/>
    <n v="0.22834931756330515"/>
    <n v="-0.13480160909727798"/>
    <n v="0"/>
    <x v="1075"/>
    <n v="3"/>
    <x v="2"/>
    <x v="0"/>
    <n v="1"/>
    <n v="0"/>
    <n v="0"/>
    <x v="1"/>
    <x v="0"/>
    <s v="Normal"/>
    <s v="Allowed"/>
    <m/>
    <m/>
    <m/>
  </r>
  <r>
    <x v="2"/>
    <x v="6"/>
    <x v="10"/>
    <x v="4"/>
    <n v="0.83979999999999999"/>
    <n v="1"/>
    <s v="UP"/>
    <n v="0.85"/>
    <n v="2.8158667972575931E-2"/>
    <n v="1.8209321594669165E-2"/>
    <n v="0.22834931756330515"/>
    <n v="4.3570729635084259E-2"/>
    <n v="0"/>
    <x v="1076"/>
    <n v="3"/>
    <x v="0"/>
    <x v="0"/>
    <n v="0"/>
    <n v="0"/>
    <n v="0"/>
    <x v="0"/>
    <x v="1"/>
    <s v="Normal"/>
    <s v="Allowed"/>
    <m/>
    <m/>
    <m/>
  </r>
  <r>
    <x v="2"/>
    <x v="6"/>
    <x v="10"/>
    <x v="5"/>
    <n v="0.83919999999999995"/>
    <n v="1"/>
    <s v="UP"/>
    <n v="0.85"/>
    <n v="-7.144558228150095E-4"/>
    <n v="1.8209321594669165E-2"/>
    <n v="0.22834931756330515"/>
    <n v="-8.287205593350612E-2"/>
    <n v="0"/>
    <x v="1077"/>
    <n v="4"/>
    <x v="2"/>
    <x v="0"/>
    <n v="1"/>
    <n v="0"/>
    <n v="0"/>
    <x v="1"/>
    <x v="1"/>
    <s v="Normal"/>
    <s v="Allowed"/>
    <m/>
    <m/>
    <m/>
  </r>
  <r>
    <x v="2"/>
    <x v="6"/>
    <x v="10"/>
    <x v="6"/>
    <n v="0.82450000000000001"/>
    <n v="1"/>
    <s v="UP"/>
    <n v="0.85"/>
    <n v="-1.751668255481403E-2"/>
    <n v="1.8209321594669165E-2"/>
    <n v="0.22834931756330515"/>
    <n v="-0.1564532994042292"/>
    <n v="0"/>
    <x v="1078"/>
    <n v="5"/>
    <x v="2"/>
    <x v="0"/>
    <n v="1"/>
    <n v="0"/>
    <n v="0"/>
    <x v="1"/>
    <x v="0"/>
    <s v="Normal"/>
    <s v="Maxed Out"/>
    <m/>
    <m/>
    <m/>
  </r>
  <r>
    <x v="2"/>
    <x v="6"/>
    <x v="10"/>
    <x v="7"/>
    <n v="0.84240000000000004"/>
    <n v="1"/>
    <s v="UP"/>
    <n v="0.85"/>
    <n v="2.171012734990907E-2"/>
    <n v="1.8209321594669165E-2"/>
    <n v="0.22834931756330515"/>
    <n v="1.5330922783552345E-2"/>
    <n v="0"/>
    <x v="1079"/>
    <n v="6"/>
    <x v="1"/>
    <x v="0"/>
    <n v="1"/>
    <n v="0"/>
    <n v="0"/>
    <x v="0"/>
    <x v="1"/>
    <s v="Normal"/>
    <s v="Maxed Out"/>
    <m/>
    <m/>
    <m/>
  </r>
  <r>
    <x v="2"/>
    <x v="6"/>
    <x v="10"/>
    <x v="8"/>
    <n v="0.84750000000000003"/>
    <n v="1"/>
    <s v="UP"/>
    <n v="0.85"/>
    <n v="6.0541310541310459E-3"/>
    <n v="1.8209321594669165E-2"/>
    <n v="0.22834931756330515"/>
    <n v="-5.3230684769479737E-2"/>
    <n v="0"/>
    <x v="1080"/>
    <n v="7"/>
    <x v="1"/>
    <x v="0"/>
    <n v="1"/>
    <n v="0"/>
    <n v="0"/>
    <x v="1"/>
    <x v="1"/>
    <s v="Normal"/>
    <s v="Maxed Out"/>
    <m/>
    <m/>
    <m/>
  </r>
  <r>
    <x v="2"/>
    <x v="6"/>
    <x v="10"/>
    <x v="9"/>
    <n v="0.79479999999999995"/>
    <n v="1"/>
    <s v="UP"/>
    <n v="0.85"/>
    <n v="-6.2182890855457321E-2"/>
    <n v="1.8209321594669165E-2"/>
    <n v="0.22834931756330515"/>
    <n v="-0.35205803681825937"/>
    <n v="0"/>
    <x v="334"/>
    <n v="8"/>
    <x v="2"/>
    <x v="0"/>
    <n v="1"/>
    <n v="0"/>
    <n v="0"/>
    <x v="1"/>
    <x v="0"/>
    <s v="Normal"/>
    <s v="Maxed Out"/>
    <m/>
    <m/>
    <m/>
  </r>
  <r>
    <x v="2"/>
    <x v="6"/>
    <x v="10"/>
    <x v="10"/>
    <n v="0.85229999999999995"/>
    <n v="1"/>
    <s v="UP"/>
    <n v="0.85"/>
    <n v="7.2345244086562663E-2"/>
    <n v="1.8209321594669165E-2"/>
    <n v="0.22834931756330515"/>
    <n v="0.23707503516793052"/>
    <n v="0"/>
    <x v="1081"/>
    <n v="9"/>
    <x v="1"/>
    <x v="0"/>
    <n v="1"/>
    <n v="0"/>
    <n v="0"/>
    <x v="0"/>
    <x v="1"/>
    <s v="Normal"/>
    <s v="Maxed Out"/>
    <m/>
    <m/>
    <m/>
  </r>
  <r>
    <x v="2"/>
    <x v="6"/>
    <x v="10"/>
    <x v="11"/>
    <n v="0.81499999999999995"/>
    <n v="0"/>
    <s v="UP"/>
    <n v="0.85"/>
    <n v="-4.3763932887480927E-2"/>
    <n v="1.8209321594669165E-2"/>
    <n v="0.22834931756330515"/>
    <n v="-0.27139671422477224"/>
    <n v="0"/>
    <x v="1082"/>
    <n v="10"/>
    <x v="2"/>
    <x v="0"/>
    <n v="1"/>
    <n v="0"/>
    <n v="0"/>
    <x v="1"/>
    <x v="0"/>
    <s v="Normal"/>
    <s v="Maxed Out"/>
    <m/>
    <m/>
    <m/>
  </r>
  <r>
    <x v="2"/>
    <x v="6"/>
    <x v="10"/>
    <x v="12"/>
    <n v="0.84099999999999997"/>
    <n v="0"/>
    <s v="UP"/>
    <n v="0.85"/>
    <n v="3.1901840490797577E-2"/>
    <n v="1.8209321594669165E-2"/>
    <n v="0.22834931756330515"/>
    <n v="5.9963038393282882E-2"/>
    <n v="0"/>
    <x v="1083"/>
    <n v="10"/>
    <x v="0"/>
    <x v="0"/>
    <n v="0"/>
    <n v="0"/>
    <n v="0"/>
    <x v="0"/>
    <x v="1"/>
    <s v="Normal"/>
    <s v="Maxed Out"/>
    <m/>
    <m/>
    <m/>
  </r>
  <r>
    <x v="2"/>
    <x v="6"/>
    <x v="10"/>
    <x v="13"/>
    <n v="0.80600000000000005"/>
    <n v="1"/>
    <s v="UP"/>
    <n v="0.85"/>
    <n v="-4.1617122473246039E-2"/>
    <n v="1.8209321594669165E-2"/>
    <n v="0.22834931756330515"/>
    <n v="-0.26199528295647112"/>
    <n v="0"/>
    <x v="1084"/>
    <n v="10"/>
    <x v="0"/>
    <x v="0"/>
    <n v="0"/>
    <n v="0"/>
    <n v="0"/>
    <x v="1"/>
    <x v="0"/>
    <s v="Normal"/>
    <s v="Maxed Out"/>
    <m/>
    <m/>
    <m/>
  </r>
  <r>
    <x v="2"/>
    <x v="6"/>
    <x v="10"/>
    <x v="14"/>
    <n v="0.85199999999999998"/>
    <n v="0"/>
    <s v="UP"/>
    <n v="0.85"/>
    <n v="5.7071960297766663E-2"/>
    <n v="1.8209321594669165E-2"/>
    <n v="0.22834931756330515"/>
    <n v="0.17018942345787233"/>
    <n v="0"/>
    <x v="1085"/>
    <n v="11"/>
    <x v="1"/>
    <x v="0"/>
    <n v="1"/>
    <n v="0"/>
    <n v="0"/>
    <x v="0"/>
    <x v="1"/>
    <s v="Normal"/>
    <s v="Maxed Out"/>
    <m/>
    <m/>
    <m/>
  </r>
  <r>
    <x v="2"/>
    <x v="6"/>
    <x v="10"/>
    <x v="15"/>
    <n v="0.79900000000000004"/>
    <n v="0"/>
    <s v="UP"/>
    <n v="0.85"/>
    <n v="-6.2206572769952978E-2"/>
    <n v="1.8209321594669165E-2"/>
    <n v="0.22834931756330515"/>
    <n v="-0.35216174597206096"/>
    <n v="0"/>
    <x v="1086"/>
    <n v="11"/>
    <x v="0"/>
    <x v="0"/>
    <n v="0"/>
    <n v="0"/>
    <n v="0"/>
    <x v="1"/>
    <x v="0"/>
    <s v="Normal"/>
    <s v="Maxed Out"/>
    <m/>
    <m/>
    <m/>
  </r>
  <r>
    <x v="2"/>
    <x v="6"/>
    <x v="11"/>
    <x v="0"/>
    <n v="0.67390000000000005"/>
    <n v="0"/>
    <s v="UP"/>
    <n v="0.7"/>
    <n v="-5.7877813504823128E-2"/>
    <n v="1.9288787744816144E-2"/>
    <n v="0.27585788879837708"/>
    <n v="-0.27973316835626144"/>
    <n v="0"/>
    <x v="1087"/>
    <n v="0"/>
    <x v="0"/>
    <x v="0"/>
    <n v="0"/>
    <n v="0"/>
    <n v="0"/>
    <x v="1"/>
    <x v="0"/>
    <s v="Normal"/>
    <s v="Allowed"/>
    <m/>
    <m/>
    <m/>
  </r>
  <r>
    <x v="2"/>
    <x v="6"/>
    <x v="11"/>
    <x v="1"/>
    <n v="0.66790000000000005"/>
    <n v="1"/>
    <s v="UP"/>
    <n v="0.7"/>
    <n v="-8.9033981302863996E-3"/>
    <n v="1.9288787744816144E-2"/>
    <n v="0.27585788879837708"/>
    <n v="-0.10219822241773208"/>
    <n v="0"/>
    <x v="1088"/>
    <n v="0"/>
    <x v="0"/>
    <x v="0"/>
    <n v="0"/>
    <n v="0"/>
    <n v="0"/>
    <x v="1"/>
    <x v="0"/>
    <s v="Normal"/>
    <s v="Allowed"/>
    <m/>
    <m/>
    <m/>
  </r>
  <r>
    <x v="2"/>
    <x v="6"/>
    <x v="11"/>
    <x v="2"/>
    <n v="0.70789999999999997"/>
    <n v="0"/>
    <s v="UP"/>
    <n v="0.7"/>
    <n v="5.9889204970803897E-2"/>
    <n v="1.9288787744816144E-2"/>
    <n v="0.27585788879837708"/>
    <n v="0.14717874265927686"/>
    <n v="0"/>
    <x v="1089"/>
    <n v="1"/>
    <x v="1"/>
    <x v="0"/>
    <n v="1"/>
    <n v="0"/>
    <n v="0"/>
    <x v="0"/>
    <x v="1"/>
    <s v="Normal"/>
    <s v="Allowed"/>
    <m/>
    <m/>
    <m/>
  </r>
  <r>
    <x v="2"/>
    <x v="6"/>
    <x v="11"/>
    <x v="3"/>
    <n v="0.72589999999999999"/>
    <n v="0"/>
    <s v="UP"/>
    <n v="0.7"/>
    <n v="2.5427320242972191E-2"/>
    <n v="1.9288787744816144E-2"/>
    <n v="0.27585788879837708"/>
    <n v="2.2252517500569519E-2"/>
    <n v="0"/>
    <x v="1090"/>
    <n v="1"/>
    <x v="0"/>
    <x v="0"/>
    <n v="0"/>
    <n v="0"/>
    <n v="0"/>
    <x v="0"/>
    <x v="1"/>
    <s v="Normal"/>
    <s v="Allowed"/>
    <m/>
    <m/>
    <m/>
  </r>
  <r>
    <x v="2"/>
    <x v="6"/>
    <x v="11"/>
    <x v="4"/>
    <n v="0.70020000000000004"/>
    <n v="1"/>
    <s v="UP"/>
    <n v="0.7"/>
    <n v="-3.5404325664692031E-2"/>
    <n v="1.9288787744816144E-2"/>
    <n v="0.27585788879837708"/>
    <n v="-0.19826554044819453"/>
    <n v="0"/>
    <x v="1091"/>
    <n v="1"/>
    <x v="0"/>
    <x v="0"/>
    <n v="0"/>
    <n v="0"/>
    <n v="0"/>
    <x v="1"/>
    <x v="1"/>
    <s v="Normal"/>
    <s v="Allowed"/>
    <m/>
    <m/>
    <m/>
  </r>
  <r>
    <x v="2"/>
    <x v="6"/>
    <x v="11"/>
    <x v="5"/>
    <n v="0.6996"/>
    <n v="1"/>
    <s v="UP"/>
    <n v="0.7"/>
    <n v="-8.5689802913459711E-4"/>
    <n v="1.9288787744816144E-2"/>
    <n v="0.27585788879837708"/>
    <n v="-7.3029217550037523E-2"/>
    <n v="0"/>
    <x v="1092"/>
    <n v="2"/>
    <x v="2"/>
    <x v="0"/>
    <n v="1"/>
    <n v="0"/>
    <n v="0"/>
    <x v="1"/>
    <x v="1"/>
    <s v="Normal"/>
    <s v="Allowed"/>
    <m/>
    <m/>
    <m/>
  </r>
  <r>
    <x v="2"/>
    <x v="6"/>
    <x v="11"/>
    <x v="6"/>
    <n v="0.72540000000000004"/>
    <n v="1"/>
    <s v="UP"/>
    <n v="0.7"/>
    <n v="3.6878216123499209E-2"/>
    <n v="1.9288787744816144E-2"/>
    <n v="0.27585788879837708"/>
    <n v="6.3762644074823155E-2"/>
    <n v="0"/>
    <x v="1093"/>
    <n v="3"/>
    <x v="1"/>
    <x v="0"/>
    <n v="1"/>
    <n v="0"/>
    <n v="0"/>
    <x v="0"/>
    <x v="1"/>
    <s v="Normal"/>
    <s v="Allowed"/>
    <m/>
    <m/>
    <m/>
  </r>
  <r>
    <x v="2"/>
    <x v="6"/>
    <x v="11"/>
    <x v="7"/>
    <n v="0.74609999999999999"/>
    <n v="1"/>
    <s v="UP"/>
    <n v="0.7"/>
    <n v="2.853598014888329E-2"/>
    <n v="1.9288787744816144E-2"/>
    <n v="0.27585788879837708"/>
    <n v="3.3521580420800889E-2"/>
    <n v="0"/>
    <x v="1094"/>
    <n v="4"/>
    <x v="1"/>
    <x v="0"/>
    <n v="1"/>
    <n v="0"/>
    <n v="0"/>
    <x v="0"/>
    <x v="1"/>
    <s v="Normal"/>
    <s v="Allowed"/>
    <m/>
    <m/>
    <m/>
  </r>
  <r>
    <x v="2"/>
    <x v="6"/>
    <x v="11"/>
    <x v="8"/>
    <n v="0.75349999999999995"/>
    <n v="1"/>
    <s v="UP"/>
    <n v="0.7"/>
    <n v="9.9182415225840537E-3"/>
    <n v="1.9288787744816144E-2"/>
    <n v="0.27585788879837708"/>
    <n v="-3.3968744787577811E-2"/>
    <n v="0"/>
    <x v="1095"/>
    <n v="5"/>
    <x v="1"/>
    <x v="0"/>
    <n v="1"/>
    <n v="0"/>
    <n v="0"/>
    <x v="1"/>
    <x v="1"/>
    <s v="Normal"/>
    <s v="Maxed Out"/>
    <m/>
    <m/>
    <m/>
  </r>
  <r>
    <x v="2"/>
    <x v="6"/>
    <x v="11"/>
    <x v="9"/>
    <n v="0.73970000000000002"/>
    <n v="1"/>
    <s v="UP"/>
    <n v="0.7"/>
    <n v="-1.8314532183145219E-2"/>
    <n v="1.9288787744816144E-2"/>
    <n v="0.27585788879837708"/>
    <n v="-0.13631410032085547"/>
    <n v="0"/>
    <x v="1096"/>
    <n v="6"/>
    <x v="2"/>
    <x v="0"/>
    <n v="1"/>
    <n v="0"/>
    <n v="0"/>
    <x v="1"/>
    <x v="1"/>
    <s v="Normal"/>
    <s v="Maxed Out"/>
    <m/>
    <m/>
    <m/>
  </r>
  <r>
    <x v="2"/>
    <x v="6"/>
    <x v="11"/>
    <x v="10"/>
    <n v="0.78200000000000003"/>
    <n v="1"/>
    <s v="UP"/>
    <n v="0.7"/>
    <n v="5.7185345410301479E-2"/>
    <n v="1.9288787744816144E-2"/>
    <n v="0.27585788879837708"/>
    <n v="0.13737710322717545"/>
    <n v="0"/>
    <x v="1097"/>
    <n v="7"/>
    <x v="1"/>
    <x v="0"/>
    <n v="1"/>
    <n v="0"/>
    <n v="0"/>
    <x v="0"/>
    <x v="1"/>
    <s v="Normal"/>
    <s v="Maxed Out"/>
    <m/>
    <m/>
    <m/>
  </r>
  <r>
    <x v="2"/>
    <x v="6"/>
    <x v="11"/>
    <x v="11"/>
    <n v="0.72099999999999997"/>
    <n v="0"/>
    <s v="UP"/>
    <n v="0.7"/>
    <n v="-7.8005115089514132E-2"/>
    <n v="1.9288787744816144E-2"/>
    <n v="0.27585788879837708"/>
    <n v="-0.35269574221037348"/>
    <n v="0"/>
    <x v="356"/>
    <n v="8"/>
    <x v="2"/>
    <x v="0"/>
    <n v="1"/>
    <n v="0"/>
    <n v="0"/>
    <x v="1"/>
    <x v="1"/>
    <s v="Normal"/>
    <s v="Maxed Out"/>
    <m/>
    <m/>
    <m/>
  </r>
  <r>
    <x v="2"/>
    <x v="6"/>
    <x v="11"/>
    <x v="12"/>
    <n v="0.755"/>
    <n v="0"/>
    <s v="UP"/>
    <n v="0.7"/>
    <n v="4.7156726768377302E-2"/>
    <n v="1.9288787744816144E-2"/>
    <n v="0.27585788879837708"/>
    <n v="0.10102280976974225"/>
    <n v="0"/>
    <x v="1098"/>
    <n v="8"/>
    <x v="0"/>
    <x v="0"/>
    <n v="0"/>
    <n v="0"/>
    <n v="0"/>
    <x v="0"/>
    <x v="1"/>
    <s v="Normal"/>
    <s v="Maxed Out"/>
    <m/>
    <m/>
    <m/>
  </r>
  <r>
    <x v="2"/>
    <x v="6"/>
    <x v="11"/>
    <x v="13"/>
    <n v="0.72899999999999998"/>
    <n v="0"/>
    <s v="UP"/>
    <n v="0.7"/>
    <n v="-3.4437086092715258E-2"/>
    <n v="1.9288787744816144E-2"/>
    <n v="0.27585788879837708"/>
    <n v="-0.19475924386849536"/>
    <n v="0"/>
    <x v="1099"/>
    <n v="8"/>
    <x v="0"/>
    <x v="0"/>
    <n v="0"/>
    <n v="0"/>
    <n v="0"/>
    <x v="1"/>
    <x v="1"/>
    <s v="Normal"/>
    <s v="Maxed Out"/>
    <m/>
    <m/>
    <m/>
  </r>
  <r>
    <x v="2"/>
    <x v="6"/>
    <x v="11"/>
    <x v="14"/>
    <n v="0.75800000000000001"/>
    <n v="0"/>
    <s v="UP"/>
    <n v="0.7"/>
    <n v="3.978052126200278E-2"/>
    <n v="1.9288787744816144E-2"/>
    <n v="0.27585788879837708"/>
    <n v="7.4283659627961282E-2"/>
    <n v="0"/>
    <x v="1100"/>
    <n v="8"/>
    <x v="0"/>
    <x v="0"/>
    <n v="0"/>
    <n v="0"/>
    <n v="0"/>
    <x v="0"/>
    <x v="1"/>
    <s v="Normal"/>
    <s v="Maxed Out"/>
    <m/>
    <m/>
    <m/>
  </r>
  <r>
    <x v="2"/>
    <x v="6"/>
    <x v="11"/>
    <x v="15"/>
    <n v="0.73299999999999998"/>
    <n v="0"/>
    <s v="UP"/>
    <n v="0.7"/>
    <n v="-3.2981530343007943E-2"/>
    <n v="1.9288787744816144E-2"/>
    <n v="0.27585788879837708"/>
    <n v="-0.18948277432090463"/>
    <n v="0"/>
    <x v="937"/>
    <n v="8"/>
    <x v="0"/>
    <x v="0"/>
    <n v="0"/>
    <n v="0"/>
    <n v="0"/>
    <x v="1"/>
    <x v="1"/>
    <s v="Normal"/>
    <s v="Maxed Out"/>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BA52C1-8F47-4982-8EB8-EFC24C28FDCA}" name="PivotTable2" cacheId="60" applyNumberFormats="0" applyBorderFormats="0" applyFontFormats="0" applyPatternFormats="0" applyAlignmentFormats="0" applyWidthHeightFormats="1" dataCaption="Values" updatedVersion="8" minRefreshableVersion="3" showDrill="0" rowGrandTotals="0" colGrandTotals="0" itemPrintTitles="1" createdVersion="8" indent="0" showHeaders="0" outline="1" outlineData="1" multipleFieldFilters="0">
  <location ref="B30:R46" firstHeaderRow="1" firstDataRow="2" firstDataCol="1"/>
  <pivotFields count="30">
    <pivotField axis="axisRow" showAll="0" defaultSubtotal="0">
      <items count="3">
        <item x="0"/>
        <item x="1"/>
        <item x="2"/>
      </items>
    </pivotField>
    <pivotField showAll="0" defaultSubtotal="0">
      <items count="7">
        <item x="0"/>
        <item h="1" x="1"/>
        <item h="1" x="2"/>
        <item h="1" x="3"/>
        <item h="1" x="4"/>
        <item h="1" x="5"/>
        <item h="1" x="6"/>
      </items>
    </pivotField>
    <pivotField axis="axisRow" showAll="0" defaultSubtotal="0">
      <items count="12">
        <item x="0"/>
        <item x="1"/>
        <item x="2"/>
        <item x="3"/>
        <item x="4"/>
        <item x="5"/>
        <item x="6"/>
        <item x="7"/>
        <item x="8"/>
        <item x="9"/>
        <item x="10"/>
        <item x="11"/>
      </items>
    </pivotField>
    <pivotField axis="axisCol" numFmtId="164" showAll="0" defaultSubtotal="0">
      <items count="16">
        <item x="0"/>
        <item x="1"/>
        <item x="2"/>
        <item x="3"/>
        <item x="4"/>
        <item x="5"/>
        <item x="6"/>
        <item x="7"/>
        <item x="8"/>
        <item x="9"/>
        <item x="10"/>
        <item x="11"/>
        <item x="12"/>
        <item x="13"/>
        <item x="14"/>
        <item x="15"/>
      </items>
    </pivotField>
    <pivotField numFmtId="2" showAll="0" defaultSubtotal="0"/>
    <pivotField showAll="0" defaultSubtotal="0"/>
    <pivotField showAll="0" defaultSubtotal="0"/>
    <pivotField showAll="0" defaultSubtotal="0"/>
    <pivotField numFmtId="165" showAll="0" defaultSubtotal="0"/>
    <pivotField numFmtId="165" showAll="0" defaultSubtotal="0"/>
    <pivotField numFmtId="165" showAll="0" defaultSubtotal="0"/>
    <pivotField numFmtId="2" showAll="0" defaultSubtotal="0"/>
    <pivotField showAll="0" defaultSubtotal="0"/>
    <pivotField numFmtId="2"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items count="14">
        <item sd="0" x="0"/>
        <item x="1"/>
        <item x="2"/>
        <item x="3"/>
        <item x="4"/>
        <item x="5"/>
        <item x="6"/>
        <item x="7"/>
        <item x="8"/>
        <item x="9"/>
        <item x="10"/>
        <item x="11"/>
        <item x="12"/>
        <item sd="0" x="13"/>
      </items>
    </pivotField>
    <pivotField showAll="0" defaultSubtotal="0">
      <items count="6">
        <item sd="0" x="0"/>
        <item x="1"/>
        <item x="2"/>
        <item x="3"/>
        <item x="4"/>
        <item sd="0" x="5"/>
      </items>
    </pivotField>
    <pivotField showAll="0" defaultSubtotal="0">
      <items count="4">
        <item sd="0" x="0"/>
        <item sd="0" x="1"/>
        <item sd="0" x="2"/>
        <item sd="0" x="3"/>
      </items>
    </pivotField>
  </pivotFields>
  <rowFields count="2">
    <field x="0"/>
    <field x="2"/>
  </rowFields>
  <rowItems count="15">
    <i>
      <x/>
    </i>
    <i r="1">
      <x/>
    </i>
    <i r="1">
      <x v="1"/>
    </i>
    <i r="1">
      <x v="2"/>
    </i>
    <i r="1">
      <x v="3"/>
    </i>
    <i r="1">
      <x v="4"/>
    </i>
    <i r="1">
      <x v="5"/>
    </i>
    <i>
      <x v="1"/>
    </i>
    <i r="1">
      <x v="6"/>
    </i>
    <i r="1">
      <x v="7"/>
    </i>
    <i>
      <x v="2"/>
    </i>
    <i r="1">
      <x v="8"/>
    </i>
    <i r="1">
      <x v="9"/>
    </i>
    <i r="1">
      <x v="10"/>
    </i>
    <i r="1">
      <x v="11"/>
    </i>
  </rowItems>
  <colFields count="1">
    <field x="3"/>
  </colFields>
  <colItems count="16">
    <i>
      <x/>
    </i>
    <i>
      <x v="1"/>
    </i>
    <i>
      <x v="2"/>
    </i>
    <i>
      <x v="3"/>
    </i>
    <i>
      <x v="4"/>
    </i>
    <i>
      <x v="5"/>
    </i>
    <i>
      <x v="6"/>
    </i>
    <i>
      <x v="7"/>
    </i>
    <i>
      <x v="8"/>
    </i>
    <i>
      <x v="9"/>
    </i>
    <i>
      <x v="10"/>
    </i>
    <i>
      <x v="11"/>
    </i>
    <i>
      <x v="12"/>
    </i>
    <i>
      <x v="13"/>
    </i>
    <i>
      <x v="14"/>
    </i>
    <i>
      <x v="15"/>
    </i>
  </colItems>
  <dataFields count="1">
    <dataField name="Max of Decision_Code" fld="18" subtotal="max" baseField="2" baseItem="6"/>
  </dataFields>
  <formats count="40">
    <format dxfId="289">
      <pivotArea type="all" dataOnly="0" outline="0" fieldPosition="0"/>
    </format>
    <format dxfId="288">
      <pivotArea type="origin" dataOnly="0" labelOnly="1" outline="0" fieldPosition="0"/>
    </format>
    <format dxfId="287">
      <pivotArea type="topRight" dataOnly="0" labelOnly="1" outline="0" fieldPosition="0"/>
    </format>
    <format dxfId="286">
      <pivotArea dataOnly="0" labelOnly="1" fieldPosition="0">
        <references count="2">
          <reference field="0" count="1" selected="0">
            <x v="0"/>
          </reference>
          <reference field="2" count="6">
            <x v="0"/>
            <x v="1"/>
            <x v="2"/>
            <x v="3"/>
            <x v="4"/>
            <x v="5"/>
          </reference>
        </references>
      </pivotArea>
    </format>
    <format dxfId="285">
      <pivotArea dataOnly="0" labelOnly="1" fieldPosition="0">
        <references count="2">
          <reference field="0" count="1" selected="0">
            <x v="1"/>
          </reference>
          <reference field="2" count="2">
            <x v="6"/>
            <x v="7"/>
          </reference>
        </references>
      </pivotArea>
    </format>
    <format dxfId="284">
      <pivotArea dataOnly="0" labelOnly="1" fieldPosition="0">
        <references count="2">
          <reference field="0" count="1" selected="0">
            <x v="2"/>
          </reference>
          <reference field="2" count="4">
            <x v="8"/>
            <x v="9"/>
            <x v="10"/>
            <x v="11"/>
          </reference>
        </references>
      </pivotArea>
    </format>
    <format dxfId="283">
      <pivotArea dataOnly="0" labelOnly="1" fieldPosition="0">
        <references count="1">
          <reference field="3" count="0"/>
        </references>
      </pivotArea>
    </format>
    <format dxfId="282">
      <pivotArea type="origin" dataOnly="0" labelOnly="1" outline="0" fieldPosition="0"/>
    </format>
    <format dxfId="281">
      <pivotArea type="topRight" dataOnly="0" labelOnly="1" outline="0" fieldPosition="0"/>
    </format>
    <format dxfId="280">
      <pivotArea dataOnly="0" labelOnly="1" fieldPosition="0">
        <references count="1">
          <reference field="3" count="0"/>
        </references>
      </pivotArea>
    </format>
    <format dxfId="279">
      <pivotArea type="origin" dataOnly="0" labelOnly="1" outline="0" fieldPosition="0"/>
    </format>
    <format dxfId="278">
      <pivotArea type="topRight" dataOnly="0" labelOnly="1" outline="0" fieldPosition="0"/>
    </format>
    <format dxfId="277">
      <pivotArea dataOnly="0" labelOnly="1" fieldPosition="0">
        <references count="1">
          <reference field="3" count="0"/>
        </references>
      </pivotArea>
    </format>
    <format dxfId="276">
      <pivotArea collapsedLevelsAreSubtotals="1" fieldPosition="0">
        <references count="2">
          <reference field="0" count="1" selected="0">
            <x v="0"/>
          </reference>
          <reference field="2" count="6">
            <x v="0"/>
            <x v="1"/>
            <x v="2"/>
            <x v="3"/>
            <x v="4"/>
            <x v="5"/>
          </reference>
        </references>
      </pivotArea>
    </format>
    <format dxfId="275">
      <pivotArea dataOnly="0" labelOnly="1" fieldPosition="0">
        <references count="2">
          <reference field="0" count="1" selected="0">
            <x v="0"/>
          </reference>
          <reference field="2" count="6">
            <x v="0"/>
            <x v="1"/>
            <x v="2"/>
            <x v="3"/>
            <x v="4"/>
            <x v="5"/>
          </reference>
        </references>
      </pivotArea>
    </format>
    <format dxfId="274">
      <pivotArea collapsedLevelsAreSubtotals="1" fieldPosition="0">
        <references count="3">
          <reference field="0" count="1" selected="0">
            <x v="1"/>
          </reference>
          <reference field="2" count="2">
            <x v="6"/>
            <x v="7"/>
          </reference>
          <reference field="3" count="15" selected="0">
            <x v="0"/>
            <x v="1"/>
            <x v="2"/>
            <x v="3"/>
            <x v="4"/>
            <x v="5"/>
            <x v="6"/>
            <x v="7"/>
            <x v="8"/>
            <x v="9"/>
            <x v="10"/>
            <x v="11"/>
            <x v="12"/>
            <x v="13"/>
            <x v="14"/>
          </reference>
        </references>
      </pivotArea>
    </format>
    <format dxfId="273">
      <pivotArea dataOnly="0" labelOnly="1" fieldPosition="0">
        <references count="2">
          <reference field="0" count="1" selected="0">
            <x v="1"/>
          </reference>
          <reference field="2" count="2">
            <x v="6"/>
            <x v="7"/>
          </reference>
        </references>
      </pivotArea>
    </format>
    <format dxfId="272">
      <pivotArea collapsedLevelsAreSubtotals="1" fieldPosition="0">
        <references count="2">
          <reference field="0" count="1" selected="0">
            <x v="2"/>
          </reference>
          <reference field="2" count="4">
            <x v="8"/>
            <x v="9"/>
            <x v="10"/>
            <x v="11"/>
          </reference>
        </references>
      </pivotArea>
    </format>
    <format dxfId="271">
      <pivotArea dataOnly="0" labelOnly="1" fieldPosition="0">
        <references count="2">
          <reference field="0" count="1" selected="0">
            <x v="2"/>
          </reference>
          <reference field="2" count="4">
            <x v="8"/>
            <x v="9"/>
            <x v="10"/>
            <x v="11"/>
          </reference>
        </references>
      </pivotArea>
    </format>
    <format dxfId="270">
      <pivotArea collapsedLevelsAreSubtotals="1" fieldPosition="0">
        <references count="3">
          <reference field="0" count="1" selected="0">
            <x v="1"/>
          </reference>
          <reference field="2" count="2">
            <x v="6"/>
            <x v="7"/>
          </reference>
          <reference field="3" count="1" selected="0">
            <x v="15"/>
          </reference>
        </references>
      </pivotArea>
    </format>
    <format dxfId="269">
      <pivotArea type="origin" dataOnly="0" labelOnly="1" outline="0" fieldPosition="0"/>
    </format>
    <format dxfId="268">
      <pivotArea dataOnly="0" labelOnly="1" fieldPosition="0">
        <references count="1">
          <reference field="3" count="1">
            <x v="0"/>
          </reference>
        </references>
      </pivotArea>
    </format>
    <format dxfId="267">
      <pivotArea type="all" dataOnly="0" outline="0" fieldPosition="0"/>
    </format>
    <format dxfId="266">
      <pivotArea outline="0" collapsedLevelsAreSubtotals="1" fieldPosition="0"/>
    </format>
    <format dxfId="265">
      <pivotArea type="origin" dataOnly="0" labelOnly="1" outline="0" fieldPosition="0"/>
    </format>
    <format dxfId="264">
      <pivotArea type="topRight" dataOnly="0" labelOnly="1" outline="0" fieldPosition="0"/>
    </format>
    <format dxfId="263">
      <pivotArea dataOnly="0" labelOnly="1" fieldPosition="0">
        <references count="1">
          <reference field="0" count="0"/>
        </references>
      </pivotArea>
    </format>
    <format dxfId="262">
      <pivotArea dataOnly="0" labelOnly="1" fieldPosition="0">
        <references count="2">
          <reference field="0" count="1" selected="0">
            <x v="0"/>
          </reference>
          <reference field="2" count="6">
            <x v="0"/>
            <x v="1"/>
            <x v="2"/>
            <x v="3"/>
            <x v="4"/>
            <x v="5"/>
          </reference>
        </references>
      </pivotArea>
    </format>
    <format dxfId="261">
      <pivotArea dataOnly="0" labelOnly="1" fieldPosition="0">
        <references count="2">
          <reference field="0" count="1" selected="0">
            <x v="1"/>
          </reference>
          <reference field="2" count="2">
            <x v="6"/>
            <x v="7"/>
          </reference>
        </references>
      </pivotArea>
    </format>
    <format dxfId="260">
      <pivotArea dataOnly="0" labelOnly="1" fieldPosition="0">
        <references count="2">
          <reference field="0" count="1" selected="0">
            <x v="2"/>
          </reference>
          <reference field="2" count="4">
            <x v="8"/>
            <x v="9"/>
            <x v="10"/>
            <x v="11"/>
          </reference>
        </references>
      </pivotArea>
    </format>
    <format dxfId="259">
      <pivotArea dataOnly="0" labelOnly="1" fieldPosition="0">
        <references count="1">
          <reference field="3" count="0"/>
        </references>
      </pivotArea>
    </format>
    <format dxfId="258">
      <pivotArea type="all" dataOnly="0" outline="0" fieldPosition="0"/>
    </format>
    <format dxfId="257">
      <pivotArea outline="0" collapsedLevelsAreSubtotals="1" fieldPosition="0"/>
    </format>
    <format dxfId="256">
      <pivotArea type="origin" dataOnly="0" labelOnly="1" outline="0" fieldPosition="0"/>
    </format>
    <format dxfId="255">
      <pivotArea type="topRight" dataOnly="0" labelOnly="1" outline="0" fieldPosition="0"/>
    </format>
    <format dxfId="254">
      <pivotArea dataOnly="0" labelOnly="1" fieldPosition="0">
        <references count="1">
          <reference field="0" count="0"/>
        </references>
      </pivotArea>
    </format>
    <format dxfId="253">
      <pivotArea dataOnly="0" labelOnly="1" fieldPosition="0">
        <references count="2">
          <reference field="0" count="1" selected="0">
            <x v="0"/>
          </reference>
          <reference field="2" count="6">
            <x v="0"/>
            <x v="1"/>
            <x v="2"/>
            <x v="3"/>
            <x v="4"/>
            <x v="5"/>
          </reference>
        </references>
      </pivotArea>
    </format>
    <format dxfId="252">
      <pivotArea dataOnly="0" labelOnly="1" fieldPosition="0">
        <references count="2">
          <reference field="0" count="1" selected="0">
            <x v="1"/>
          </reference>
          <reference field="2" count="2">
            <x v="6"/>
            <x v="7"/>
          </reference>
        </references>
      </pivotArea>
    </format>
    <format dxfId="251">
      <pivotArea dataOnly="0" labelOnly="1" fieldPosition="0">
        <references count="2">
          <reference field="0" count="1" selected="0">
            <x v="2"/>
          </reference>
          <reference field="2" count="4">
            <x v="8"/>
            <x v="9"/>
            <x v="10"/>
            <x v="11"/>
          </reference>
        </references>
      </pivotArea>
    </format>
    <format dxfId="250">
      <pivotArea dataOnly="0" labelOnly="1" fieldPosition="0">
        <references count="1">
          <reference field="3" count="0"/>
        </references>
      </pivotArea>
    </format>
  </formats>
  <conditionalFormats count="3">
    <conditionalFormat priority="6">
      <pivotAreas count="3">
        <pivotArea type="data" collapsedLevelsAreSubtotals="1" fieldPosition="0">
          <references count="3">
            <reference field="4294967294" count="1" selected="0">
              <x v="0"/>
            </reference>
            <reference field="0" count="1" selected="0">
              <x v="0"/>
            </reference>
            <reference field="2" count="6">
              <x v="0"/>
              <x v="1"/>
              <x v="2"/>
              <x v="3"/>
              <x v="4"/>
              <x v="5"/>
            </reference>
          </references>
        </pivotArea>
        <pivotArea type="data" collapsedLevelsAreSubtotals="1" fieldPosition="0">
          <references count="3">
            <reference field="4294967294" count="1" selected="0">
              <x v="0"/>
            </reference>
            <reference field="0" count="1" selected="0">
              <x v="1"/>
            </reference>
            <reference field="2" count="2">
              <x v="6"/>
              <x v="7"/>
            </reference>
          </references>
        </pivotArea>
        <pivotArea type="data" collapsedLevelsAreSubtotals="1" fieldPosition="0">
          <references count="3">
            <reference field="4294967294" count="1" selected="0">
              <x v="0"/>
            </reference>
            <reference field="0" count="1" selected="0">
              <x v="2"/>
            </reference>
            <reference field="2" count="4">
              <x v="8"/>
              <x v="9"/>
              <x v="10"/>
              <x v="11"/>
            </reference>
          </references>
        </pivotArea>
      </pivotAreas>
    </conditionalFormat>
    <conditionalFormat priority="5">
      <pivotAreas count="3">
        <pivotArea type="data" collapsedLevelsAreSubtotals="1" fieldPosition="0">
          <references count="3">
            <reference field="4294967294" count="1" selected="0">
              <x v="0"/>
            </reference>
            <reference field="0" count="1" selected="0">
              <x v="0"/>
            </reference>
            <reference field="2" count="6">
              <x v="0"/>
              <x v="1"/>
              <x v="2"/>
              <x v="3"/>
              <x v="4"/>
              <x v="5"/>
            </reference>
          </references>
        </pivotArea>
        <pivotArea type="data" collapsedLevelsAreSubtotals="1" fieldPosition="0">
          <references count="3">
            <reference field="4294967294" count="1" selected="0">
              <x v="0"/>
            </reference>
            <reference field="0" count="1" selected="0">
              <x v="1"/>
            </reference>
            <reference field="2" count="2">
              <x v="6"/>
              <x v="7"/>
            </reference>
          </references>
        </pivotArea>
        <pivotArea type="data" collapsedLevelsAreSubtotals="1" fieldPosition="0">
          <references count="3">
            <reference field="4294967294" count="1" selected="0">
              <x v="0"/>
            </reference>
            <reference field="0" count="1" selected="0">
              <x v="2"/>
            </reference>
            <reference field="2" count="4">
              <x v="8"/>
              <x v="9"/>
              <x v="10"/>
              <x v="11"/>
            </reference>
          </references>
        </pivotArea>
      </pivotAreas>
    </conditionalFormat>
    <conditionalFormat priority="4">
      <pivotAreas count="3">
        <pivotArea type="data" collapsedLevelsAreSubtotals="1" fieldPosition="0">
          <references count="3">
            <reference field="4294967294" count="1" selected="0">
              <x v="0"/>
            </reference>
            <reference field="0" count="1" selected="0">
              <x v="0"/>
            </reference>
            <reference field="2" count="6">
              <x v="0"/>
              <x v="1"/>
              <x v="2"/>
              <x v="3"/>
              <x v="4"/>
              <x v="5"/>
            </reference>
          </references>
        </pivotArea>
        <pivotArea type="data" collapsedLevelsAreSubtotals="1" fieldPosition="0">
          <references count="3">
            <reference field="4294967294" count="1" selected="0">
              <x v="0"/>
            </reference>
            <reference field="0" count="1" selected="0">
              <x v="1"/>
            </reference>
            <reference field="2" count="2">
              <x v="6"/>
              <x v="7"/>
            </reference>
          </references>
        </pivotArea>
        <pivotArea type="data" collapsedLevelsAreSubtotals="1" fieldPosition="0">
          <references count="3">
            <reference field="4294967294" count="1" selected="0">
              <x v="0"/>
            </reference>
            <reference field="0" count="1" selected="0">
              <x v="2"/>
            </reference>
            <reference field="2" count="4">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C63195-BE0D-4960-898D-5C0A80E468AC}" name="PivotTable1" cacheId="60" applyNumberFormats="0" applyBorderFormats="0" applyFontFormats="0" applyPatternFormats="0" applyAlignmentFormats="0" applyWidthHeightFormats="1" dataCaption="Values" updatedVersion="8" minRefreshableVersion="3" showDrill="0" rowGrandTotals="0" colGrandTotals="0" itemPrintTitles="1" createdVersion="8" indent="0" showHeaders="0" outline="1" outlineData="1" multipleFieldFilters="0">
  <location ref="B9:R25" firstHeaderRow="1" firstDataRow="2" firstDataCol="1"/>
  <pivotFields count="30">
    <pivotField axis="axisRow" showAll="0" defaultSubtotal="0">
      <items count="3">
        <item x="0"/>
        <item x="1"/>
        <item x="2"/>
      </items>
    </pivotField>
    <pivotField showAll="0" defaultSubtotal="0">
      <items count="7">
        <item x="0"/>
        <item h="1" x="1"/>
        <item h="1" x="2"/>
        <item h="1" x="3"/>
        <item h="1" x="4"/>
        <item h="1" x="5"/>
        <item h="1" x="6"/>
      </items>
    </pivotField>
    <pivotField axis="axisRow" showAll="0" defaultSubtotal="0">
      <items count="12">
        <item x="0"/>
        <item x="1"/>
        <item x="2"/>
        <item x="3"/>
        <item x="4"/>
        <item x="5"/>
        <item x="6"/>
        <item x="7"/>
        <item x="8"/>
        <item x="9"/>
        <item x="10"/>
        <item x="11"/>
      </items>
    </pivotField>
    <pivotField axis="axisCol" numFmtId="164" showAll="0" defaultSubtotal="0">
      <items count="16">
        <item x="0"/>
        <item x="1"/>
        <item x="2"/>
        <item x="3"/>
        <item x="4"/>
        <item x="5"/>
        <item x="6"/>
        <item x="7"/>
        <item x="8"/>
        <item x="9"/>
        <item x="10"/>
        <item x="11"/>
        <item x="12"/>
        <item x="13"/>
        <item x="14"/>
        <item x="15"/>
      </items>
    </pivotField>
    <pivotField dataField="1" numFmtId="2" showAll="0" defaultSubtotal="0"/>
    <pivotField showAll="0" defaultSubtotal="0"/>
    <pivotField showAll="0" defaultSubtotal="0"/>
    <pivotField showAll="0" defaultSubtotal="0"/>
    <pivotField numFmtId="165" showAll="0" defaultSubtotal="0"/>
    <pivotField numFmtId="165" showAll="0" defaultSubtotal="0"/>
    <pivotField numFmtId="165" showAll="0" defaultSubtotal="0"/>
    <pivotField numFmtId="2" showAll="0" defaultSubtotal="0"/>
    <pivotField showAll="0" defaultSubtotal="0"/>
    <pivotField numFmtId="2"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items count="14">
        <item sd="0" x="0"/>
        <item x="1"/>
        <item x="2"/>
        <item x="3"/>
        <item x="4"/>
        <item x="5"/>
        <item x="6"/>
        <item x="7"/>
        <item x="8"/>
        <item x="9"/>
        <item x="10"/>
        <item x="11"/>
        <item x="12"/>
        <item sd="0" x="13"/>
      </items>
    </pivotField>
    <pivotField showAll="0" defaultSubtotal="0">
      <items count="6">
        <item sd="0" x="0"/>
        <item x="1"/>
        <item x="2"/>
        <item x="3"/>
        <item x="4"/>
        <item sd="0" x="5"/>
      </items>
    </pivotField>
    <pivotField showAll="0" defaultSubtotal="0">
      <items count="4">
        <item sd="0" x="0"/>
        <item sd="0" x="1"/>
        <item sd="0" x="2"/>
        <item sd="0" x="3"/>
      </items>
    </pivotField>
  </pivotFields>
  <rowFields count="2">
    <field x="0"/>
    <field x="2"/>
  </rowFields>
  <rowItems count="15">
    <i>
      <x/>
    </i>
    <i r="1">
      <x/>
    </i>
    <i r="1">
      <x v="1"/>
    </i>
    <i r="1">
      <x v="2"/>
    </i>
    <i r="1">
      <x v="3"/>
    </i>
    <i r="1">
      <x v="4"/>
    </i>
    <i r="1">
      <x v="5"/>
    </i>
    <i>
      <x v="1"/>
    </i>
    <i r="1">
      <x v="6"/>
    </i>
    <i r="1">
      <x v="7"/>
    </i>
    <i>
      <x v="2"/>
    </i>
    <i r="1">
      <x v="8"/>
    </i>
    <i r="1">
      <x v="9"/>
    </i>
    <i r="1">
      <x v="10"/>
    </i>
    <i r="1">
      <x v="11"/>
    </i>
  </rowItems>
  <colFields count="1">
    <field x="3"/>
  </colFields>
  <colItems count="16">
    <i>
      <x/>
    </i>
    <i>
      <x v="1"/>
    </i>
    <i>
      <x v="2"/>
    </i>
    <i>
      <x v="3"/>
    </i>
    <i>
      <x v="4"/>
    </i>
    <i>
      <x v="5"/>
    </i>
    <i>
      <x v="6"/>
    </i>
    <i>
      <x v="7"/>
    </i>
    <i>
      <x v="8"/>
    </i>
    <i>
      <x v="9"/>
    </i>
    <i>
      <x v="10"/>
    </i>
    <i>
      <x v="11"/>
    </i>
    <i>
      <x v="12"/>
    </i>
    <i>
      <x v="13"/>
    </i>
    <i>
      <x v="14"/>
    </i>
    <i>
      <x v="15"/>
    </i>
  </colItems>
  <dataFields count="1">
    <dataField name="Sum of Performance" fld="4" baseField="0" baseItem="0" numFmtId="2"/>
  </dataFields>
  <formats count="53">
    <format dxfId="342">
      <pivotArea type="all" dataOnly="0" outline="0" fieldPosition="0"/>
    </format>
    <format dxfId="341">
      <pivotArea type="origin" dataOnly="0" labelOnly="1" outline="0" fieldPosition="0"/>
    </format>
    <format dxfId="340">
      <pivotArea type="topRight" dataOnly="0" labelOnly="1" outline="0" fieldPosition="0"/>
    </format>
    <format dxfId="339">
      <pivotArea dataOnly="0" labelOnly="1" fieldPosition="0">
        <references count="1">
          <reference field="0" count="0"/>
        </references>
      </pivotArea>
    </format>
    <format dxfId="338">
      <pivotArea dataOnly="0" labelOnly="1" fieldPosition="0">
        <references count="2">
          <reference field="0" count="1" selected="0">
            <x v="0"/>
          </reference>
          <reference field="2" count="6">
            <x v="0"/>
            <x v="1"/>
            <x v="2"/>
            <x v="3"/>
            <x v="4"/>
            <x v="5"/>
          </reference>
        </references>
      </pivotArea>
    </format>
    <format dxfId="337">
      <pivotArea dataOnly="0" labelOnly="1" fieldPosition="0">
        <references count="2">
          <reference field="0" count="1" selected="0">
            <x v="1"/>
          </reference>
          <reference field="2" count="2">
            <x v="6"/>
            <x v="7"/>
          </reference>
        </references>
      </pivotArea>
    </format>
    <format dxfId="336">
      <pivotArea dataOnly="0" labelOnly="1" fieldPosition="0">
        <references count="2">
          <reference field="0" count="1" selected="0">
            <x v="2"/>
          </reference>
          <reference field="2" count="4">
            <x v="8"/>
            <x v="9"/>
            <x v="10"/>
            <x v="11"/>
          </reference>
        </references>
      </pivotArea>
    </format>
    <format dxfId="335">
      <pivotArea dataOnly="0" labelOnly="1" fieldPosition="0">
        <references count="1">
          <reference field="3" count="0"/>
        </references>
      </pivotArea>
    </format>
    <format dxfId="334">
      <pivotArea type="topRight" dataOnly="0" labelOnly="1" outline="0" offset="H1" fieldPosition="0"/>
    </format>
    <format dxfId="333">
      <pivotArea type="origin" dataOnly="0" labelOnly="1" outline="0" fieldPosition="0"/>
    </format>
    <format dxfId="332">
      <pivotArea type="topRight" dataOnly="0" labelOnly="1" outline="0" fieldPosition="0"/>
    </format>
    <format dxfId="331">
      <pivotArea dataOnly="0" labelOnly="1" fieldPosition="0">
        <references count="1">
          <reference field="3" count="0"/>
        </references>
      </pivotArea>
    </format>
    <format dxfId="330">
      <pivotArea type="origin" dataOnly="0" labelOnly="1" outline="0" fieldPosition="0"/>
    </format>
    <format dxfId="329">
      <pivotArea type="topRight" dataOnly="0" labelOnly="1" outline="0" fieldPosition="0"/>
    </format>
    <format dxfId="328">
      <pivotArea dataOnly="0" labelOnly="1" fieldPosition="0">
        <references count="1">
          <reference field="3" count="0"/>
        </references>
      </pivotArea>
    </format>
    <format dxfId="327">
      <pivotArea collapsedLevelsAreSubtotals="1" fieldPosition="0">
        <references count="1">
          <reference field="0" count="1">
            <x v="0"/>
          </reference>
        </references>
      </pivotArea>
    </format>
    <format dxfId="326">
      <pivotArea collapsedLevelsAreSubtotals="1" fieldPosition="0">
        <references count="2">
          <reference field="0" count="1" selected="0">
            <x v="0"/>
          </reference>
          <reference field="2" count="6">
            <x v="0"/>
            <x v="1"/>
            <x v="2"/>
            <x v="3"/>
            <x v="4"/>
            <x v="5"/>
          </reference>
        </references>
      </pivotArea>
    </format>
    <format dxfId="325">
      <pivotArea type="origin" dataOnly="0" labelOnly="1" outline="0" fieldPosition="0"/>
    </format>
    <format dxfId="324">
      <pivotArea type="topRight" dataOnly="0" labelOnly="1" outline="0" fieldPosition="0"/>
    </format>
    <format dxfId="323">
      <pivotArea dataOnly="0" labelOnly="1" fieldPosition="0">
        <references count="1">
          <reference field="0" count="1">
            <x v="0"/>
          </reference>
        </references>
      </pivotArea>
    </format>
    <format dxfId="322">
      <pivotArea dataOnly="0" labelOnly="1" fieldPosition="0">
        <references count="2">
          <reference field="0" count="1" selected="0">
            <x v="0"/>
          </reference>
          <reference field="2" count="6">
            <x v="0"/>
            <x v="1"/>
            <x v="2"/>
            <x v="3"/>
            <x v="4"/>
            <x v="5"/>
          </reference>
        </references>
      </pivotArea>
    </format>
    <format dxfId="321">
      <pivotArea dataOnly="0" labelOnly="1" fieldPosition="0">
        <references count="1">
          <reference field="3" count="0"/>
        </references>
      </pivotArea>
    </format>
    <format dxfId="320">
      <pivotArea collapsedLevelsAreSubtotals="1" fieldPosition="0">
        <references count="2">
          <reference field="0" count="1" selected="0">
            <x v="1"/>
          </reference>
          <reference field="2" count="2">
            <x v="6"/>
            <x v="7"/>
          </reference>
        </references>
      </pivotArea>
    </format>
    <format dxfId="319">
      <pivotArea dataOnly="0" labelOnly="1" fieldPosition="0">
        <references count="2">
          <reference field="0" count="1" selected="0">
            <x v="1"/>
          </reference>
          <reference field="2" count="2">
            <x v="6"/>
            <x v="7"/>
          </reference>
        </references>
      </pivotArea>
    </format>
    <format dxfId="318">
      <pivotArea collapsedLevelsAreSubtotals="1" fieldPosition="0">
        <references count="2">
          <reference field="0" count="1" selected="0">
            <x v="2"/>
          </reference>
          <reference field="2" count="4">
            <x v="8"/>
            <x v="9"/>
            <x v="10"/>
            <x v="11"/>
          </reference>
        </references>
      </pivotArea>
    </format>
    <format dxfId="317">
      <pivotArea dataOnly="0" labelOnly="1" fieldPosition="0">
        <references count="2">
          <reference field="0" count="1" selected="0">
            <x v="2"/>
          </reference>
          <reference field="2" count="4">
            <x v="8"/>
            <x v="9"/>
            <x v="10"/>
            <x v="11"/>
          </reference>
        </references>
      </pivotArea>
    </format>
    <format dxfId="316">
      <pivotArea type="all" dataOnly="0" outline="0" fieldPosition="0"/>
    </format>
    <format dxfId="315">
      <pivotArea outline="0" collapsedLevelsAreSubtotals="1" fieldPosition="0"/>
    </format>
    <format dxfId="314">
      <pivotArea type="origin" dataOnly="0" labelOnly="1" outline="0" fieldPosition="0"/>
    </format>
    <format dxfId="313">
      <pivotArea type="topRight" dataOnly="0" labelOnly="1" outline="0" fieldPosition="0"/>
    </format>
    <format dxfId="312">
      <pivotArea dataOnly="0" labelOnly="1" fieldPosition="0">
        <references count="1">
          <reference field="0" count="0"/>
        </references>
      </pivotArea>
    </format>
    <format dxfId="311">
      <pivotArea dataOnly="0" labelOnly="1" fieldPosition="0">
        <references count="2">
          <reference field="0" count="1" selected="0">
            <x v="0"/>
          </reference>
          <reference field="2" count="6">
            <x v="0"/>
            <x v="1"/>
            <x v="2"/>
            <x v="3"/>
            <x v="4"/>
            <x v="5"/>
          </reference>
        </references>
      </pivotArea>
    </format>
    <format dxfId="310">
      <pivotArea dataOnly="0" labelOnly="1" fieldPosition="0">
        <references count="2">
          <reference field="0" count="1" selected="0">
            <x v="1"/>
          </reference>
          <reference field="2" count="2">
            <x v="6"/>
            <x v="7"/>
          </reference>
        </references>
      </pivotArea>
    </format>
    <format dxfId="309">
      <pivotArea dataOnly="0" labelOnly="1" fieldPosition="0">
        <references count="2">
          <reference field="0" count="1" selected="0">
            <x v="2"/>
          </reference>
          <reference field="2" count="4">
            <x v="8"/>
            <x v="9"/>
            <x v="10"/>
            <x v="11"/>
          </reference>
        </references>
      </pivotArea>
    </format>
    <format dxfId="308">
      <pivotArea dataOnly="0" labelOnly="1" fieldPosition="0">
        <references count="1">
          <reference field="3" count="0"/>
        </references>
      </pivotArea>
    </format>
    <format dxfId="307">
      <pivotArea collapsedLevelsAreSubtotals="1" fieldPosition="0">
        <references count="1">
          <reference field="0" count="1">
            <x v="1"/>
          </reference>
        </references>
      </pivotArea>
    </format>
    <format dxfId="306">
      <pivotArea collapsedLevelsAreSubtotals="1" fieldPosition="0">
        <references count="1">
          <reference field="0" count="1">
            <x v="1"/>
          </reference>
        </references>
      </pivotArea>
    </format>
    <format dxfId="305">
      <pivotArea collapsedLevelsAreSubtotals="1" fieldPosition="0">
        <references count="1">
          <reference field="0" count="1">
            <x v="1"/>
          </reference>
        </references>
      </pivotArea>
    </format>
    <format dxfId="304">
      <pivotArea dataOnly="0" labelOnly="1" fieldPosition="0">
        <references count="1">
          <reference field="0" count="1">
            <x v="1"/>
          </reference>
        </references>
      </pivotArea>
    </format>
    <format dxfId="303">
      <pivotArea collapsedLevelsAreSubtotals="1" fieldPosition="0">
        <references count="2">
          <reference field="0" count="1" selected="0">
            <x v="0"/>
          </reference>
          <reference field="2" count="6">
            <x v="0"/>
            <x v="1"/>
            <x v="2"/>
            <x v="3"/>
            <x v="4"/>
            <x v="5"/>
          </reference>
        </references>
      </pivotArea>
    </format>
    <format dxfId="302">
      <pivotArea collapsedLevelsAreSubtotals="1" fieldPosition="0">
        <references count="1">
          <reference field="0" count="1">
            <x v="1"/>
          </reference>
        </references>
      </pivotArea>
    </format>
    <format dxfId="301">
      <pivotArea collapsedLevelsAreSubtotals="1" fieldPosition="0">
        <references count="2">
          <reference field="0" count="1" selected="0">
            <x v="1"/>
          </reference>
          <reference field="2" count="2">
            <x v="6"/>
            <x v="7"/>
          </reference>
        </references>
      </pivotArea>
    </format>
    <format dxfId="300">
      <pivotArea collapsedLevelsAreSubtotals="1" fieldPosition="0">
        <references count="1">
          <reference field="0" count="1">
            <x v="2"/>
          </reference>
        </references>
      </pivotArea>
    </format>
    <format dxfId="299">
      <pivotArea collapsedLevelsAreSubtotals="1" fieldPosition="0">
        <references count="2">
          <reference field="0" count="1" selected="0">
            <x v="2"/>
          </reference>
          <reference field="2" count="4">
            <x v="8"/>
            <x v="9"/>
            <x v="10"/>
            <x v="11"/>
          </reference>
        </references>
      </pivotArea>
    </format>
    <format dxfId="298">
      <pivotArea type="all" dataOnly="0" outline="0" fieldPosition="0"/>
    </format>
    <format dxfId="297">
      <pivotArea outline="0" collapsedLevelsAreSubtotals="1" fieldPosition="0"/>
    </format>
    <format dxfId="296">
      <pivotArea type="origin" dataOnly="0" labelOnly="1" outline="0" fieldPosition="0"/>
    </format>
    <format dxfId="295">
      <pivotArea type="topRight" dataOnly="0" labelOnly="1" outline="0" fieldPosition="0"/>
    </format>
    <format dxfId="294">
      <pivotArea dataOnly="0" labelOnly="1" fieldPosition="0">
        <references count="1">
          <reference field="0" count="0"/>
        </references>
      </pivotArea>
    </format>
    <format dxfId="293">
      <pivotArea dataOnly="0" labelOnly="1" fieldPosition="0">
        <references count="2">
          <reference field="0" count="1" selected="0">
            <x v="0"/>
          </reference>
          <reference field="2" count="6">
            <x v="0"/>
            <x v="1"/>
            <x v="2"/>
            <x v="3"/>
            <x v="4"/>
            <x v="5"/>
          </reference>
        </references>
      </pivotArea>
    </format>
    <format dxfId="292">
      <pivotArea dataOnly="0" labelOnly="1" fieldPosition="0">
        <references count="2">
          <reference field="0" count="1" selected="0">
            <x v="1"/>
          </reference>
          <reference field="2" count="2">
            <x v="6"/>
            <x v="7"/>
          </reference>
        </references>
      </pivotArea>
    </format>
    <format dxfId="291">
      <pivotArea dataOnly="0" labelOnly="1" fieldPosition="0">
        <references count="2">
          <reference field="0" count="1" selected="0">
            <x v="2"/>
          </reference>
          <reference field="2" count="4">
            <x v="8"/>
            <x v="9"/>
            <x v="10"/>
            <x v="11"/>
          </reference>
        </references>
      </pivotArea>
    </format>
    <format dxfId="290">
      <pivotArea dataOnly="0" labelOnly="1" fieldPosition="0">
        <references count="1">
          <reference field="3" count="0"/>
        </references>
      </pivotArea>
    </format>
  </formats>
  <conditionalFormats count="2">
    <conditionalFormat priority="8">
      <pivotAreas count="3">
        <pivotArea type="data" collapsedLevelsAreSubtotals="1" fieldPosition="0">
          <references count="3">
            <reference field="4294967294" count="1" selected="0">
              <x v="0"/>
            </reference>
            <reference field="0" count="1" selected="0">
              <x v="0"/>
            </reference>
            <reference field="2" count="6">
              <x v="0"/>
              <x v="1"/>
              <x v="2"/>
              <x v="3"/>
              <x v="4"/>
              <x v="5"/>
            </reference>
          </references>
        </pivotArea>
        <pivotArea type="data" collapsedLevelsAreSubtotals="1" fieldPosition="0">
          <references count="3">
            <reference field="4294967294" count="1" selected="0">
              <x v="0"/>
            </reference>
            <reference field="0" count="1" selected="0">
              <x v="1"/>
            </reference>
            <reference field="2" count="2">
              <x v="6"/>
              <x v="7"/>
            </reference>
          </references>
        </pivotArea>
        <pivotArea type="data" collapsedLevelsAreSubtotals="1" fieldPosition="0">
          <references count="3">
            <reference field="4294967294" count="1" selected="0">
              <x v="0"/>
            </reference>
            <reference field="0" count="1" selected="0">
              <x v="2"/>
            </reference>
            <reference field="2" count="4">
              <x v="8"/>
              <x v="9"/>
              <x v="10"/>
              <x v="11"/>
            </reference>
          </references>
        </pivotArea>
      </pivotAreas>
    </conditionalFormat>
    <conditionalFormat priority="7">
      <pivotAreas count="3">
        <pivotArea type="data" collapsedLevelsAreSubtotals="1" fieldPosition="0">
          <references count="3">
            <reference field="4294967294" count="1" selected="0">
              <x v="0"/>
            </reference>
            <reference field="0" count="1" selected="0">
              <x v="0"/>
            </reference>
            <reference field="2" count="6">
              <x v="0"/>
              <x v="1"/>
              <x v="2"/>
              <x v="3"/>
              <x v="4"/>
              <x v="5"/>
            </reference>
          </references>
        </pivotArea>
        <pivotArea type="data" collapsedLevelsAreSubtotals="1" fieldPosition="0">
          <references count="3">
            <reference field="4294967294" count="1" selected="0">
              <x v="0"/>
            </reference>
            <reference field="0" count="1" selected="0">
              <x v="1"/>
            </reference>
            <reference field="2" count="2">
              <x v="6"/>
              <x v="7"/>
            </reference>
          </references>
        </pivotArea>
        <pivotArea type="data" collapsedLevelsAreSubtotals="1" fieldPosition="0">
          <references count="3">
            <reference field="4294967294" count="1" selected="0">
              <x v="0"/>
            </reference>
            <reference field="0" count="1" selected="0">
              <x v="2"/>
            </reference>
            <reference field="2" count="4">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11572D-63A6-4A59-ABBD-AF8217DC8E55}" name="PivotTable41" cacheId="6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etrics">
  <location ref="AA30:AC43" firstHeaderRow="0" firstDataRow="1" firstDataCol="1"/>
  <pivotFields count="30">
    <pivotField showAll="0" defaultSubtotal="0"/>
    <pivotField showAll="0" defaultSubtotal="0">
      <items count="7">
        <item x="0"/>
        <item h="1" x="1"/>
        <item h="1" x="2"/>
        <item h="1" x="3"/>
        <item h="1" x="4"/>
        <item h="1" x="5"/>
        <item h="1" x="6"/>
      </items>
    </pivotField>
    <pivotField axis="axisRow" showAll="0" defaultSubtotal="0">
      <items count="12">
        <item x="0"/>
        <item x="1"/>
        <item x="2"/>
        <item x="3"/>
        <item x="4"/>
        <item x="5"/>
        <item x="6"/>
        <item x="7"/>
        <item x="8"/>
        <item x="9"/>
        <item x="10"/>
        <item x="11"/>
      </items>
    </pivotField>
    <pivotField numFmtId="164" showAll="0" defaultSubtotal="0">
      <items count="16">
        <item x="0"/>
        <item x="1"/>
        <item x="2"/>
        <item x="3"/>
        <item x="4"/>
        <item x="5"/>
        <item x="6"/>
        <item x="7"/>
        <item x="8"/>
        <item x="9"/>
        <item x="10"/>
        <item x="11"/>
        <item x="12"/>
        <item x="13"/>
        <item x="14"/>
        <item x="15"/>
      </items>
    </pivotField>
    <pivotField numFmtId="2" showAll="0" defaultSubtotal="0"/>
    <pivotField dataField="1" showAll="0" defaultSubtotal="0"/>
    <pivotField showAll="0" defaultSubtotal="0"/>
    <pivotField showAll="0" defaultSubtotal="0"/>
    <pivotField numFmtId="165" showAll="0" defaultSubtotal="0"/>
    <pivotField numFmtId="165" showAll="0" defaultSubtotal="0"/>
    <pivotField numFmtId="165" showAll="0" defaultSubtotal="0"/>
    <pivotField numFmtId="2" showAll="0" defaultSubtotal="0"/>
    <pivotField showAll="0" defaultSubtotal="0"/>
    <pivotField numFmtId="2"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items count="14">
        <item sd="0" x="0"/>
        <item x="1"/>
        <item x="2"/>
        <item x="3"/>
        <item x="4"/>
        <item x="5"/>
        <item x="6"/>
        <item x="7"/>
        <item x="8"/>
        <item x="9"/>
        <item x="10"/>
        <item x="11"/>
        <item x="12"/>
        <item sd="0" x="13"/>
      </items>
    </pivotField>
    <pivotField showAll="0" defaultSubtotal="0">
      <items count="6">
        <item sd="0" x="0"/>
        <item x="1"/>
        <item x="2"/>
        <item x="3"/>
        <item x="4"/>
        <item sd="0" x="5"/>
      </items>
    </pivotField>
    <pivotField showAll="0" defaultSubtotal="0">
      <items count="4">
        <item sd="0" x="0"/>
        <item sd="0" x="1"/>
        <item sd="0" x="2"/>
        <item sd="0" x="3"/>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New Interventions" fld="19" baseField="0" baseItem="0"/>
    <dataField name="Old Interventions" fld="5" baseField="0" baseItem="0"/>
  </dataFields>
  <formats count="28">
    <format dxfId="370">
      <pivotArea type="all" dataOnly="0" outline="0" fieldPosition="0"/>
    </format>
    <format dxfId="369">
      <pivotArea type="origin" dataOnly="0" labelOnly="1" outline="0" fieldPosition="0"/>
    </format>
    <format dxfId="368">
      <pivotArea type="topRight" dataOnly="0" labelOnly="1" outline="0" fieldPosition="0"/>
    </format>
    <format dxfId="367">
      <pivotArea type="origin" dataOnly="0" labelOnly="1" outline="0" fieldPosition="0"/>
    </format>
    <format dxfId="366">
      <pivotArea type="topRight" dataOnly="0" labelOnly="1" outline="0" fieldPosition="0"/>
    </format>
    <format dxfId="365">
      <pivotArea type="origin" dataOnly="0" labelOnly="1" outline="0" fieldPosition="0"/>
    </format>
    <format dxfId="364">
      <pivotArea type="topRight" dataOnly="0" labelOnly="1" outline="0" fieldPosition="0"/>
    </format>
    <format dxfId="363">
      <pivotArea type="origin" dataOnly="0" labelOnly="1" outline="0" fieldPosition="0"/>
    </format>
    <format dxfId="362">
      <pivotArea type="all" dataOnly="0" outline="0" fieldPosition="0"/>
    </format>
    <format dxfId="361">
      <pivotArea outline="0" collapsedLevelsAreSubtotals="1" fieldPosition="0"/>
    </format>
    <format dxfId="360">
      <pivotArea type="origin" dataOnly="0" labelOnly="1" outline="0" fieldPosition="0"/>
    </format>
    <format dxfId="359">
      <pivotArea type="topRight" dataOnly="0" labelOnly="1" outline="0" fieldPosition="0"/>
    </format>
    <format dxfId="358">
      <pivotArea type="all" dataOnly="0" outline="0" fieldPosition="0"/>
    </format>
    <format dxfId="357">
      <pivotArea outline="0" collapsedLevelsAreSubtotals="1" fieldPosition="0"/>
    </format>
    <format dxfId="356">
      <pivotArea type="origin" dataOnly="0" labelOnly="1" outline="0" fieldPosition="0"/>
    </format>
    <format dxfId="355">
      <pivotArea type="topRight" dataOnly="0" labelOnly="1" outline="0" fieldPosition="0"/>
    </format>
    <format dxfId="354">
      <pivotArea type="all" dataOnly="0" outline="0" fieldPosition="0"/>
    </format>
    <format dxfId="353">
      <pivotArea outline="0" collapsedLevelsAreSubtotals="1" fieldPosition="0"/>
    </format>
    <format dxfId="352">
      <pivotArea dataOnly="0" labelOnly="1" fieldPosition="0">
        <references count="1">
          <reference field="2" count="0"/>
        </references>
      </pivotArea>
    </format>
    <format dxfId="351">
      <pivotArea dataOnly="0" labelOnly="1" outline="0" axis="axisValues" fieldPosition="0"/>
    </format>
    <format dxfId="350">
      <pivotArea field="2" type="button" dataOnly="0" labelOnly="1" outline="0" axis="axisRow" fieldPosition="0"/>
    </format>
    <format dxfId="349">
      <pivotArea field="2" type="button" dataOnly="0" labelOnly="1" outline="0" axis="axisRow" fieldPosition="0"/>
    </format>
    <format dxfId="348">
      <pivotArea dataOnly="0" labelOnly="1" outline="0" fieldPosition="0">
        <references count="1">
          <reference field="4294967294" count="1">
            <x v="0"/>
          </reference>
        </references>
      </pivotArea>
    </format>
    <format dxfId="347">
      <pivotArea grandRow="1" outline="0" collapsedLevelsAreSubtotals="1" fieldPosition="0"/>
    </format>
    <format dxfId="346">
      <pivotArea dataOnly="0" labelOnly="1" grandRow="1" outline="0" fieldPosition="0"/>
    </format>
    <format dxfId="345">
      <pivotArea grandRow="1" outline="0" collapsedLevelsAreSubtotals="1" fieldPosition="0"/>
    </format>
    <format dxfId="344">
      <pivotArea dataOnly="0" labelOnly="1" grandRow="1" outline="0" fieldPosition="0"/>
    </format>
    <format dxfId="34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D3C43F-3230-4A32-A322-C32B0B463FA9}" name="PivotTable37" cacheId="6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etrics">
  <location ref="C20:D33" firstHeaderRow="1" firstDataRow="1" firstDataCol="1"/>
  <pivotFields count="30">
    <pivotField showAll="0" defaultSubtotal="0"/>
    <pivotField showAll="0" defaultSubtotal="0">
      <items count="7">
        <item x="0"/>
        <item h="1" x="1"/>
        <item h="1" x="2"/>
        <item h="1" x="3"/>
        <item h="1" x="4"/>
        <item h="1" x="5"/>
        <item h="1" x="6"/>
      </items>
    </pivotField>
    <pivotField axis="axisRow" showAll="0" sortType="descending" defaultSubtotal="0">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numFmtId="164" showAll="0" defaultSubtotal="0">
      <items count="16">
        <item x="0"/>
        <item x="1"/>
        <item x="2"/>
        <item x="3"/>
        <item x="4"/>
        <item x="5"/>
        <item x="6"/>
        <item x="7"/>
        <item x="8"/>
        <item x="9"/>
        <item x="10"/>
        <item x="11"/>
        <item x="12"/>
        <item x="13"/>
        <item x="14"/>
        <item x="15"/>
      </items>
    </pivotField>
    <pivotField numFmtId="2" showAll="0" defaultSubtotal="0"/>
    <pivotField showAll="0" defaultSubtotal="0"/>
    <pivotField showAll="0" defaultSubtotal="0"/>
    <pivotField showAll="0" defaultSubtotal="0"/>
    <pivotField numFmtId="165" showAll="0" defaultSubtotal="0"/>
    <pivotField numFmtId="165" showAll="0" defaultSubtotal="0"/>
    <pivotField numFmtId="165" showAll="0" defaultSubtotal="0"/>
    <pivotField numFmtId="2" showAll="0" defaultSubtotal="0"/>
    <pivotField showAll="0" defaultSubtotal="0"/>
    <pivotField dataField="1" numFmtId="2"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items count="14">
        <item sd="0" x="0"/>
        <item x="1"/>
        <item x="2"/>
        <item x="3"/>
        <item x="4"/>
        <item x="5"/>
        <item x="6"/>
        <item x="7"/>
        <item x="8"/>
        <item x="9"/>
        <item x="10"/>
        <item x="11"/>
        <item x="12"/>
        <item sd="0" x="13"/>
      </items>
    </pivotField>
    <pivotField showAll="0" defaultSubtotal="0">
      <items count="6">
        <item sd="0" x="0"/>
        <item x="1"/>
        <item x="2"/>
        <item x="3"/>
        <item x="4"/>
        <item sd="0" x="5"/>
      </items>
    </pivotField>
    <pivotField showAll="0" defaultSubtotal="0">
      <items count="4">
        <item sd="0" x="0"/>
        <item sd="0" x="1"/>
        <item sd="0" x="2"/>
        <item sd="0" x="3"/>
      </items>
    </pivotField>
  </pivotFields>
  <rowFields count="1">
    <field x="2"/>
  </rowFields>
  <rowItems count="13">
    <i>
      <x v="2"/>
    </i>
    <i>
      <x v="1"/>
    </i>
    <i>
      <x v="5"/>
    </i>
    <i>
      <x v="4"/>
    </i>
    <i>
      <x v="7"/>
    </i>
    <i>
      <x v="8"/>
    </i>
    <i>
      <x/>
    </i>
    <i>
      <x v="10"/>
    </i>
    <i>
      <x v="6"/>
    </i>
    <i>
      <x v="3"/>
    </i>
    <i>
      <x v="9"/>
    </i>
    <i>
      <x v="11"/>
    </i>
    <i t="grand">
      <x/>
    </i>
  </rowItems>
  <colItems count="1">
    <i/>
  </colItems>
  <dataFields count="1">
    <dataField name="Average of Distance_from_Target" fld="13" subtotal="average" baseField="2" baseItem="0" numFmtId="2"/>
  </dataFields>
  <formats count="29">
    <format dxfId="33">
      <pivotArea type="all" dataOnly="0" outline="0" fieldPosition="0"/>
    </format>
    <format dxfId="32">
      <pivotArea outline="0" collapsedLevelsAreSubtotals="1" fieldPosition="0"/>
    </format>
    <format dxfId="31">
      <pivotArea type="origin" dataOnly="0" labelOnly="1" outline="0" fieldPosition="0"/>
    </format>
    <format dxfId="30">
      <pivotArea type="topRight" dataOnly="0" labelOnly="1" outline="0" fieldPosition="0"/>
    </format>
    <format dxfId="29">
      <pivotArea type="origin" dataOnly="0" labelOnly="1" outline="0" fieldPosition="0"/>
    </format>
    <format dxfId="28">
      <pivotArea type="topRight" dataOnly="0" labelOnly="1" outline="0" fieldPosition="0"/>
    </format>
    <format dxfId="27">
      <pivotArea type="origin" dataOnly="0" labelOnly="1" outline="0" fieldPosition="0"/>
    </format>
    <format dxfId="26">
      <pivotArea type="topRight" dataOnly="0" labelOnly="1" outline="0" fieldPosition="0"/>
    </format>
    <format dxfId="25">
      <pivotArea type="origin" dataOnly="0" labelOnly="1" outline="0" fieldPosition="0"/>
    </format>
    <format dxfId="24">
      <pivotArea type="all" dataOnly="0" outline="0" fieldPosition="0"/>
    </format>
    <format dxfId="23">
      <pivotArea outline="0" collapsedLevelsAreSubtotals="1" fieldPosition="0"/>
    </format>
    <format dxfId="22">
      <pivotArea type="origin" dataOnly="0" labelOnly="1" outline="0" fieldPosition="0"/>
    </format>
    <format dxfId="21">
      <pivotArea type="topRight" dataOnly="0" labelOnly="1" outline="0"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dataOnly="0" labelOnly="1" outline="0" axis="axisValues" fieldPosition="0"/>
    </format>
    <format dxfId="16">
      <pivotArea field="2" type="button" dataOnly="0" labelOnly="1" outline="0" axis="axisRow" fieldPosition="0"/>
    </format>
    <format dxfId="15">
      <pivotArea field="2" type="button" dataOnly="0" labelOnly="1" outline="0" axis="axisRow" fieldPosition="0"/>
    </format>
    <format dxfId="14">
      <pivotArea grandRow="1" outline="0" collapsedLevelsAreSubtotals="1" fieldPosition="0"/>
    </format>
    <format dxfId="13">
      <pivotArea dataOnly="0" labelOnly="1" grandRow="1" outline="0" fieldPosition="0"/>
    </format>
    <format dxfId="12">
      <pivotArea grandRow="1" outline="0" collapsedLevelsAreSubtotals="1" fieldPosition="0"/>
    </format>
    <format dxfId="11">
      <pivotArea dataOnly="0" labelOnly="1" grandRow="1" outline="0" fieldPosition="0"/>
    </format>
    <format dxfId="10">
      <pivotArea type="all" dataOnly="0" outline="0" fieldPosition="0"/>
    </format>
    <format dxfId="9">
      <pivotArea outline="0" collapsedLevelsAreSubtotals="1"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7B18B2-A137-46B5-8740-C058227D0E7F}" name="PivotTable36" cacheId="6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Site">
  <location ref="C36:F37" firstHeaderRow="0" firstDataRow="1" firstDataCol="1"/>
  <pivotFields count="30">
    <pivotField showAll="0"/>
    <pivotField axis="axisRow" showAll="0">
      <items count="8">
        <item x="0"/>
        <item h="1" x="1"/>
        <item h="1" x="2"/>
        <item h="1" x="3"/>
        <item h="1" x="4"/>
        <item h="1" x="5"/>
        <item h="1" x="6"/>
        <item t="default"/>
      </items>
    </pivotField>
    <pivotField showAll="0">
      <items count="13">
        <item x="0"/>
        <item x="1"/>
        <item x="2"/>
        <item x="3"/>
        <item x="4"/>
        <item x="5"/>
        <item x="6"/>
        <item x="7"/>
        <item x="8"/>
        <item x="9"/>
        <item x="10"/>
        <item x="11"/>
        <item t="default"/>
      </items>
    </pivotField>
    <pivotField numFmtId="164" showAll="0">
      <items count="17">
        <item x="0"/>
        <item x="1"/>
        <item x="2"/>
        <item x="3"/>
        <item x="4"/>
        <item x="5"/>
        <item x="6"/>
        <item x="7"/>
        <item x="8"/>
        <item x="9"/>
        <item x="10"/>
        <item x="11"/>
        <item x="12"/>
        <item x="13"/>
        <item x="14"/>
        <item x="15"/>
        <item t="default"/>
      </items>
    </pivotField>
    <pivotField numFmtId="2" showAll="0"/>
    <pivotField dataField="1" showAll="0"/>
    <pivotField showAll="0"/>
    <pivotField showAll="0"/>
    <pivotField numFmtId="165" showAll="0"/>
    <pivotField numFmtId="165" showAll="0"/>
    <pivotField numFmtId="165" showAll="0"/>
    <pivotField numFmtId="2" showAll="0"/>
    <pivotField showAll="0"/>
    <pivotField dataField="1" numFmtId="2"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sd="0" x="0"/>
        <item x="1"/>
        <item x="2"/>
        <item x="3"/>
        <item x="4"/>
        <item x="5"/>
        <item x="6"/>
        <item x="7"/>
        <item x="8"/>
        <item x="9"/>
        <item x="10"/>
        <item x="11"/>
        <item x="12"/>
        <item sd="0" x="13"/>
        <item t="default"/>
      </items>
    </pivotField>
    <pivotField showAll="0">
      <items count="7">
        <item sd="0" x="0"/>
        <item x="1"/>
        <item x="2"/>
        <item x="3"/>
        <item x="4"/>
        <item sd="0" x="5"/>
        <item t="default"/>
      </items>
    </pivotField>
    <pivotField showAll="0">
      <items count="5">
        <item sd="0" x="0"/>
        <item sd="0" x="1"/>
        <item sd="0" x="2"/>
        <item sd="0" x="3"/>
        <item t="default"/>
      </items>
    </pivotField>
  </pivotFields>
  <rowFields count="1">
    <field x="1"/>
  </rowFields>
  <rowItems count="1">
    <i>
      <x/>
    </i>
  </rowItems>
  <colFields count="1">
    <field x="-2"/>
  </colFields>
  <colItems count="3">
    <i>
      <x/>
    </i>
    <i i="1">
      <x v="1"/>
    </i>
    <i i="2">
      <x v="2"/>
    </i>
  </colItems>
  <dataFields count="3">
    <dataField name="Sum of New_Intervention" fld="19" baseField="0" baseItem="0"/>
    <dataField name="Sum of intervention" fld="5" baseField="0" baseItem="0"/>
    <dataField name="Average of Distance_from_Target" fld="13" subtotal="average" baseField="1" baseItem="5" numFmtId="2"/>
  </dataFields>
  <formats count="28">
    <format dxfId="61">
      <pivotArea type="all" dataOnly="0" outline="0" fieldPosition="0"/>
    </format>
    <format dxfId="60">
      <pivotArea outline="0" collapsedLevelsAreSubtotals="1" fieldPosition="0"/>
    </format>
    <format dxfId="59">
      <pivotArea type="origin" dataOnly="0" labelOnly="1" outline="0" fieldPosition="0"/>
    </format>
    <format dxfId="58">
      <pivotArea type="topRight" dataOnly="0" labelOnly="1" outline="0" fieldPosition="0"/>
    </format>
    <format dxfId="57">
      <pivotArea type="origin" dataOnly="0" labelOnly="1" outline="0" fieldPosition="0"/>
    </format>
    <format dxfId="56">
      <pivotArea type="topRight" dataOnly="0" labelOnly="1" outline="0" fieldPosition="0"/>
    </format>
    <format dxfId="55">
      <pivotArea type="origin" dataOnly="0" labelOnly="1" outline="0" fieldPosition="0"/>
    </format>
    <format dxfId="54">
      <pivotArea type="topRight" dataOnly="0" labelOnly="1" outline="0" fieldPosition="0"/>
    </format>
    <format dxfId="53">
      <pivotArea type="origin" dataOnly="0" labelOnly="1" outline="0" fieldPosition="0"/>
    </format>
    <format dxfId="52">
      <pivotArea type="all" dataOnly="0" outline="0" fieldPosition="0"/>
    </format>
    <format dxfId="51">
      <pivotArea outline="0" collapsedLevelsAreSubtotals="1" fieldPosition="0"/>
    </format>
    <format dxfId="50">
      <pivotArea type="origin" dataOnly="0" labelOnly="1" outline="0" fieldPosition="0"/>
    </format>
    <format dxfId="49">
      <pivotArea type="topRight" dataOnly="0" labelOnly="1" outline="0"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 dxfId="45">
      <pivotArea dataOnly="0" labelOnly="1" outline="0" axis="axisValues" fieldPosition="0"/>
    </format>
    <format dxfId="44">
      <pivotArea field="2" type="button" dataOnly="0" labelOnly="1" outline="0"/>
    </format>
    <format dxfId="43">
      <pivotArea field="2" type="button" dataOnly="0" labelOnly="1" outline="0"/>
    </format>
    <format dxfId="42">
      <pivotArea field="1" type="button" dataOnly="0" labelOnly="1" outline="0" axis="axisRow" fieldPosition="0"/>
    </format>
    <format dxfId="41">
      <pivotArea dataOnly="0" labelOnly="1" outline="0" fieldPosition="0">
        <references count="1">
          <reference field="4294967294" count="1">
            <x v="0"/>
          </reference>
        </references>
      </pivotArea>
    </format>
    <format dxfId="40">
      <pivotArea field="1" type="button" dataOnly="0" labelOnly="1" outline="0" axis="axisRow" fieldPosition="0"/>
    </format>
    <format dxfId="39">
      <pivotArea dataOnly="0" labelOnly="1" outline="0" fieldPosition="0">
        <references count="1">
          <reference field="4294967294" count="1">
            <x v="0"/>
          </reference>
        </references>
      </pivotArea>
    </format>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9759D2-AE71-4964-9229-47F2C0773FBD}" name="PivotTable39" cacheId="6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ecision">
  <location ref="C4:D8" firstHeaderRow="1" firstDataRow="1" firstDataCol="1"/>
  <pivotFields count="30">
    <pivotField subtotalTop="0" showAll="0"/>
    <pivotField subtotalTop="0" showAll="0">
      <items count="8">
        <item x="0"/>
        <item h="1" x="1"/>
        <item h="1" x="2"/>
        <item h="1" x="3"/>
        <item h="1" x="4"/>
        <item h="1" x="5"/>
        <item h="1" x="6"/>
        <item t="default"/>
      </items>
    </pivotField>
    <pivotField subtotalTop="0" showAll="0">
      <items count="13">
        <item x="0"/>
        <item x="1"/>
        <item x="2"/>
        <item x="3"/>
        <item x="4"/>
        <item x="5"/>
        <item x="6"/>
        <item x="7"/>
        <item x="8"/>
        <item x="9"/>
        <item x="10"/>
        <item x="11"/>
        <item t="default"/>
      </items>
    </pivotField>
    <pivotField numFmtId="164" subtotalTop="0" showAll="0">
      <items count="17">
        <item x="0"/>
        <item x="1"/>
        <item x="2"/>
        <item x="3"/>
        <item x="4"/>
        <item x="5"/>
        <item x="6"/>
        <item x="7"/>
        <item x="8"/>
        <item x="9"/>
        <item x="10"/>
        <item x="11"/>
        <item x="12"/>
        <item x="13"/>
        <item x="14"/>
        <item x="15"/>
        <item t="default"/>
      </items>
    </pivotField>
    <pivotField numFmtId="2" subtotalTop="0" showAll="0"/>
    <pivotField subtotalTop="0" showAll="0"/>
    <pivotField subtotalTop="0" showAll="0"/>
    <pivotField subtotalTop="0" showAll="0"/>
    <pivotField numFmtId="165" subtotalTop="0" showAll="0"/>
    <pivotField numFmtId="165" subtotalTop="0" showAll="0"/>
    <pivotField numFmtId="165" subtotalTop="0" showAll="0"/>
    <pivotField numFmtId="2" subtotalTop="0" showAll="0"/>
    <pivotField subtotalTop="0" showAll="0"/>
    <pivotField numFmtId="2" subtotalTop="0" showAll="0"/>
    <pivotField subtotalTop="0" showAll="0"/>
    <pivotField subtotalTop="0" showAll="0"/>
    <pivotField axis="axisRow" dataField="1" subtotalTop="0" showAll="0">
      <items count="4">
        <item x="2"/>
        <item x="1"/>
        <item x="0"/>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15">
        <item sd="0" x="0"/>
        <item x="1"/>
        <item x="2"/>
        <item x="3"/>
        <item x="4"/>
        <item x="5"/>
        <item x="6"/>
        <item x="7"/>
        <item x="8"/>
        <item x="9"/>
        <item x="10"/>
        <item x="11"/>
        <item x="12"/>
        <item sd="0" x="13"/>
        <item t="default"/>
      </items>
    </pivotField>
    <pivotField subtotalTop="0" showAll="0">
      <items count="7">
        <item sd="0" x="0"/>
        <item x="1"/>
        <item x="2"/>
        <item x="3"/>
        <item x="4"/>
        <item sd="0" x="5"/>
        <item t="default"/>
      </items>
    </pivotField>
    <pivotField subtotalTop="0" showAll="0">
      <items count="5">
        <item sd="0" x="0"/>
        <item sd="0" x="1"/>
        <item sd="0" x="2"/>
        <item sd="0" x="3"/>
        <item t="default"/>
      </items>
    </pivotField>
  </pivotFields>
  <rowFields count="1">
    <field x="16"/>
  </rowFields>
  <rowItems count="4">
    <i>
      <x/>
    </i>
    <i>
      <x v="1"/>
    </i>
    <i>
      <x v="2"/>
    </i>
    <i t="grand">
      <x/>
    </i>
  </rowItems>
  <colItems count="1">
    <i/>
  </colItems>
  <dataFields count="1">
    <dataField name="Count of Decision" fld="16" subtotal="count" baseField="0" baseItem="0"/>
  </dataFields>
  <formats count="31">
    <format dxfId="92">
      <pivotArea type="all" dataOnly="0" outline="0" fieldPosition="0"/>
    </format>
    <format dxfId="91">
      <pivotArea outline="0" collapsedLevelsAreSubtotals="1" fieldPosition="0"/>
    </format>
    <format dxfId="90">
      <pivotArea type="origin" dataOnly="0" labelOnly="1" outline="0" fieldPosition="0"/>
    </format>
    <format dxfId="89">
      <pivotArea type="topRight" dataOnly="0" labelOnly="1" outline="0" fieldPosition="0"/>
    </format>
    <format dxfId="88">
      <pivotArea type="origin" dataOnly="0" labelOnly="1" outline="0" fieldPosition="0"/>
    </format>
    <format dxfId="87">
      <pivotArea type="topRight" dataOnly="0" labelOnly="1" outline="0" fieldPosition="0"/>
    </format>
    <format dxfId="86">
      <pivotArea type="origin" dataOnly="0" labelOnly="1" outline="0" fieldPosition="0"/>
    </format>
    <format dxfId="85">
      <pivotArea type="topRight" dataOnly="0" labelOnly="1" outline="0" fieldPosition="0"/>
    </format>
    <format dxfId="84">
      <pivotArea type="origin" dataOnly="0" labelOnly="1" outline="0" fieldPosition="0"/>
    </format>
    <format dxfId="83">
      <pivotArea type="all" dataOnly="0" outline="0" fieldPosition="0"/>
    </format>
    <format dxfId="82">
      <pivotArea outline="0" collapsedLevelsAreSubtotals="1" fieldPosition="0"/>
    </format>
    <format dxfId="81">
      <pivotArea type="origin" dataOnly="0" labelOnly="1" outline="0" fieldPosition="0"/>
    </format>
    <format dxfId="80">
      <pivotArea type="topRight" dataOnly="0" labelOnly="1" outline="0"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dataOnly="0" labelOnly="1" outline="0" axis="axisValues" fieldPosition="0"/>
    </format>
    <format dxfId="75">
      <pivotArea field="2" type="button" dataOnly="0" labelOnly="1" outline="0"/>
    </format>
    <format dxfId="74">
      <pivotArea field="2" type="button" dataOnly="0" labelOnly="1" outline="0"/>
    </format>
    <format dxfId="73">
      <pivotArea field="16" type="button" dataOnly="0" labelOnly="1" outline="0" axis="axisRow" fieldPosition="0"/>
    </format>
    <format dxfId="72">
      <pivotArea field="16" type="button" dataOnly="0" labelOnly="1" outline="0" axis="axisRow" fieldPosition="0"/>
    </format>
    <format dxfId="71">
      <pivotArea grandRow="1" outline="0" collapsedLevelsAreSubtotals="1" fieldPosition="0"/>
    </format>
    <format dxfId="70">
      <pivotArea dataOnly="0" labelOnly="1" grandRow="1" outline="0" fieldPosition="0"/>
    </format>
    <format dxfId="69">
      <pivotArea grandRow="1" outline="0" collapsedLevelsAreSubtotals="1" fieldPosition="0"/>
    </format>
    <format dxfId="68">
      <pivotArea dataOnly="0" labelOnly="1" grandRow="1" outline="0" fieldPosition="0"/>
    </format>
    <format dxfId="67">
      <pivotArea type="all" dataOnly="0" outline="0" fieldPosition="0"/>
    </format>
    <format dxfId="66">
      <pivotArea outline="0" collapsedLevelsAreSubtotals="1" fieldPosition="0"/>
    </format>
    <format dxfId="65">
      <pivotArea field="16" type="button" dataOnly="0" labelOnly="1" outline="0" axis="axisRow" fieldPosition="0"/>
    </format>
    <format dxfId="64">
      <pivotArea dataOnly="0" labelOnly="1" fieldPosition="0">
        <references count="1">
          <reference field="16" count="2">
            <x v="1"/>
            <x v="2"/>
          </reference>
        </references>
      </pivotArea>
    </format>
    <format dxfId="63">
      <pivotArea dataOnly="0" labelOnly="1" grandRow="1" outline="0" fieldPosition="0"/>
    </format>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493EB6-91C3-4226-8BB0-87A8FFCF72BB}" name="PivotTable34" cacheId="6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ecision">
  <location ref="J29:K33" firstHeaderRow="1" firstDataRow="1" firstDataCol="1"/>
  <pivotFields count="30">
    <pivotField showAll="0" defaultSubtotal="0"/>
    <pivotField showAll="0" defaultSubtotal="0">
      <items count="7">
        <item x="0"/>
        <item h="1" x="1"/>
        <item h="1" x="2"/>
        <item h="1" x="3"/>
        <item h="1" x="4"/>
        <item h="1" x="5"/>
        <item h="1" x="6"/>
      </items>
    </pivotField>
    <pivotField showAll="0" defaultSubtotal="0">
      <items count="12">
        <item x="0"/>
        <item x="1"/>
        <item x="2"/>
        <item x="3"/>
        <item x="4"/>
        <item x="5"/>
        <item x="6"/>
        <item x="7"/>
        <item x="8"/>
        <item x="9"/>
        <item x="10"/>
        <item x="11"/>
      </items>
    </pivotField>
    <pivotField numFmtId="164" showAll="0" defaultSubtotal="0">
      <items count="16">
        <item x="0"/>
        <item x="1"/>
        <item x="2"/>
        <item x="3"/>
        <item x="4"/>
        <item x="5"/>
        <item x="6"/>
        <item x="7"/>
        <item x="8"/>
        <item x="9"/>
        <item x="10"/>
        <item x="11"/>
        <item x="12"/>
        <item x="13"/>
        <item x="14"/>
        <item x="15"/>
      </items>
    </pivotField>
    <pivotField numFmtId="2" showAll="0" defaultSubtotal="0"/>
    <pivotField showAll="0" defaultSubtotal="0"/>
    <pivotField showAll="0" defaultSubtotal="0"/>
    <pivotField showAll="0" defaultSubtotal="0"/>
    <pivotField dataField="1" numFmtId="165" showAll="0" defaultSubtotal="0"/>
    <pivotField numFmtId="165" showAll="0" defaultSubtotal="0"/>
    <pivotField numFmtId="165" showAll="0" defaultSubtotal="0"/>
    <pivotField numFmtId="2" showAll="0" defaultSubtotal="0"/>
    <pivotField showAll="0" defaultSubtotal="0"/>
    <pivotField numFmtId="2" showAll="0" defaultSubtotal="0"/>
    <pivotField showAll="0" defaultSubtotal="0"/>
    <pivotField showAll="0" defaultSubtotal="0"/>
    <pivotField axis="axisRow" showAll="0" defaultSubtotal="0">
      <items count="3">
        <item x="2"/>
        <item x="1"/>
        <item x="0"/>
      </items>
    </pivotField>
    <pivotField showAll="0" defaultSubtotal="0"/>
    <pivotField showAll="0" defaultSubtotal="0"/>
    <pivotField showAll="0" defaultSubtotal="0"/>
    <pivotField showAll="0" defaultSubtotal="0">
      <items count="2">
        <item x="0"/>
        <item x="1"/>
      </items>
    </pivotField>
    <pivotField showAll="0" defaultSubtotal="0">
      <items count="2">
        <item x="1"/>
        <item x="0"/>
      </items>
    </pivotField>
    <pivotField showAll="0" defaultSubtotal="0"/>
    <pivotField showAll="0" defaultSubtotal="0"/>
    <pivotField subtotalTop="0" showAll="0" defaultSubtotal="0"/>
    <pivotField subtotalTop="0" showAll="0" defaultSubtotal="0"/>
    <pivotField showAll="0" defaultSubtotal="0"/>
    <pivotField showAll="0" defaultSubtotal="0">
      <items count="14">
        <item sd="0" x="0"/>
        <item x="1"/>
        <item x="2"/>
        <item x="3"/>
        <item x="4"/>
        <item x="5"/>
        <item x="6"/>
        <item x="7"/>
        <item x="8"/>
        <item x="9"/>
        <item x="10"/>
        <item x="11"/>
        <item x="12"/>
        <item sd="0" x="13"/>
      </items>
    </pivotField>
    <pivotField showAll="0" defaultSubtotal="0">
      <items count="6">
        <item sd="0" x="0"/>
        <item x="1"/>
        <item x="2"/>
        <item x="3"/>
        <item x="4"/>
        <item sd="0" x="5"/>
      </items>
    </pivotField>
    <pivotField showAll="0" defaultSubtotal="0">
      <items count="4">
        <item sd="0" x="0"/>
        <item sd="0" x="1"/>
        <item sd="0" x="2"/>
        <item sd="0" x="3"/>
      </items>
    </pivotField>
  </pivotFields>
  <rowFields count="1">
    <field x="16"/>
  </rowFields>
  <rowItems count="4">
    <i>
      <x/>
    </i>
    <i>
      <x v="1"/>
    </i>
    <i>
      <x v="2"/>
    </i>
    <i t="grand">
      <x/>
    </i>
  </rowItems>
  <colItems count="1">
    <i/>
  </colItems>
  <dataFields count="1">
    <dataField name="Average of pct_change" fld="8" subtotal="average" baseField="16" baseItem="1" numFmtId="165"/>
  </dataFields>
  <formats count="40">
    <format dxfId="132">
      <pivotArea type="all" dataOnly="0" outline="0" fieldPosition="0"/>
    </format>
    <format dxfId="131">
      <pivotArea outline="0" collapsedLevelsAreSubtotals="1" fieldPosition="0"/>
    </format>
    <format dxfId="130">
      <pivotArea type="origin" dataOnly="0" labelOnly="1" outline="0" fieldPosition="0"/>
    </format>
    <format dxfId="129">
      <pivotArea type="topRight" dataOnly="0" labelOnly="1" outline="0" fieldPosition="0"/>
    </format>
    <format dxfId="128">
      <pivotArea type="origin" dataOnly="0" labelOnly="1" outline="0" fieldPosition="0"/>
    </format>
    <format dxfId="127">
      <pivotArea type="topRight" dataOnly="0" labelOnly="1" outline="0" fieldPosition="0"/>
    </format>
    <format dxfId="126">
      <pivotArea type="origin" dataOnly="0" labelOnly="1" outline="0" fieldPosition="0"/>
    </format>
    <format dxfId="125">
      <pivotArea type="topRight" dataOnly="0" labelOnly="1" outline="0" fieldPosition="0"/>
    </format>
    <format dxfId="124">
      <pivotArea type="origin" dataOnly="0" labelOnly="1" outline="0" fieldPosition="0"/>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type="topRight" dataOnly="0" labelOnly="1" outline="0"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field="2" type="button" dataOnly="0" labelOnly="1" outline="0"/>
    </format>
    <format dxfId="115">
      <pivotArea field="2" type="button" dataOnly="0" labelOnly="1" outline="0"/>
    </format>
    <format dxfId="114">
      <pivotArea dataOnly="0" grandRow="1" fieldPosition="0"/>
    </format>
    <format dxfId="113">
      <pivotArea dataOnly="0" grandRow="1" fieldPosition="0"/>
    </format>
    <format dxfId="112">
      <pivotArea type="origin" dataOnly="0" labelOnly="1" outline="0" fieldPosition="0"/>
    </format>
    <format dxfId="111">
      <pivotArea field="20" type="button" dataOnly="0" labelOnly="1" outline="0"/>
    </format>
    <format dxfId="110">
      <pivotArea type="topRight" dataOnly="0" labelOnly="1" outline="0" fieldPosition="0"/>
    </format>
    <format dxfId="109">
      <pivotArea field="21" type="button" dataOnly="0" labelOnly="1" outline="0"/>
    </format>
    <format dxfId="108">
      <pivotArea dataOnly="0" labelOnly="1" grandCol="1" outline="0" fieldPosition="0"/>
    </format>
    <format dxfId="107">
      <pivotArea type="origin" dataOnly="0" labelOnly="1" outline="0" fieldPosition="0"/>
    </format>
    <format dxfId="106">
      <pivotArea field="20" type="button" dataOnly="0" labelOnly="1" outline="0"/>
    </format>
    <format dxfId="105">
      <pivotArea type="topRight" dataOnly="0" labelOnly="1" outline="0" fieldPosition="0"/>
    </format>
    <format dxfId="104">
      <pivotArea field="21" type="button" dataOnly="0" labelOnly="1" outline="0"/>
    </format>
    <format dxfId="103">
      <pivotArea dataOnly="0" labelOnly="1" grandCol="1" outline="0" fieldPosition="0"/>
    </format>
    <format dxfId="102">
      <pivotArea field="16" type="button" dataOnly="0" labelOnly="1" outline="0" axis="axisRow" fieldPosition="0"/>
    </format>
    <format dxfId="101">
      <pivotArea dataOnly="0" labelOnly="1" outline="0" axis="axisValues" fieldPosition="0"/>
    </format>
    <format dxfId="100">
      <pivotArea field="16" type="button" dataOnly="0" labelOnly="1" outline="0" axis="axisRow"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16" type="button" dataOnly="0" labelOnly="1" outline="0" axis="axisRow" fieldPosition="0"/>
    </format>
    <format dxfId="95">
      <pivotArea dataOnly="0" labelOnly="1" fieldPosition="0">
        <references count="1">
          <reference field="16" count="2">
            <x v="1"/>
            <x v="2"/>
          </reference>
        </references>
      </pivotArea>
    </format>
    <format dxfId="94">
      <pivotArea dataOnly="0" labelOnly="1" grandRow="1" outline="0" fieldPosition="0"/>
    </format>
    <format dxfId="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E1B7AA-0967-4B91-B604-4081F8ACA151}" name="PivotTable38" cacheId="6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ecision">
  <location ref="C11:F16" firstHeaderRow="1" firstDataRow="2" firstDataCol="1"/>
  <pivotFields count="30">
    <pivotField showAll="0" defaultSubtotal="0"/>
    <pivotField showAll="0" defaultSubtotal="0">
      <items count="7">
        <item x="0"/>
        <item h="1" x="1"/>
        <item h="1" x="2"/>
        <item h="1" x="3"/>
        <item h="1" x="4"/>
        <item h="1" x="5"/>
        <item h="1" x="6"/>
      </items>
    </pivotField>
    <pivotField showAll="0" defaultSubtotal="0">
      <items count="12">
        <item x="0"/>
        <item x="1"/>
        <item x="2"/>
        <item x="3"/>
        <item x="4"/>
        <item x="5"/>
        <item x="6"/>
        <item x="7"/>
        <item x="8"/>
        <item x="9"/>
        <item x="10"/>
        <item x="11"/>
      </items>
    </pivotField>
    <pivotField numFmtId="164" showAll="0" defaultSubtotal="0">
      <items count="16">
        <item x="0"/>
        <item x="1"/>
        <item x="2"/>
        <item x="3"/>
        <item x="4"/>
        <item x="5"/>
        <item x="6"/>
        <item x="7"/>
        <item x="8"/>
        <item x="9"/>
        <item x="10"/>
        <item x="11"/>
        <item x="12"/>
        <item x="13"/>
        <item x="14"/>
        <item x="15"/>
      </items>
    </pivotField>
    <pivotField numFmtId="2" showAll="0" defaultSubtotal="0"/>
    <pivotField showAll="0" defaultSubtotal="0"/>
    <pivotField showAll="0" defaultSubtotal="0"/>
    <pivotField showAll="0" defaultSubtotal="0"/>
    <pivotField numFmtId="165" showAll="0" defaultSubtotal="0"/>
    <pivotField numFmtId="165" showAll="0" defaultSubtotal="0"/>
    <pivotField numFmtId="165" showAll="0" defaultSubtotal="0"/>
    <pivotField numFmtId="2" showAll="0" defaultSubtotal="0"/>
    <pivotField showAll="0" defaultSubtotal="0"/>
    <pivotField numFmtId="2" showAll="0" defaultSubtotal="0"/>
    <pivotField showAll="0" defaultSubtotal="0"/>
    <pivotField showAll="0" defaultSubtotal="0"/>
    <pivotField axis="axisRow" showAll="0" defaultSubtotal="0">
      <items count="3">
        <item x="2"/>
        <item x="1"/>
        <item x="0"/>
      </items>
    </pivotField>
    <pivotField showAll="0" defaultSubtotal="0"/>
    <pivotField showAll="0" defaultSubtotal="0"/>
    <pivotField showAll="0" defaultSubtotal="0"/>
    <pivotField axis="axisCol" dataField="1" showAll="0" defaultSubtotal="0">
      <items count="2">
        <item x="0"/>
        <item x="1"/>
      </items>
    </pivotField>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items count="14">
        <item sd="0" x="0"/>
        <item x="1"/>
        <item x="2"/>
        <item x="3"/>
        <item x="4"/>
        <item x="5"/>
        <item x="6"/>
        <item x="7"/>
        <item x="8"/>
        <item x="9"/>
        <item x="10"/>
        <item x="11"/>
        <item x="12"/>
        <item sd="0" x="13"/>
      </items>
    </pivotField>
    <pivotField showAll="0" defaultSubtotal="0">
      <items count="6">
        <item sd="0" x="0"/>
        <item x="1"/>
        <item x="2"/>
        <item x="3"/>
        <item x="4"/>
        <item sd="0" x="5"/>
      </items>
    </pivotField>
    <pivotField showAll="0" defaultSubtotal="0">
      <items count="4">
        <item sd="0" x="0"/>
        <item sd="0" x="1"/>
        <item sd="0" x="2"/>
        <item sd="0" x="3"/>
      </items>
    </pivotField>
  </pivotFields>
  <rowFields count="1">
    <field x="16"/>
  </rowFields>
  <rowItems count="4">
    <i>
      <x/>
    </i>
    <i>
      <x v="1"/>
    </i>
    <i>
      <x v="2"/>
    </i>
    <i t="grand">
      <x/>
    </i>
  </rowItems>
  <colFields count="1">
    <field x="20"/>
  </colFields>
  <colItems count="3">
    <i>
      <x/>
    </i>
    <i>
      <x v="1"/>
    </i>
    <i t="grand">
      <x/>
    </i>
  </colItems>
  <dataFields count="1">
    <dataField name="Count of Improvement_Check" fld="20" subtotal="count" baseField="0" baseItem="0"/>
  </dataFields>
  <formats count="45">
    <format dxfId="177">
      <pivotArea type="all" dataOnly="0" outline="0" fieldPosition="0"/>
    </format>
    <format dxfId="176">
      <pivotArea outline="0" collapsedLevelsAreSubtotals="1" fieldPosition="0"/>
    </format>
    <format dxfId="175">
      <pivotArea type="origin" dataOnly="0" labelOnly="1" outline="0" fieldPosition="0"/>
    </format>
    <format dxfId="174">
      <pivotArea type="topRight" dataOnly="0" labelOnly="1" outline="0" fieldPosition="0"/>
    </format>
    <format dxfId="173">
      <pivotArea type="origin" dataOnly="0" labelOnly="1" outline="0" fieldPosition="0"/>
    </format>
    <format dxfId="172">
      <pivotArea type="topRight" dataOnly="0" labelOnly="1" outline="0" fieldPosition="0"/>
    </format>
    <format dxfId="171">
      <pivotArea type="origin" dataOnly="0" labelOnly="1" outline="0" fieldPosition="0"/>
    </format>
    <format dxfId="170">
      <pivotArea type="topRight" dataOnly="0" labelOnly="1" outline="0" fieldPosition="0"/>
    </format>
    <format dxfId="169">
      <pivotArea type="origin" dataOnly="0" labelOnly="1" outline="0" fieldPosition="0"/>
    </format>
    <format dxfId="168">
      <pivotArea type="all" dataOnly="0" outline="0" fieldPosition="0"/>
    </format>
    <format dxfId="167">
      <pivotArea outline="0" collapsedLevelsAreSubtotals="1" fieldPosition="0"/>
    </format>
    <format dxfId="166">
      <pivotArea type="origin" dataOnly="0" labelOnly="1" outline="0" fieldPosition="0"/>
    </format>
    <format dxfId="165">
      <pivotArea type="topRight" dataOnly="0" labelOnly="1" outline="0" fieldPosition="0"/>
    </format>
    <format dxfId="164">
      <pivotArea type="all" dataOnly="0" outline="0" fieldPosition="0"/>
    </format>
    <format dxfId="163">
      <pivotArea outline="0" collapsedLevelsAreSubtotals="1" fieldPosition="0"/>
    </format>
    <format dxfId="162">
      <pivotArea dataOnly="0" labelOnly="1" outline="0" axis="axisValues" fieldPosition="0"/>
    </format>
    <format dxfId="161">
      <pivotArea dataOnly="0" labelOnly="1" outline="0" axis="axisValues" fieldPosition="0"/>
    </format>
    <format dxfId="160">
      <pivotArea field="2" type="button" dataOnly="0" labelOnly="1" outline="0"/>
    </format>
    <format dxfId="159">
      <pivotArea field="2" type="button" dataOnly="0" labelOnly="1" outline="0"/>
    </format>
    <format dxfId="158">
      <pivotArea type="origin" dataOnly="0" labelOnly="1" outline="0" fieldPosition="0"/>
    </format>
    <format dxfId="157">
      <pivotArea field="20" type="button" dataOnly="0" labelOnly="1" outline="0" axis="axisCol" fieldPosition="0"/>
    </format>
    <format dxfId="156">
      <pivotArea type="topRight" dataOnly="0" labelOnly="1" outline="0" fieldPosition="0"/>
    </format>
    <format dxfId="155">
      <pivotArea field="16" type="button" dataOnly="0" labelOnly="1" outline="0" axis="axisRow" fieldPosition="0"/>
    </format>
    <format dxfId="154">
      <pivotArea dataOnly="0" labelOnly="1" fieldPosition="0">
        <references count="1">
          <reference field="20" count="0"/>
        </references>
      </pivotArea>
    </format>
    <format dxfId="153">
      <pivotArea type="origin" dataOnly="0" labelOnly="1" outline="0" fieldPosition="0"/>
    </format>
    <format dxfId="152">
      <pivotArea field="20" type="button" dataOnly="0" labelOnly="1" outline="0" axis="axisCol" fieldPosition="0"/>
    </format>
    <format dxfId="151">
      <pivotArea type="topRight" dataOnly="0" labelOnly="1" outline="0" fieldPosition="0"/>
    </format>
    <format dxfId="150">
      <pivotArea field="16" type="button" dataOnly="0" labelOnly="1" outline="0" axis="axisRow" fieldPosition="0"/>
    </format>
    <format dxfId="149">
      <pivotArea dataOnly="0" labelOnly="1" fieldPosition="0">
        <references count="1">
          <reference field="20" count="0"/>
        </references>
      </pivotArea>
    </format>
    <format dxfId="148">
      <pivotArea dataOnly="0" labelOnly="1" grandCol="1" outline="0" fieldPosition="0"/>
    </format>
    <format dxfId="147">
      <pivotArea dataOnly="0" labelOnly="1" grandCol="1" outline="0" fieldPosition="0"/>
    </format>
    <format dxfId="146">
      <pivotArea grandRow="1" outline="0" collapsedLevelsAreSubtotals="1" fieldPosition="0"/>
    </format>
    <format dxfId="145">
      <pivotArea dataOnly="0" labelOnly="1" grandRow="1" outline="0" fieldPosition="0"/>
    </format>
    <format dxfId="144">
      <pivotArea grandRow="1" outline="0" collapsedLevelsAreSubtotals="1" fieldPosition="0"/>
    </format>
    <format dxfId="143">
      <pivotArea dataOnly="0" labelOnly="1" grandRow="1" outline="0" fieldPosition="0"/>
    </format>
    <format dxfId="142">
      <pivotArea type="all" dataOnly="0" outline="0" fieldPosition="0"/>
    </format>
    <format dxfId="141">
      <pivotArea outline="0" collapsedLevelsAreSubtotals="1" fieldPosition="0"/>
    </format>
    <format dxfId="140">
      <pivotArea type="origin" dataOnly="0" labelOnly="1" outline="0" fieldPosition="0"/>
    </format>
    <format dxfId="139">
      <pivotArea field="20" type="button" dataOnly="0" labelOnly="1" outline="0" axis="axisCol" fieldPosition="0"/>
    </format>
    <format dxfId="138">
      <pivotArea type="topRight" dataOnly="0" labelOnly="1" outline="0" fieldPosition="0"/>
    </format>
    <format dxfId="137">
      <pivotArea field="16" type="button" dataOnly="0" labelOnly="1" outline="0" axis="axisRow" fieldPosition="0"/>
    </format>
    <format dxfId="136">
      <pivotArea dataOnly="0" labelOnly="1" fieldPosition="0">
        <references count="1">
          <reference field="16" count="2">
            <x v="1"/>
            <x v="2"/>
          </reference>
        </references>
      </pivotArea>
    </format>
    <format dxfId="135">
      <pivotArea dataOnly="0" labelOnly="1" grandRow="1" outline="0" fieldPosition="0"/>
    </format>
    <format dxfId="134">
      <pivotArea dataOnly="0" labelOnly="1" fieldPosition="0">
        <references count="1">
          <reference field="20" count="0"/>
        </references>
      </pivotArea>
    </format>
    <format dxfId="13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B43F98-40C5-4EE8-AF80-51F234BB63E4}" name="PivotTable35" cacheId="60" applyNumberFormats="0" applyBorderFormats="0" applyFontFormats="0" applyPatternFormats="0" applyAlignmentFormats="0" applyWidthHeightFormats="1" dataCaption="Values" updatedVersion="8" minRefreshableVersion="3" itemPrintTitles="1" createdVersion="8" indent="0" outline="1" outlineData="1" multipleFieldFilters="0" colHeaderCaption="Improvement">
  <location ref="J21:M25" firstHeaderRow="1" firstDataRow="2" firstDataCol="1"/>
  <pivotFields count="30">
    <pivotField showAll="0" defaultSubtotal="0"/>
    <pivotField showAll="0" defaultSubtotal="0">
      <items count="7">
        <item x="0"/>
        <item h="1" x="1"/>
        <item h="1" x="2"/>
        <item h="1" x="3"/>
        <item h="1" x="4"/>
        <item h="1" x="5"/>
        <item h="1" x="6"/>
      </items>
    </pivotField>
    <pivotField showAll="0" defaultSubtotal="0">
      <items count="12">
        <item x="0"/>
        <item x="1"/>
        <item x="2"/>
        <item x="3"/>
        <item x="4"/>
        <item x="5"/>
        <item x="6"/>
        <item x="7"/>
        <item x="8"/>
        <item x="9"/>
        <item x="10"/>
        <item x="11"/>
      </items>
    </pivotField>
    <pivotField numFmtId="164" showAll="0" defaultSubtotal="0">
      <items count="16">
        <item x="0"/>
        <item x="1"/>
        <item x="2"/>
        <item x="3"/>
        <item x="4"/>
        <item x="5"/>
        <item x="6"/>
        <item x="7"/>
        <item x="8"/>
        <item x="9"/>
        <item x="10"/>
        <item x="11"/>
        <item x="12"/>
        <item x="13"/>
        <item x="14"/>
        <item x="15"/>
      </items>
    </pivotField>
    <pivotField numFmtId="2" showAll="0" defaultSubtotal="0"/>
    <pivotField showAll="0" defaultSubtotal="0"/>
    <pivotField showAll="0" defaultSubtotal="0"/>
    <pivotField showAll="0" defaultSubtotal="0"/>
    <pivotField numFmtId="165" showAll="0" defaultSubtotal="0"/>
    <pivotField numFmtId="165" showAll="0" defaultSubtotal="0"/>
    <pivotField numFmtId="165" showAll="0" defaultSubtotal="0"/>
    <pivotField numFmtId="2" showAll="0" defaultSubtotal="0"/>
    <pivotField showAll="0" defaultSubtotal="0"/>
    <pivotField numFmtId="2" showAll="0" defaultSubtotal="0"/>
    <pivotField showAll="0" defaultSubtotal="0"/>
    <pivotField showAll="0" defaultSubtotal="0"/>
    <pivotField showAll="0" defaultSubtotal="0"/>
    <pivotField showAll="0" defaultSubtotal="0"/>
    <pivotField showAll="0" defaultSubtotal="0"/>
    <pivotField showAll="0" defaultSubtotal="0"/>
    <pivotField axis="axisCol" dataField="1" showAll="0" defaultSubtotal="0">
      <items count="2">
        <item x="0"/>
        <item x="1"/>
      </items>
    </pivotField>
    <pivotField axis="axisRow" showAll="0" defaultSubtotal="0">
      <items count="2">
        <item x="1"/>
        <item x="0"/>
      </items>
    </pivotField>
    <pivotField showAll="0" defaultSubtotal="0"/>
    <pivotField showAll="0" defaultSubtotal="0"/>
    <pivotField subtotalTop="0" showAll="0" defaultSubtotal="0"/>
    <pivotField subtotalTop="0" showAll="0" defaultSubtotal="0"/>
    <pivotField showAll="0" defaultSubtotal="0"/>
    <pivotField showAll="0" defaultSubtotal="0">
      <items count="14">
        <item sd="0" x="0"/>
        <item x="1"/>
        <item x="2"/>
        <item x="3"/>
        <item x="4"/>
        <item x="5"/>
        <item x="6"/>
        <item x="7"/>
        <item x="8"/>
        <item x="9"/>
        <item x="10"/>
        <item x="11"/>
        <item x="12"/>
        <item sd="0" x="13"/>
      </items>
    </pivotField>
    <pivotField showAll="0" defaultSubtotal="0">
      <items count="6">
        <item sd="0" x="0"/>
        <item x="1"/>
        <item x="2"/>
        <item x="3"/>
        <item x="4"/>
        <item sd="0" x="5"/>
      </items>
    </pivotField>
    <pivotField showAll="0" defaultSubtotal="0">
      <items count="4">
        <item sd="0" x="0"/>
        <item sd="0" x="1"/>
        <item sd="0" x="2"/>
        <item sd="0" x="3"/>
      </items>
    </pivotField>
  </pivotFields>
  <rowFields count="1">
    <field x="21"/>
  </rowFields>
  <rowItems count="3">
    <i>
      <x/>
    </i>
    <i>
      <x v="1"/>
    </i>
    <i t="grand">
      <x/>
    </i>
  </rowItems>
  <colFields count="1">
    <field x="20"/>
  </colFields>
  <colItems count="3">
    <i>
      <x/>
    </i>
    <i>
      <x v="1"/>
    </i>
    <i t="grand">
      <x/>
    </i>
  </colItems>
  <dataFields count="1">
    <dataField name="Distance" fld="20" subtotal="count" baseField="0" baseItem="0"/>
  </dataFields>
  <formats count="43">
    <format dxfId="220">
      <pivotArea type="all" dataOnly="0" outline="0" fieldPosition="0"/>
    </format>
    <format dxfId="219">
      <pivotArea outline="0" collapsedLevelsAreSubtotals="1" fieldPosition="0"/>
    </format>
    <format dxfId="218">
      <pivotArea type="origin" dataOnly="0" labelOnly="1" outline="0" fieldPosition="0"/>
    </format>
    <format dxfId="217">
      <pivotArea type="topRight" dataOnly="0" labelOnly="1" outline="0" fieldPosition="0"/>
    </format>
    <format dxfId="216">
      <pivotArea type="origin" dataOnly="0" labelOnly="1" outline="0" fieldPosition="0"/>
    </format>
    <format dxfId="215">
      <pivotArea type="topRight" dataOnly="0" labelOnly="1" outline="0" fieldPosition="0"/>
    </format>
    <format dxfId="214">
      <pivotArea type="origin" dataOnly="0" labelOnly="1" outline="0" fieldPosition="0"/>
    </format>
    <format dxfId="213">
      <pivotArea type="topRight" dataOnly="0" labelOnly="1" outline="0" fieldPosition="0"/>
    </format>
    <format dxfId="212">
      <pivotArea type="origin" dataOnly="0" labelOnly="1" outline="0" fieldPosition="0"/>
    </format>
    <format dxfId="211">
      <pivotArea type="all" dataOnly="0" outline="0" fieldPosition="0"/>
    </format>
    <format dxfId="210">
      <pivotArea outline="0" collapsedLevelsAreSubtotals="1" fieldPosition="0"/>
    </format>
    <format dxfId="209">
      <pivotArea type="origin" dataOnly="0" labelOnly="1" outline="0" fieldPosition="0"/>
    </format>
    <format dxfId="208">
      <pivotArea type="topRight" dataOnly="0" labelOnly="1" outline="0" fieldPosition="0"/>
    </format>
    <format dxfId="207">
      <pivotArea type="all" dataOnly="0" outline="0" fieldPosition="0"/>
    </format>
    <format dxfId="206">
      <pivotArea outline="0" collapsedLevelsAreSubtotals="1" fieldPosition="0"/>
    </format>
    <format dxfId="205">
      <pivotArea dataOnly="0" labelOnly="1" outline="0" axis="axisValues" fieldPosition="0"/>
    </format>
    <format dxfId="204">
      <pivotArea dataOnly="0" labelOnly="1" outline="0" axis="axisValues" fieldPosition="0"/>
    </format>
    <format dxfId="203">
      <pivotArea field="2" type="button" dataOnly="0" labelOnly="1" outline="0"/>
    </format>
    <format dxfId="202">
      <pivotArea field="2" type="button" dataOnly="0" labelOnly="1" outline="0"/>
    </format>
    <format dxfId="201">
      <pivotArea dataOnly="0" grandRow="1" fieldPosition="0"/>
    </format>
    <format dxfId="200">
      <pivotArea dataOnly="0" grandRow="1" fieldPosition="0"/>
    </format>
    <format dxfId="199">
      <pivotArea type="origin" dataOnly="0" labelOnly="1" outline="0" fieldPosition="0"/>
    </format>
    <format dxfId="198">
      <pivotArea field="20" type="button" dataOnly="0" labelOnly="1" outline="0" axis="axisCol" fieldPosition="0"/>
    </format>
    <format dxfId="197">
      <pivotArea type="topRight" dataOnly="0" labelOnly="1" outline="0" fieldPosition="0"/>
    </format>
    <format dxfId="196">
      <pivotArea field="21" type="button" dataOnly="0" labelOnly="1" outline="0" axis="axisRow" fieldPosition="0"/>
    </format>
    <format dxfId="195">
      <pivotArea dataOnly="0" labelOnly="1" fieldPosition="0">
        <references count="1">
          <reference field="20" count="0"/>
        </references>
      </pivotArea>
    </format>
    <format dxfId="194">
      <pivotArea dataOnly="0" labelOnly="1" grandCol="1" outline="0" fieldPosition="0"/>
    </format>
    <format dxfId="193">
      <pivotArea type="origin" dataOnly="0" labelOnly="1" outline="0" fieldPosition="0"/>
    </format>
    <format dxfId="192">
      <pivotArea field="20" type="button" dataOnly="0" labelOnly="1" outline="0" axis="axisCol" fieldPosition="0"/>
    </format>
    <format dxfId="191">
      <pivotArea type="topRight" dataOnly="0" labelOnly="1" outline="0" fieldPosition="0"/>
    </format>
    <format dxfId="190">
      <pivotArea field="21" type="button" dataOnly="0" labelOnly="1" outline="0" axis="axisRow" fieldPosition="0"/>
    </format>
    <format dxfId="189">
      <pivotArea dataOnly="0" labelOnly="1" fieldPosition="0">
        <references count="1">
          <reference field="20" count="0"/>
        </references>
      </pivotArea>
    </format>
    <format dxfId="188">
      <pivotArea dataOnly="0" labelOnly="1" grandCol="1" outline="0" fieldPosition="0"/>
    </format>
    <format dxfId="187">
      <pivotArea type="all" dataOnly="0" outline="0" fieldPosition="0"/>
    </format>
    <format dxfId="186">
      <pivotArea outline="0" collapsedLevelsAreSubtotals="1" fieldPosition="0"/>
    </format>
    <format dxfId="185">
      <pivotArea type="origin" dataOnly="0" labelOnly="1" outline="0" fieldPosition="0"/>
    </format>
    <format dxfId="184">
      <pivotArea field="20" type="button" dataOnly="0" labelOnly="1" outline="0" axis="axisCol" fieldPosition="0"/>
    </format>
    <format dxfId="183">
      <pivotArea type="topRight" dataOnly="0" labelOnly="1" outline="0" fieldPosition="0"/>
    </format>
    <format dxfId="182">
      <pivotArea field="21" type="button" dataOnly="0" labelOnly="1" outline="0" axis="axisRow" fieldPosition="0"/>
    </format>
    <format dxfId="181">
      <pivotArea dataOnly="0" labelOnly="1" fieldPosition="0">
        <references count="1">
          <reference field="21" count="0"/>
        </references>
      </pivotArea>
    </format>
    <format dxfId="180">
      <pivotArea dataOnly="0" labelOnly="1" grandRow="1" outline="0" fieldPosition="0"/>
    </format>
    <format dxfId="179">
      <pivotArea dataOnly="0" labelOnly="1" fieldPosition="0">
        <references count="1">
          <reference field="20" count="0"/>
        </references>
      </pivotArea>
    </format>
    <format dxfId="17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F324E0-9DFB-4EB4-BEC3-B7CB7A0F02D5}" name="PivotTable40" cacheId="6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etrics">
  <location ref="J4:L17" firstHeaderRow="0" firstDataRow="1" firstDataCol="1"/>
  <pivotFields count="30">
    <pivotField showAll="0" defaultSubtotal="0"/>
    <pivotField showAll="0" defaultSubtotal="0">
      <items count="7">
        <item x="0"/>
        <item h="1" x="1"/>
        <item h="1" x="2"/>
        <item h="1" x="3"/>
        <item h="1" x="4"/>
        <item h="1" x="5"/>
        <item h="1" x="6"/>
      </items>
    </pivotField>
    <pivotField axis="axisRow" showAll="0" defaultSubtotal="0">
      <items count="12">
        <item x="0"/>
        <item x="1"/>
        <item x="2"/>
        <item x="3"/>
        <item x="4"/>
        <item x="5"/>
        <item x="6"/>
        <item x="7"/>
        <item x="8"/>
        <item x="9"/>
        <item x="10"/>
        <item x="11"/>
      </items>
    </pivotField>
    <pivotField numFmtId="164" showAll="0" defaultSubtotal="0">
      <items count="16">
        <item x="0"/>
        <item x="1"/>
        <item x="2"/>
        <item x="3"/>
        <item x="4"/>
        <item x="5"/>
        <item x="6"/>
        <item x="7"/>
        <item x="8"/>
        <item x="9"/>
        <item x="10"/>
        <item x="11"/>
        <item x="12"/>
        <item x="13"/>
        <item x="14"/>
        <item x="15"/>
      </items>
    </pivotField>
    <pivotField numFmtId="2" showAll="0" defaultSubtotal="0"/>
    <pivotField dataField="1" showAll="0" defaultSubtotal="0"/>
    <pivotField showAll="0" defaultSubtotal="0"/>
    <pivotField showAll="0" defaultSubtotal="0"/>
    <pivotField numFmtId="165" showAll="0" defaultSubtotal="0"/>
    <pivotField numFmtId="165" showAll="0" defaultSubtotal="0"/>
    <pivotField numFmtId="165" showAll="0" defaultSubtotal="0"/>
    <pivotField numFmtId="2" showAll="0" defaultSubtotal="0"/>
    <pivotField showAll="0" defaultSubtotal="0"/>
    <pivotField numFmtId="2"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items count="14">
        <item sd="0" x="0"/>
        <item x="1"/>
        <item x="2"/>
        <item x="3"/>
        <item x="4"/>
        <item x="5"/>
        <item x="6"/>
        <item x="7"/>
        <item x="8"/>
        <item x="9"/>
        <item x="10"/>
        <item x="11"/>
        <item x="12"/>
        <item sd="0" x="13"/>
      </items>
    </pivotField>
    <pivotField showAll="0" defaultSubtotal="0">
      <items count="6">
        <item sd="0" x="0"/>
        <item x="1"/>
        <item x="2"/>
        <item x="3"/>
        <item x="4"/>
        <item sd="0" x="5"/>
      </items>
    </pivotField>
    <pivotField showAll="0" defaultSubtotal="0">
      <items count="4">
        <item sd="0" x="0"/>
        <item sd="0" x="1"/>
        <item sd="0" x="2"/>
        <item sd="0" x="3"/>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New_Intervention" fld="19" baseField="2" baseItem="2"/>
    <dataField name="Sum of intervention" fld="5" baseField="2" baseItem="2"/>
  </dataFields>
  <formats count="29">
    <format dxfId="249">
      <pivotArea type="all" dataOnly="0" outline="0" fieldPosition="0"/>
    </format>
    <format dxfId="248">
      <pivotArea outline="0" collapsedLevelsAreSubtotals="1" fieldPosition="0"/>
    </format>
    <format dxfId="247">
      <pivotArea type="origin" dataOnly="0" labelOnly="1" outline="0" fieldPosition="0"/>
    </format>
    <format dxfId="246">
      <pivotArea type="topRight" dataOnly="0" labelOnly="1" outline="0" fieldPosition="0"/>
    </format>
    <format dxfId="245">
      <pivotArea type="origin" dataOnly="0" labelOnly="1" outline="0" fieldPosition="0"/>
    </format>
    <format dxfId="244">
      <pivotArea type="topRight" dataOnly="0" labelOnly="1" outline="0" fieldPosition="0"/>
    </format>
    <format dxfId="243">
      <pivotArea type="origin" dataOnly="0" labelOnly="1" outline="0" fieldPosition="0"/>
    </format>
    <format dxfId="242">
      <pivotArea type="topRight" dataOnly="0" labelOnly="1" outline="0" fieldPosition="0"/>
    </format>
    <format dxfId="241">
      <pivotArea type="origin" dataOnly="0" labelOnly="1" outline="0" fieldPosition="0"/>
    </format>
    <format dxfId="240">
      <pivotArea type="all" dataOnly="0" outline="0" fieldPosition="0"/>
    </format>
    <format dxfId="239">
      <pivotArea outline="0" collapsedLevelsAreSubtotals="1" fieldPosition="0"/>
    </format>
    <format dxfId="238">
      <pivotArea type="origin" dataOnly="0" labelOnly="1" outline="0" fieldPosition="0"/>
    </format>
    <format dxfId="237">
      <pivotArea type="topRight" dataOnly="0" labelOnly="1" outline="0" fieldPosition="0"/>
    </format>
    <format dxfId="236">
      <pivotArea type="all" dataOnly="0" outline="0" fieldPosition="0"/>
    </format>
    <format dxfId="235">
      <pivotArea outline="0" collapsedLevelsAreSubtotals="1" fieldPosition="0"/>
    </format>
    <format dxfId="234">
      <pivotArea dataOnly="0" labelOnly="1" outline="0" axis="axisValues" fieldPosition="0"/>
    </format>
    <format dxfId="233">
      <pivotArea dataOnly="0" labelOnly="1" outline="0" axis="axisValues" fieldPosition="0"/>
    </format>
    <format dxfId="232">
      <pivotArea field="2" type="button" dataOnly="0" labelOnly="1" outline="0" axis="axisRow" fieldPosition="0"/>
    </format>
    <format dxfId="231">
      <pivotArea dataOnly="0" labelOnly="1" outline="0" fieldPosition="0">
        <references count="1">
          <reference field="4294967294" count="2">
            <x v="0"/>
            <x v="1"/>
          </reference>
        </references>
      </pivotArea>
    </format>
    <format dxfId="230">
      <pivotArea field="2" type="button" dataOnly="0" labelOnly="1" outline="0" axis="axisRow" fieldPosition="0"/>
    </format>
    <format dxfId="229">
      <pivotArea dataOnly="0" labelOnly="1" outline="0" fieldPosition="0">
        <references count="1">
          <reference field="4294967294" count="2">
            <x v="0"/>
            <x v="1"/>
          </reference>
        </references>
      </pivotArea>
    </format>
    <format dxfId="228">
      <pivotArea dataOnly="0" grandRow="1" fieldPosition="0"/>
    </format>
    <format dxfId="227">
      <pivotArea dataOnly="0" grandRow="1" fieldPosition="0"/>
    </format>
    <format dxfId="226">
      <pivotArea type="all" dataOnly="0" outline="0" fieldPosition="0"/>
    </format>
    <format dxfId="225">
      <pivotArea outline="0" collapsedLevelsAreSubtotals="1" fieldPosition="0"/>
    </format>
    <format dxfId="224">
      <pivotArea field="2" type="button" dataOnly="0" labelOnly="1" outline="0" axis="axisRow" fieldPosition="0"/>
    </format>
    <format dxfId="223">
      <pivotArea dataOnly="0" labelOnly="1" fieldPosition="0">
        <references count="1">
          <reference field="2" count="0"/>
        </references>
      </pivotArea>
    </format>
    <format dxfId="222">
      <pivotArea dataOnly="0" labelOnly="1" grandRow="1" outline="0" fieldPosition="0"/>
    </format>
    <format dxfId="22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1" xr10:uid="{28D7ABB2-8C42-4386-A82D-6DD20F516962}" sourceName="Site">
  <pivotTables>
    <pivotTable tabId="11" name="PivotTable1"/>
    <pivotTable tabId="11" name="PivotTable2"/>
    <pivotTable tabId="20" name="PivotTable34"/>
    <pivotTable tabId="20" name="PivotTable35"/>
    <pivotTable tabId="20" name="PivotTable36"/>
    <pivotTable tabId="20" name="PivotTable37"/>
    <pivotTable tabId="20" name="PivotTable38"/>
    <pivotTable tabId="20" name="PivotTable39"/>
    <pivotTable tabId="20" name="PivotTable40"/>
    <pivotTable tabId="11" name="PivotTable41"/>
  </pivotTables>
  <data>
    <tabular pivotCacheId="1104071016" showMissing="0">
      <items count="7">
        <i x="0" s="1"/>
        <i x="1"/>
        <i x="2"/>
        <i x="3"/>
        <i x="4"/>
        <i x="5"/>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te 1" xr10:uid="{92484299-6661-4B47-812E-7D1A0499B49E}" cache="Slicer_Site1" caption="Site" columnCount="7" showCaption="0" style="Capstone" rowHeight="10972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te 2" xr10:uid="{018FA137-EEE1-4CD5-9998-DB6DDE9B4DDA}" cache="Slicer_Site1" caption="Site" columnCount="7" showCaption="0" style="SlicerStyleDark1" rowHeight="4572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3B23D-F8B8-4BF6-87C3-0CD964C11112}">
  <dimension ref="A1:AB1300"/>
  <sheetViews>
    <sheetView zoomScale="59" zoomScaleNormal="112" workbookViewId="0">
      <selection activeCell="Z8" sqref="Z8:AA21"/>
    </sheetView>
  </sheetViews>
  <sheetFormatPr defaultRowHeight="14.4" x14ac:dyDescent="0.3"/>
  <cols>
    <col min="3" max="3" width="24" bestFit="1" customWidth="1"/>
    <col min="4" max="4" width="11.21875" style="3" bestFit="1" customWidth="1"/>
    <col min="5" max="5" width="12" bestFit="1" customWidth="1"/>
    <col min="6" max="6" width="11.33203125" bestFit="1" customWidth="1"/>
    <col min="7" max="7" width="11" bestFit="1" customWidth="1"/>
    <col min="9" max="9" width="10.77734375" bestFit="1" customWidth="1"/>
    <col min="12" max="12" width="13.33203125" bestFit="1" customWidth="1"/>
    <col min="13" max="13" width="11.5546875" bestFit="1" customWidth="1"/>
    <col min="14" max="14" width="19.77734375" bestFit="1" customWidth="1"/>
    <col min="15" max="15" width="16.77734375" bestFit="1" customWidth="1"/>
    <col min="16" max="16" width="17.6640625" bestFit="1" customWidth="1"/>
    <col min="17" max="17" width="19.77734375" bestFit="1" customWidth="1"/>
    <col min="18" max="18" width="21.5546875" bestFit="1" customWidth="1"/>
    <col min="19" max="19" width="21.88671875" bestFit="1" customWidth="1"/>
    <col min="20" max="20" width="16.5546875" bestFit="1" customWidth="1"/>
    <col min="21" max="21" width="20.21875" bestFit="1" customWidth="1"/>
    <col min="22" max="22" width="14.5546875" bestFit="1" customWidth="1"/>
    <col min="24" max="24" width="17.77734375" bestFit="1" customWidth="1"/>
    <col min="25" max="25" width="87.21875" bestFit="1" customWidth="1"/>
    <col min="26" max="26" width="27.77734375" bestFit="1" customWidth="1"/>
    <col min="27" max="27" width="16.77734375" bestFit="1" customWidth="1"/>
    <col min="28" max="28" width="20.77734375" bestFit="1" customWidth="1"/>
    <col min="29" max="29" width="11.33203125" bestFit="1" customWidth="1"/>
    <col min="30" max="30" width="16.44140625" bestFit="1" customWidth="1"/>
    <col min="31" max="31" width="20.21875" bestFit="1" customWidth="1"/>
    <col min="32" max="32" width="11.109375" bestFit="1" customWidth="1"/>
    <col min="33" max="33" width="13.5546875" bestFit="1" customWidth="1"/>
    <col min="34" max="34" width="20.5546875" bestFit="1" customWidth="1"/>
    <col min="35" max="35" width="26.6640625" bestFit="1" customWidth="1"/>
  </cols>
  <sheetData>
    <row r="1" spans="1:28" s="1" customFormat="1" x14ac:dyDescent="0.3">
      <c r="A1" s="10" t="s">
        <v>0</v>
      </c>
      <c r="B1" s="10" t="s">
        <v>1</v>
      </c>
      <c r="C1" s="10" t="s">
        <v>2</v>
      </c>
      <c r="D1" s="10" t="s">
        <v>3</v>
      </c>
      <c r="E1" s="10" t="s">
        <v>4</v>
      </c>
      <c r="F1" s="10" t="s">
        <v>5</v>
      </c>
      <c r="G1" s="10" t="s">
        <v>6</v>
      </c>
      <c r="H1" s="10" t="s">
        <v>7</v>
      </c>
      <c r="I1" s="10" t="s">
        <v>8</v>
      </c>
      <c r="J1" s="10" t="s">
        <v>34</v>
      </c>
      <c r="K1" s="10" t="s">
        <v>35</v>
      </c>
      <c r="L1" s="10" t="s">
        <v>36</v>
      </c>
      <c r="M1" s="10" t="s">
        <v>37</v>
      </c>
      <c r="N1" s="10" t="s">
        <v>38</v>
      </c>
      <c r="O1" s="10" t="s">
        <v>39</v>
      </c>
      <c r="P1" s="10" t="s">
        <v>40</v>
      </c>
      <c r="Q1" s="10" t="s">
        <v>43</v>
      </c>
      <c r="R1" s="1" t="s">
        <v>9</v>
      </c>
      <c r="S1" s="1" t="s">
        <v>45</v>
      </c>
      <c r="T1" s="2" t="s">
        <v>47</v>
      </c>
      <c r="U1" s="2" t="s">
        <v>59</v>
      </c>
      <c r="V1" s="2" t="s">
        <v>60</v>
      </c>
      <c r="W1" s="2" t="s">
        <v>61</v>
      </c>
      <c r="X1" s="2" t="s">
        <v>62</v>
      </c>
      <c r="Y1" s="12" t="s">
        <v>77</v>
      </c>
      <c r="Z1" s="13">
        <f>'Control panel'!AB13</f>
        <v>0.01</v>
      </c>
      <c r="AA1" t="s">
        <v>55</v>
      </c>
    </row>
    <row r="2" spans="1:28" x14ac:dyDescent="0.3">
      <c r="A2" t="s">
        <v>10</v>
      </c>
      <c r="B2" t="s">
        <v>11</v>
      </c>
      <c r="C2" t="s">
        <v>12</v>
      </c>
      <c r="D2" s="3">
        <v>45535</v>
      </c>
      <c r="E2" s="6">
        <v>0.30399999999999999</v>
      </c>
      <c r="F2">
        <v>0</v>
      </c>
      <c r="G2" t="s">
        <v>13</v>
      </c>
      <c r="H2">
        <v>0.27</v>
      </c>
      <c r="I2" s="8">
        <v>1.69999999999998E-2</v>
      </c>
      <c r="J2" s="5">
        <f>AVERAGEIF($C:$C,C2,$I:$I)</f>
        <v>1.2504550363164104E-2</v>
      </c>
      <c r="K2" s="5" cm="1">
        <f t="array" ref="K2">_xlfn.STDEV.S(IF($C:$C=C2,$I:$I))</f>
        <v>5.3924507863027986E-2</v>
      </c>
      <c r="L2" s="7">
        <f>IFERROR((I2-J2)/K2,0)</f>
        <v>8.3365612686803772E-2</v>
      </c>
      <c r="M2">
        <f>IF(L2&lt;=-$Z$4,1,IF(L2&gt;=$Z$4,-1,0))</f>
        <v>0</v>
      </c>
      <c r="N2" s="9">
        <f>IFERROR(IF(G2="DOWN",(E2-H2)/H2,(H2-E2)/H2),0)</f>
        <v>0.12592592592592583</v>
      </c>
      <c r="O2">
        <f>COUNTIFS($B$2:B2,B2,$C$2:C2,C2,$D$2:D2,"&lt;"&amp;D2,$F$2:F2,1)</f>
        <v>0</v>
      </c>
      <c r="P2">
        <f>IF(F2=1,IF(I2&gt;=$Z$1,1,-1),0)</f>
        <v>0</v>
      </c>
      <c r="Q2" t="str">
        <f>IF(I2&gt;=$Z$1,"Monitor",IF(AND(N2&gt;=$Z$2,L2&lt;=-$Z$4),IF(O2&lt;$Z$3,"Intervene","Escalate / Bigger Fix"),"Monitor"))</f>
        <v>Monitor</v>
      </c>
      <c r="R2">
        <v>0</v>
      </c>
      <c r="S2">
        <f>IF(Q2="Intervene",1,IF(Q2="Escalate / Bigger Fix",-1,0))</f>
        <v>0</v>
      </c>
      <c r="T2">
        <f>IF(Q2="Intervene",1,0)</f>
        <v>0</v>
      </c>
      <c r="U2" t="str">
        <f>IF(I2&gt;=$Z$1,"Improved Enough","Not Improved Enough")</f>
        <v>Improved Enough</v>
      </c>
      <c r="V2" t="str">
        <f>IF(N2&gt;=$Z$2,"Far","Close")</f>
        <v>Far</v>
      </c>
      <c r="W2" t="str">
        <f>IF(L2&lt;=-$Z$4,"Abnormal","Normal")</f>
        <v>Normal</v>
      </c>
      <c r="X2" t="str">
        <f>IF(O2&lt;$Z$3,"Allowed","Maxed Out")</f>
        <v>Allowed</v>
      </c>
      <c r="Y2" s="12" t="s">
        <v>41</v>
      </c>
      <c r="Z2" s="13">
        <f>'Control panel'!AB14</f>
        <v>0.02</v>
      </c>
      <c r="AA2" t="s">
        <v>56</v>
      </c>
    </row>
    <row r="3" spans="1:28" x14ac:dyDescent="0.3">
      <c r="A3" t="s">
        <v>10</v>
      </c>
      <c r="B3" t="s">
        <v>11</v>
      </c>
      <c r="C3" t="s">
        <v>12</v>
      </c>
      <c r="D3" s="3">
        <v>45565</v>
      </c>
      <c r="E3" s="6">
        <v>0.30009871668311938</v>
      </c>
      <c r="F3">
        <v>1</v>
      </c>
      <c r="G3" t="s">
        <v>13</v>
      </c>
      <c r="H3" s="6">
        <v>0.27</v>
      </c>
      <c r="I3" s="8">
        <v>1.283316880552832E-2</v>
      </c>
      <c r="J3" s="5">
        <f t="shared" ref="J3:J65" si="0">AVERAGEIF($C:$C,C3,$I:$I)</f>
        <v>1.2504550363164104E-2</v>
      </c>
      <c r="K3" s="5" cm="1">
        <f t="array" ref="K3">_xlfn.STDEV.S(IF($C:$C=C3,$I:$I))</f>
        <v>5.3924507863027986E-2</v>
      </c>
      <c r="L3" s="7">
        <f>IFERROR((I3-J3)/K3,0)</f>
        <v>6.0940462024971932E-3</v>
      </c>
      <c r="M3">
        <f t="shared" ref="M2:M65" si="1">IF(L3&lt;=-$Z$4,1,IF(L3&gt;=$Z$4,-1,0))</f>
        <v>0</v>
      </c>
      <c r="N3" s="9">
        <f t="shared" ref="N3:N66" si="2">IFERROR(IF(G3="DOWN",(E3-H3)/H3,(H3-E3)/H3),0)</f>
        <v>0.11147672845599764</v>
      </c>
      <c r="O3">
        <f>COUNTIFS($B$2:B3,B3,$C$2:C3,C3,$D$2:D3,"&lt;"&amp;D3,$F$2:F3,1)</f>
        <v>0</v>
      </c>
      <c r="P3">
        <f t="shared" ref="P3:P65" si="3">IF(AND(R3=1,I3&gt;0),1,IF(R3=1,-1,0))</f>
        <v>0</v>
      </c>
      <c r="Q3" t="str">
        <f t="shared" ref="Q3:Q66" si="4">IF(I3&gt;=$Z$1,"Monitor",IF(AND(N3&gt;=$Z$2,L3&lt;=-$Z$4),IF(O3&lt;$Z$3,"Intervene","Escalate / Bigger Fix"),"Monitor"))</f>
        <v>Monitor</v>
      </c>
      <c r="R3">
        <v>0</v>
      </c>
      <c r="S3">
        <f t="shared" ref="S3:S66" si="5">IF(Q3="Intervene",1,IF(Q3="Escalate / Bigger Fix",-1,0))</f>
        <v>0</v>
      </c>
      <c r="T3">
        <f t="shared" ref="T3:T66" si="6">IF(Q3="Intervene",1,0)</f>
        <v>0</v>
      </c>
      <c r="U3" t="str">
        <f>IF(I3&gt;=$Z$1,"Improved Enough","Not Improved Enough")</f>
        <v>Improved Enough</v>
      </c>
      <c r="V3" t="str">
        <f t="shared" ref="V3:V66" si="7">IF(N3&gt;=$Z$2,"Far","Close")</f>
        <v>Far</v>
      </c>
      <c r="W3" t="str">
        <f>IF(L3&lt;=-$Z$4,"Abnormal","Normal")</f>
        <v>Normal</v>
      </c>
      <c r="X3" t="str">
        <f t="shared" ref="X3:X66" si="8">IF(O3&lt;$Z$3,"Allowed","Maxed Out")</f>
        <v>Allowed</v>
      </c>
      <c r="Y3" s="12" t="s">
        <v>42</v>
      </c>
      <c r="Z3" s="32">
        <f>'Control panel'!AB15</f>
        <v>5</v>
      </c>
      <c r="AA3" t="s">
        <v>57</v>
      </c>
    </row>
    <row r="4" spans="1:28" x14ac:dyDescent="0.3">
      <c r="A4" t="s">
        <v>10</v>
      </c>
      <c r="B4" t="s">
        <v>11</v>
      </c>
      <c r="C4" t="s">
        <v>12</v>
      </c>
      <c r="D4" s="3">
        <v>45596</v>
      </c>
      <c r="E4" s="6">
        <v>0.29296875</v>
      </c>
      <c r="F4">
        <v>0</v>
      </c>
      <c r="G4" t="s">
        <v>13</v>
      </c>
      <c r="H4" s="6">
        <v>0.27</v>
      </c>
      <c r="I4" s="8">
        <v>2.3758737664473471E-2</v>
      </c>
      <c r="J4" s="5">
        <f>AVERAGEIF($C:$C,C4,$I:$I)</f>
        <v>1.2504550363164104E-2</v>
      </c>
      <c r="K4" s="5" cm="1">
        <f t="array" ref="K4">_xlfn.STDEV.S(IF($C:$C=C4,$I:$I))</f>
        <v>5.3924507863027986E-2</v>
      </c>
      <c r="L4" s="7">
        <f t="shared" ref="L4:L66" si="9">IFERROR((I4-J4)/K4,0)</f>
        <v>0.2087026427741499</v>
      </c>
      <c r="M4">
        <f t="shared" si="1"/>
        <v>0</v>
      </c>
      <c r="N4" s="9">
        <f t="shared" si="2"/>
        <v>8.5069444444444378E-2</v>
      </c>
      <c r="O4">
        <f>COUNTIFS($B$2:B4,B4,$C$2:C4,C4,$D$2:D4,"&lt;"&amp;D4,$F$2:F4,1)</f>
        <v>1</v>
      </c>
      <c r="P4">
        <f t="shared" si="3"/>
        <v>1</v>
      </c>
      <c r="Q4" t="str">
        <f t="shared" si="4"/>
        <v>Monitor</v>
      </c>
      <c r="R4">
        <v>1</v>
      </c>
      <c r="S4">
        <f>IF(Q4="Intervene",1,IF(Q4="Escalate / Bigger Fix",-1,0))</f>
        <v>0</v>
      </c>
      <c r="T4">
        <f t="shared" si="6"/>
        <v>0</v>
      </c>
      <c r="U4" t="str">
        <f t="shared" ref="U4:U66" si="10">IF(I4&gt;=$Z$1,"Improved Enough","Not Improved Enough")</f>
        <v>Improved Enough</v>
      </c>
      <c r="V4" t="str">
        <f t="shared" si="7"/>
        <v>Far</v>
      </c>
      <c r="W4" t="str">
        <f t="shared" ref="W4:W66" si="11">IF(L4&lt;=-$Z$4,"Abnormal","Normal")</f>
        <v>Normal</v>
      </c>
      <c r="X4" t="str">
        <f t="shared" si="8"/>
        <v>Allowed</v>
      </c>
      <c r="Y4" s="12" t="s">
        <v>50</v>
      </c>
      <c r="Z4" s="32">
        <f>'Control panel'!AB16</f>
        <v>0.5</v>
      </c>
      <c r="AA4" t="s">
        <v>58</v>
      </c>
      <c r="AB4" s="1"/>
    </row>
    <row r="5" spans="1:28" x14ac:dyDescent="0.3">
      <c r="A5" t="s">
        <v>10</v>
      </c>
      <c r="B5" t="s">
        <v>11</v>
      </c>
      <c r="C5" t="s">
        <v>12</v>
      </c>
      <c r="D5" s="3">
        <v>45626</v>
      </c>
      <c r="E5" s="6">
        <v>0.290885585</v>
      </c>
      <c r="F5">
        <v>0</v>
      </c>
      <c r="G5" t="s">
        <v>13</v>
      </c>
      <c r="H5" s="6">
        <v>0.27</v>
      </c>
      <c r="I5" s="8">
        <v>7.1105365333333261E-3</v>
      </c>
      <c r="J5" s="5">
        <f t="shared" si="0"/>
        <v>1.2504550363164104E-2</v>
      </c>
      <c r="K5" s="5" cm="1">
        <f t="array" ref="K5">_xlfn.STDEV.S(IF($C:$C=C5,$I:$I))</f>
        <v>5.3924507863027986E-2</v>
      </c>
      <c r="L5" s="7">
        <f t="shared" si="9"/>
        <v>-0.1000289857727019</v>
      </c>
      <c r="M5">
        <f t="shared" si="1"/>
        <v>0</v>
      </c>
      <c r="N5" s="9">
        <f t="shared" si="2"/>
        <v>7.7354018518518461E-2</v>
      </c>
      <c r="O5">
        <f>COUNTIFS($B$2:B5,B5,$C$2:C5,C5,$D$2:D5,"&lt;"&amp;D5,$F$2:F5,1)</f>
        <v>1</v>
      </c>
      <c r="P5">
        <f t="shared" si="3"/>
        <v>0</v>
      </c>
      <c r="Q5" t="str">
        <f t="shared" si="4"/>
        <v>Monitor</v>
      </c>
      <c r="R5">
        <v>0</v>
      </c>
      <c r="S5">
        <f t="shared" si="5"/>
        <v>0</v>
      </c>
      <c r="T5">
        <f t="shared" si="6"/>
        <v>0</v>
      </c>
      <c r="U5" t="str">
        <f t="shared" si="10"/>
        <v>Not Improved Enough</v>
      </c>
      <c r="V5" t="str">
        <f t="shared" si="7"/>
        <v>Far</v>
      </c>
      <c r="W5" t="str">
        <f>IF(L5&lt;=-$Z$4,"Abnormal","Normal")</f>
        <v>Normal</v>
      </c>
      <c r="X5" t="str">
        <f t="shared" si="8"/>
        <v>Allowed</v>
      </c>
    </row>
    <row r="6" spans="1:28" x14ac:dyDescent="0.3">
      <c r="A6" t="s">
        <v>10</v>
      </c>
      <c r="B6" t="s">
        <v>11</v>
      </c>
      <c r="C6" t="s">
        <v>12</v>
      </c>
      <c r="D6" s="3">
        <v>45657</v>
      </c>
      <c r="E6" s="6">
        <v>0.30193548387096769</v>
      </c>
      <c r="F6">
        <v>1</v>
      </c>
      <c r="G6" t="s">
        <v>13</v>
      </c>
      <c r="H6" s="6">
        <v>0.27</v>
      </c>
      <c r="I6" s="8">
        <v>-3.7987096785726558E-2</v>
      </c>
      <c r="J6" s="5">
        <f t="shared" si="0"/>
        <v>1.2504550363164104E-2</v>
      </c>
      <c r="K6" s="5" cm="1">
        <f t="array" ref="K6">_xlfn.STDEV.S(IF($C:$C=C6,$I:$I))</f>
        <v>5.3924507863027986E-2</v>
      </c>
      <c r="L6" s="7">
        <f t="shared" si="9"/>
        <v>-0.93633950776413155</v>
      </c>
      <c r="M6">
        <f t="shared" si="1"/>
        <v>1</v>
      </c>
      <c r="N6" s="9">
        <f t="shared" si="2"/>
        <v>0.11827956989247286</v>
      </c>
      <c r="O6">
        <f>COUNTIFS($B$2:B6,B6,$C$2:C6,C6,$D$2:D6,"&lt;"&amp;D6,$F$2:F6,1)</f>
        <v>1</v>
      </c>
      <c r="P6">
        <f t="shared" si="3"/>
        <v>0</v>
      </c>
      <c r="Q6" t="str">
        <f t="shared" si="4"/>
        <v>Intervene</v>
      </c>
      <c r="R6">
        <v>0</v>
      </c>
      <c r="S6">
        <f t="shared" si="5"/>
        <v>1</v>
      </c>
      <c r="T6">
        <f t="shared" si="6"/>
        <v>1</v>
      </c>
      <c r="U6" t="str">
        <f t="shared" si="10"/>
        <v>Not Improved Enough</v>
      </c>
      <c r="V6" t="str">
        <f t="shared" si="7"/>
        <v>Far</v>
      </c>
      <c r="W6" t="str">
        <f t="shared" si="11"/>
        <v>Abnormal</v>
      </c>
      <c r="X6" t="str">
        <f t="shared" si="8"/>
        <v>Allowed</v>
      </c>
    </row>
    <row r="7" spans="1:28" x14ac:dyDescent="0.3">
      <c r="A7" t="s">
        <v>10</v>
      </c>
      <c r="B7" t="s">
        <v>11</v>
      </c>
      <c r="C7" t="s">
        <v>12</v>
      </c>
      <c r="D7" s="3">
        <v>45688</v>
      </c>
      <c r="E7" s="6">
        <v>0.30232558139534882</v>
      </c>
      <c r="F7">
        <v>1</v>
      </c>
      <c r="G7" t="s">
        <v>13</v>
      </c>
      <c r="H7" s="6">
        <v>0.27</v>
      </c>
      <c r="I7" s="8">
        <v>-1.2919896640827949E-3</v>
      </c>
      <c r="J7" s="5">
        <f t="shared" si="0"/>
        <v>1.2504550363164104E-2</v>
      </c>
      <c r="K7" s="5" cm="1">
        <f t="array" ref="K7">_xlfn.STDEV.S(IF($C:$C=C7,$I:$I))</f>
        <v>5.3924507863027986E-2</v>
      </c>
      <c r="L7" s="7">
        <f t="shared" si="9"/>
        <v>-0.25584915976036487</v>
      </c>
      <c r="M7">
        <f t="shared" si="1"/>
        <v>0</v>
      </c>
      <c r="N7" s="9">
        <f t="shared" si="2"/>
        <v>0.11972437553832889</v>
      </c>
      <c r="O7">
        <f>COUNTIFS($B$2:B7,B7,$C$2:C7,C7,$D$2:D7,"&lt;"&amp;D7,$F$2:F7,1)</f>
        <v>2</v>
      </c>
      <c r="P7">
        <f t="shared" si="3"/>
        <v>-1</v>
      </c>
      <c r="Q7" t="str">
        <f t="shared" si="4"/>
        <v>Monitor</v>
      </c>
      <c r="R7">
        <v>1</v>
      </c>
      <c r="S7">
        <f t="shared" si="5"/>
        <v>0</v>
      </c>
      <c r="T7">
        <f t="shared" si="6"/>
        <v>0</v>
      </c>
      <c r="U7" t="str">
        <f t="shared" si="10"/>
        <v>Not Improved Enough</v>
      </c>
      <c r="V7" t="str">
        <f t="shared" si="7"/>
        <v>Far</v>
      </c>
      <c r="W7" t="str">
        <f t="shared" si="11"/>
        <v>Normal</v>
      </c>
      <c r="X7" t="str">
        <f t="shared" si="8"/>
        <v>Allowed</v>
      </c>
      <c r="Z7" s="92"/>
    </row>
    <row r="8" spans="1:28" x14ac:dyDescent="0.3">
      <c r="A8" t="s">
        <v>10</v>
      </c>
      <c r="B8" t="s">
        <v>11</v>
      </c>
      <c r="C8" t="s">
        <v>12</v>
      </c>
      <c r="D8" s="3">
        <v>45716</v>
      </c>
      <c r="E8" s="6">
        <v>0.28859278518037051</v>
      </c>
      <c r="F8">
        <v>0</v>
      </c>
      <c r="G8" t="s">
        <v>13</v>
      </c>
      <c r="H8" s="6">
        <v>0.27</v>
      </c>
      <c r="I8" s="8">
        <v>4.5423864403389802E-2</v>
      </c>
      <c r="J8" s="5">
        <f t="shared" si="0"/>
        <v>1.2504550363164104E-2</v>
      </c>
      <c r="K8" s="5" cm="1">
        <f t="array" ref="K8">_xlfn.STDEV.S(IF($C:$C=C8,$I:$I))</f>
        <v>5.3924507863027986E-2</v>
      </c>
      <c r="L8" s="7">
        <f t="shared" si="9"/>
        <v>0.61047036579069114</v>
      </c>
      <c r="M8">
        <f t="shared" si="1"/>
        <v>-1</v>
      </c>
      <c r="N8" s="9">
        <f t="shared" si="2"/>
        <v>6.8862167334705543E-2</v>
      </c>
      <c r="O8">
        <f>COUNTIFS($B$2:B8,B8,$C$2:C8,C8,$D$2:D8,"&lt;"&amp;D8,$F$2:F8,1)</f>
        <v>3</v>
      </c>
      <c r="P8">
        <f t="shared" si="3"/>
        <v>1</v>
      </c>
      <c r="Q8" t="str">
        <f t="shared" si="4"/>
        <v>Monitor</v>
      </c>
      <c r="R8">
        <v>1</v>
      </c>
      <c r="S8">
        <f t="shared" si="5"/>
        <v>0</v>
      </c>
      <c r="T8">
        <f t="shared" si="6"/>
        <v>0</v>
      </c>
      <c r="U8" t="str">
        <f t="shared" si="10"/>
        <v>Improved Enough</v>
      </c>
      <c r="V8" t="str">
        <f t="shared" si="7"/>
        <v>Far</v>
      </c>
      <c r="W8" t="str">
        <f t="shared" si="11"/>
        <v>Normal</v>
      </c>
      <c r="X8" t="str">
        <f t="shared" si="8"/>
        <v>Allowed</v>
      </c>
      <c r="Z8" s="10" t="s">
        <v>34</v>
      </c>
      <c r="AA8" s="92" t="s">
        <v>203</v>
      </c>
    </row>
    <row r="9" spans="1:28" x14ac:dyDescent="0.3">
      <c r="A9" t="s">
        <v>10</v>
      </c>
      <c r="B9" t="s">
        <v>11</v>
      </c>
      <c r="C9" t="s">
        <v>12</v>
      </c>
      <c r="D9" s="3">
        <v>45747</v>
      </c>
      <c r="E9" s="6">
        <v>0.27227885563959231</v>
      </c>
      <c r="F9">
        <v>0</v>
      </c>
      <c r="G9" t="s">
        <v>13</v>
      </c>
      <c r="H9" s="6">
        <v>0.27</v>
      </c>
      <c r="I9" s="8">
        <v>5.6529235582178518E-2</v>
      </c>
      <c r="J9" s="5">
        <f t="shared" si="0"/>
        <v>1.2504550363164104E-2</v>
      </c>
      <c r="K9" s="5" cm="1">
        <f t="array" ref="K9">_xlfn.STDEV.S(IF($C:$C=C9,$I:$I))</f>
        <v>5.3924507863027986E-2</v>
      </c>
      <c r="L9" s="7">
        <f t="shared" si="9"/>
        <v>0.81641329635942506</v>
      </c>
      <c r="M9">
        <f t="shared" si="1"/>
        <v>-1</v>
      </c>
      <c r="N9" s="9">
        <f t="shared" si="2"/>
        <v>8.4402060725640438E-3</v>
      </c>
      <c r="O9">
        <f>COUNTIFS($B$2:B9,B9,$C$2:C9,C9,$D$2:D9,"&lt;"&amp;D9,$F$2:F9,1)</f>
        <v>3</v>
      </c>
      <c r="P9">
        <f t="shared" si="3"/>
        <v>0</v>
      </c>
      <c r="Q9" t="str">
        <f t="shared" si="4"/>
        <v>Monitor</v>
      </c>
      <c r="R9">
        <v>0</v>
      </c>
      <c r="S9">
        <f t="shared" si="5"/>
        <v>0</v>
      </c>
      <c r="T9">
        <f t="shared" si="6"/>
        <v>0</v>
      </c>
      <c r="U9" t="str">
        <f t="shared" si="10"/>
        <v>Improved Enough</v>
      </c>
      <c r="V9" t="str">
        <f t="shared" si="7"/>
        <v>Close</v>
      </c>
      <c r="W9" t="str">
        <f t="shared" si="11"/>
        <v>Normal</v>
      </c>
      <c r="X9" t="str">
        <f t="shared" si="8"/>
        <v>Allowed</v>
      </c>
      <c r="Z9" s="10" t="s">
        <v>35</v>
      </c>
      <c r="AA9" s="92" t="s">
        <v>204</v>
      </c>
    </row>
    <row r="10" spans="1:28" x14ac:dyDescent="0.3">
      <c r="A10" t="s">
        <v>10</v>
      </c>
      <c r="B10" t="s">
        <v>11</v>
      </c>
      <c r="C10" t="s">
        <v>12</v>
      </c>
      <c r="D10" s="3">
        <v>45777</v>
      </c>
      <c r="E10" s="6">
        <v>0.25540540540540541</v>
      </c>
      <c r="F10">
        <v>0</v>
      </c>
      <c r="G10" t="s">
        <v>13</v>
      </c>
      <c r="H10" s="6">
        <v>0.27</v>
      </c>
      <c r="I10" s="8">
        <v>6.1971210340775802E-2</v>
      </c>
      <c r="J10" s="5">
        <f t="shared" si="0"/>
        <v>1.2504550363164104E-2</v>
      </c>
      <c r="K10" s="5" cm="1">
        <f t="array" ref="K10">_xlfn.STDEV.S(IF($C:$C=C10,$I:$I))</f>
        <v>5.3924507863027986E-2</v>
      </c>
      <c r="L10" s="7">
        <f t="shared" si="9"/>
        <v>0.91733169087533384</v>
      </c>
      <c r="M10">
        <f t="shared" si="1"/>
        <v>-1</v>
      </c>
      <c r="N10" s="9">
        <f t="shared" si="2"/>
        <v>-5.4054054054054113E-2</v>
      </c>
      <c r="O10">
        <f>COUNTIFS($B$2:B10,B10,$C$2:C10,C10,$D$2:D10,"&lt;"&amp;D10,$F$2:F10,1)</f>
        <v>3</v>
      </c>
      <c r="P10">
        <f t="shared" si="3"/>
        <v>0</v>
      </c>
      <c r="Q10" t="str">
        <f t="shared" si="4"/>
        <v>Monitor</v>
      </c>
      <c r="R10">
        <v>0</v>
      </c>
      <c r="S10">
        <f t="shared" si="5"/>
        <v>0</v>
      </c>
      <c r="T10">
        <f t="shared" si="6"/>
        <v>0</v>
      </c>
      <c r="U10" t="str">
        <f t="shared" si="10"/>
        <v>Improved Enough</v>
      </c>
      <c r="V10" t="str">
        <f t="shared" si="7"/>
        <v>Close</v>
      </c>
      <c r="W10" t="str">
        <f t="shared" si="11"/>
        <v>Normal</v>
      </c>
      <c r="X10" t="str">
        <f t="shared" si="8"/>
        <v>Allowed</v>
      </c>
      <c r="Z10" s="10" t="s">
        <v>36</v>
      </c>
      <c r="AA10" s="92" t="s">
        <v>205</v>
      </c>
    </row>
    <row r="11" spans="1:28" x14ac:dyDescent="0.3">
      <c r="A11" t="s">
        <v>10</v>
      </c>
      <c r="B11" t="s">
        <v>11</v>
      </c>
      <c r="C11" t="s">
        <v>12</v>
      </c>
      <c r="D11" s="3">
        <v>45808</v>
      </c>
      <c r="E11" s="6">
        <v>0.25311203319502068</v>
      </c>
      <c r="F11">
        <v>0</v>
      </c>
      <c r="G11" t="s">
        <v>13</v>
      </c>
      <c r="H11" s="6">
        <v>0.27</v>
      </c>
      <c r="I11" s="8">
        <v>8.9793409295486609E-3</v>
      </c>
      <c r="J11" s="5">
        <f t="shared" si="0"/>
        <v>1.2504550363164104E-2</v>
      </c>
      <c r="K11" s="5" cm="1">
        <f t="array" ref="K11">_xlfn.STDEV.S(IF($C:$C=C11,$I:$I))</f>
        <v>5.3924507863027986E-2</v>
      </c>
      <c r="L11" s="7">
        <f t="shared" si="9"/>
        <v>-6.5373047864798722E-2</v>
      </c>
      <c r="M11">
        <f t="shared" si="1"/>
        <v>0</v>
      </c>
      <c r="N11" s="9">
        <f t="shared" si="2"/>
        <v>-6.2548025203627178E-2</v>
      </c>
      <c r="O11">
        <f>COUNTIFS($B$2:B11,B11,$C$2:C11,C11,$D$2:D11,"&lt;"&amp;D11,$F$2:F11,1)</f>
        <v>3</v>
      </c>
      <c r="P11">
        <f t="shared" si="3"/>
        <v>0</v>
      </c>
      <c r="Q11" t="str">
        <f t="shared" si="4"/>
        <v>Monitor</v>
      </c>
      <c r="R11">
        <v>0</v>
      </c>
      <c r="S11">
        <f t="shared" si="5"/>
        <v>0</v>
      </c>
      <c r="T11">
        <f t="shared" si="6"/>
        <v>0</v>
      </c>
      <c r="U11" t="str">
        <f t="shared" si="10"/>
        <v>Not Improved Enough</v>
      </c>
      <c r="V11" t="str">
        <f t="shared" si="7"/>
        <v>Close</v>
      </c>
      <c r="W11" t="str">
        <f t="shared" si="11"/>
        <v>Normal</v>
      </c>
      <c r="X11" t="str">
        <f>IF(O11&lt;$Z$3,"Allowed","Maxed Out")</f>
        <v>Allowed</v>
      </c>
      <c r="Z11" s="10" t="s">
        <v>37</v>
      </c>
      <c r="AA11" s="92" t="s">
        <v>206</v>
      </c>
    </row>
    <row r="12" spans="1:28" x14ac:dyDescent="0.3">
      <c r="A12" t="s">
        <v>10</v>
      </c>
      <c r="B12" t="s">
        <v>11</v>
      </c>
      <c r="C12" t="s">
        <v>12</v>
      </c>
      <c r="D12" s="3">
        <v>45838</v>
      </c>
      <c r="E12" s="6">
        <v>0.2492957746478873</v>
      </c>
      <c r="F12">
        <v>0</v>
      </c>
      <c r="G12" t="s">
        <v>13</v>
      </c>
      <c r="H12" s="6">
        <v>0.27</v>
      </c>
      <c r="I12" s="8">
        <v>1.5077349341953211E-2</v>
      </c>
      <c r="J12" s="5">
        <f t="shared" si="0"/>
        <v>1.2504550363164104E-2</v>
      </c>
      <c r="K12" s="5" cm="1">
        <f t="array" ref="K12">_xlfn.STDEV.S(IF($C:$C=C12,$I:$I))</f>
        <v>5.3924507863027986E-2</v>
      </c>
      <c r="L12" s="7">
        <f t="shared" si="9"/>
        <v>4.7711125808031399E-2</v>
      </c>
      <c r="M12">
        <f t="shared" si="1"/>
        <v>0</v>
      </c>
      <c r="N12" s="9">
        <f t="shared" si="2"/>
        <v>-7.6682316118936E-2</v>
      </c>
      <c r="O12">
        <f>COUNTIFS($B$2:B12,B12,$C$2:C12,C12,$D$2:D12,"&lt;"&amp;D12,$F$2:F12,1)</f>
        <v>3</v>
      </c>
      <c r="P12">
        <f t="shared" si="3"/>
        <v>0</v>
      </c>
      <c r="Q12" t="str">
        <f t="shared" si="4"/>
        <v>Monitor</v>
      </c>
      <c r="R12">
        <v>0</v>
      </c>
      <c r="S12">
        <f t="shared" si="5"/>
        <v>0</v>
      </c>
      <c r="T12">
        <f t="shared" si="6"/>
        <v>0</v>
      </c>
      <c r="U12" t="str">
        <f t="shared" si="10"/>
        <v>Improved Enough</v>
      </c>
      <c r="V12" t="str">
        <f t="shared" si="7"/>
        <v>Close</v>
      </c>
      <c r="W12" t="str">
        <f t="shared" si="11"/>
        <v>Normal</v>
      </c>
      <c r="X12" t="str">
        <f>IF(O12&lt;$Z$3,"Allowed","Maxed Out")</f>
        <v>Allowed</v>
      </c>
      <c r="Z12" s="10" t="s">
        <v>38</v>
      </c>
      <c r="AA12" s="92" t="s">
        <v>207</v>
      </c>
    </row>
    <row r="13" spans="1:28" x14ac:dyDescent="0.3">
      <c r="A13" t="s">
        <v>10</v>
      </c>
      <c r="B13" t="s">
        <v>11</v>
      </c>
      <c r="C13" t="s">
        <v>12</v>
      </c>
      <c r="D13" s="3">
        <v>45869</v>
      </c>
      <c r="E13" s="6">
        <v>0.24910522548317821</v>
      </c>
      <c r="F13">
        <v>0</v>
      </c>
      <c r="G13" t="s">
        <v>13</v>
      </c>
      <c r="H13" s="6">
        <v>0.27</v>
      </c>
      <c r="I13" s="8">
        <v>7.6434975674268457E-4</v>
      </c>
      <c r="J13" s="5">
        <f t="shared" si="0"/>
        <v>1.2504550363164104E-2</v>
      </c>
      <c r="K13" s="5" cm="1">
        <f t="array" ref="K13">_xlfn.STDEV.S(IF($C:$C=C13,$I:$I))</f>
        <v>5.3924507863027986E-2</v>
      </c>
      <c r="L13" s="7">
        <f t="shared" si="9"/>
        <v>-0.21771548914720462</v>
      </c>
      <c r="M13">
        <f t="shared" si="1"/>
        <v>0</v>
      </c>
      <c r="N13" s="9">
        <f t="shared" si="2"/>
        <v>-7.7388053766006701E-2</v>
      </c>
      <c r="O13">
        <f>COUNTIFS($B$2:B13,B13,$C$2:C13,C13,$D$2:D13,"&lt;"&amp;D13,$F$2:F13,1)</f>
        <v>3</v>
      </c>
      <c r="P13">
        <f t="shared" si="3"/>
        <v>0</v>
      </c>
      <c r="Q13" t="str">
        <f t="shared" si="4"/>
        <v>Monitor</v>
      </c>
      <c r="R13">
        <v>0</v>
      </c>
      <c r="S13">
        <f t="shared" si="5"/>
        <v>0</v>
      </c>
      <c r="T13">
        <f t="shared" si="6"/>
        <v>0</v>
      </c>
      <c r="U13" t="str">
        <f t="shared" si="10"/>
        <v>Not Improved Enough</v>
      </c>
      <c r="V13" t="str">
        <f t="shared" si="7"/>
        <v>Close</v>
      </c>
      <c r="W13" t="str">
        <f t="shared" si="11"/>
        <v>Normal</v>
      </c>
      <c r="X13" t="str">
        <f t="shared" si="8"/>
        <v>Allowed</v>
      </c>
      <c r="Z13" s="10" t="s">
        <v>39</v>
      </c>
      <c r="AA13" s="92" t="s">
        <v>208</v>
      </c>
    </row>
    <row r="14" spans="1:28" x14ac:dyDescent="0.3">
      <c r="A14" t="s">
        <v>10</v>
      </c>
      <c r="B14" t="s">
        <v>11</v>
      </c>
      <c r="C14" t="s">
        <v>12</v>
      </c>
      <c r="D14" s="3">
        <v>45900</v>
      </c>
      <c r="E14" s="6">
        <v>0.2453450164293538</v>
      </c>
      <c r="F14">
        <v>0</v>
      </c>
      <c r="G14" t="s">
        <v>13</v>
      </c>
      <c r="H14" s="6">
        <v>0.27</v>
      </c>
      <c r="I14" s="8">
        <v>1.5094862207450269E-2</v>
      </c>
      <c r="J14" s="5">
        <f t="shared" si="0"/>
        <v>1.2504550363164104E-2</v>
      </c>
      <c r="K14" s="5" cm="1">
        <f t="array" ref="K14">_xlfn.STDEV.S(IF($C:$C=C14,$I:$I))</f>
        <v>5.3924507863027986E-2</v>
      </c>
      <c r="L14" s="7">
        <f t="shared" si="9"/>
        <v>4.8035892156229554E-2</v>
      </c>
      <c r="M14">
        <f t="shared" si="1"/>
        <v>0</v>
      </c>
      <c r="N14" s="9">
        <f t="shared" si="2"/>
        <v>-9.1314753965356349E-2</v>
      </c>
      <c r="O14">
        <f>COUNTIFS($B$2:B14,B14,$C$2:C14,C14,$D$2:D14,"&lt;"&amp;D14,$F$2:F14,1)</f>
        <v>3</v>
      </c>
      <c r="P14">
        <f t="shared" si="3"/>
        <v>0</v>
      </c>
      <c r="Q14" t="str">
        <f t="shared" si="4"/>
        <v>Monitor</v>
      </c>
      <c r="R14">
        <v>0</v>
      </c>
      <c r="S14">
        <f t="shared" si="5"/>
        <v>0</v>
      </c>
      <c r="T14">
        <f t="shared" si="6"/>
        <v>0</v>
      </c>
      <c r="U14" t="str">
        <f t="shared" si="10"/>
        <v>Improved Enough</v>
      </c>
      <c r="V14" t="str">
        <f t="shared" si="7"/>
        <v>Close</v>
      </c>
      <c r="W14" t="str">
        <f t="shared" si="11"/>
        <v>Normal</v>
      </c>
      <c r="X14" t="str">
        <f t="shared" si="8"/>
        <v>Allowed</v>
      </c>
      <c r="Z14" s="10" t="s">
        <v>40</v>
      </c>
      <c r="AA14" s="92" t="s">
        <v>209</v>
      </c>
    </row>
    <row r="15" spans="1:28" x14ac:dyDescent="0.3">
      <c r="A15" t="s">
        <v>10</v>
      </c>
      <c r="B15" t="s">
        <v>11</v>
      </c>
      <c r="C15" t="s">
        <v>12</v>
      </c>
      <c r="D15" s="3">
        <v>45930</v>
      </c>
      <c r="E15" s="6">
        <v>0.2548435171385991</v>
      </c>
      <c r="F15">
        <v>0</v>
      </c>
      <c r="G15" t="s">
        <v>13</v>
      </c>
      <c r="H15" s="6">
        <v>0.27</v>
      </c>
      <c r="I15" s="8">
        <v>-3.8714871194379247E-2</v>
      </c>
      <c r="J15" s="5">
        <f t="shared" si="0"/>
        <v>1.2504550363164104E-2</v>
      </c>
      <c r="K15" s="5" cm="1">
        <f t="array" ref="K15">_xlfn.STDEV.S(IF($C:$C=C15,$I:$I))</f>
        <v>5.3924507863027986E-2</v>
      </c>
      <c r="L15" s="7">
        <f t="shared" si="9"/>
        <v>-0.9498356793101248</v>
      </c>
      <c r="M15">
        <f t="shared" si="1"/>
        <v>1</v>
      </c>
      <c r="N15" s="9">
        <f t="shared" si="2"/>
        <v>-5.6135121708892302E-2</v>
      </c>
      <c r="O15">
        <f>COUNTIFS($B$2:B15,B15,$C$2:C15,C15,$D$2:D15,"&lt;"&amp;D15,$F$2:F15,1)</f>
        <v>3</v>
      </c>
      <c r="P15">
        <f t="shared" si="3"/>
        <v>0</v>
      </c>
      <c r="Q15" t="str">
        <f t="shared" si="4"/>
        <v>Monitor</v>
      </c>
      <c r="R15">
        <v>0</v>
      </c>
      <c r="S15">
        <f t="shared" si="5"/>
        <v>0</v>
      </c>
      <c r="T15">
        <f t="shared" si="6"/>
        <v>0</v>
      </c>
      <c r="U15" t="str">
        <f t="shared" si="10"/>
        <v>Not Improved Enough</v>
      </c>
      <c r="V15" t="str">
        <f t="shared" si="7"/>
        <v>Close</v>
      </c>
      <c r="W15" t="str">
        <f t="shared" si="11"/>
        <v>Abnormal</v>
      </c>
      <c r="X15" t="str">
        <f t="shared" si="8"/>
        <v>Allowed</v>
      </c>
      <c r="Z15" s="10" t="s">
        <v>43</v>
      </c>
      <c r="AA15" s="92" t="s">
        <v>210</v>
      </c>
    </row>
    <row r="16" spans="1:28" x14ac:dyDescent="0.3">
      <c r="A16" t="s">
        <v>10</v>
      </c>
      <c r="B16" t="s">
        <v>11</v>
      </c>
      <c r="C16" t="s">
        <v>12</v>
      </c>
      <c r="D16" s="3">
        <v>45961</v>
      </c>
      <c r="E16" s="6">
        <v>0.25190839694656492</v>
      </c>
      <c r="F16">
        <v>0</v>
      </c>
      <c r="G16" t="s">
        <v>13</v>
      </c>
      <c r="H16" s="6">
        <v>0.27</v>
      </c>
      <c r="I16" s="8">
        <v>1.151734297575985E-2</v>
      </c>
      <c r="J16" s="5">
        <f t="shared" si="0"/>
        <v>1.2504550363164104E-2</v>
      </c>
      <c r="K16" s="5" cm="1">
        <f t="array" ref="K16">_xlfn.STDEV.S(IF($C:$C=C16,$I:$I))</f>
        <v>5.3924507863027986E-2</v>
      </c>
      <c r="L16" s="7">
        <f t="shared" si="9"/>
        <v>-1.8307211813816282E-2</v>
      </c>
      <c r="M16">
        <f t="shared" si="1"/>
        <v>0</v>
      </c>
      <c r="N16" s="9">
        <f t="shared" si="2"/>
        <v>-6.7005937234944815E-2</v>
      </c>
      <c r="O16">
        <f>COUNTIFS($B$2:B16,B16,$C$2:C16,C16,$D$2:D16,"&lt;"&amp;D16,$F$2:F16,1)</f>
        <v>3</v>
      </c>
      <c r="P16">
        <f t="shared" si="3"/>
        <v>0</v>
      </c>
      <c r="Q16" t="str">
        <f t="shared" si="4"/>
        <v>Monitor</v>
      </c>
      <c r="R16">
        <v>0</v>
      </c>
      <c r="S16">
        <f t="shared" si="5"/>
        <v>0</v>
      </c>
      <c r="T16">
        <f t="shared" si="6"/>
        <v>0</v>
      </c>
      <c r="U16" t="str">
        <f t="shared" si="10"/>
        <v>Improved Enough</v>
      </c>
      <c r="V16" t="str">
        <f t="shared" si="7"/>
        <v>Close</v>
      </c>
      <c r="W16" t="str">
        <f t="shared" si="11"/>
        <v>Normal</v>
      </c>
      <c r="X16" t="str">
        <f t="shared" si="8"/>
        <v>Allowed</v>
      </c>
      <c r="Z16" s="1" t="s">
        <v>45</v>
      </c>
      <c r="AA16" s="92" t="s">
        <v>211</v>
      </c>
    </row>
    <row r="17" spans="1:27" x14ac:dyDescent="0.3">
      <c r="A17" t="s">
        <v>10</v>
      </c>
      <c r="B17" t="s">
        <v>11</v>
      </c>
      <c r="C17" t="s">
        <v>12</v>
      </c>
      <c r="D17" s="3">
        <v>45991</v>
      </c>
      <c r="E17" s="6">
        <v>0.24394057857701329</v>
      </c>
      <c r="F17">
        <v>0</v>
      </c>
      <c r="G17" t="s">
        <v>13</v>
      </c>
      <c r="H17" s="6">
        <v>0.27</v>
      </c>
      <c r="I17" s="8">
        <v>3.1629824436704937E-2</v>
      </c>
      <c r="J17" s="5">
        <f t="shared" si="0"/>
        <v>1.2504550363164104E-2</v>
      </c>
      <c r="K17" s="5" cm="1">
        <f t="array" ref="K17">_xlfn.STDEV.S(IF($C:$C=C17,$I:$I))</f>
        <v>5.3924507863027986E-2</v>
      </c>
      <c r="L17" s="7">
        <f t="shared" si="9"/>
        <v>0.3546675682626601</v>
      </c>
      <c r="M17">
        <f t="shared" si="1"/>
        <v>0</v>
      </c>
      <c r="N17" s="9">
        <f t="shared" si="2"/>
        <v>-9.6516375640691585E-2</v>
      </c>
      <c r="O17">
        <f>COUNTIFS($B$2:B17,B17,$C$2:C17,C17,$D$2:D17,"&lt;"&amp;D17,$F$2:F17,1)</f>
        <v>3</v>
      </c>
      <c r="P17">
        <f t="shared" si="3"/>
        <v>0</v>
      </c>
      <c r="Q17" t="str">
        <f t="shared" si="4"/>
        <v>Monitor</v>
      </c>
      <c r="R17">
        <v>0</v>
      </c>
      <c r="S17">
        <f t="shared" si="5"/>
        <v>0</v>
      </c>
      <c r="T17">
        <f t="shared" si="6"/>
        <v>0</v>
      </c>
      <c r="U17" t="str">
        <f t="shared" si="10"/>
        <v>Improved Enough</v>
      </c>
      <c r="V17" t="str">
        <f t="shared" si="7"/>
        <v>Close</v>
      </c>
      <c r="W17" t="str">
        <f t="shared" si="11"/>
        <v>Normal</v>
      </c>
      <c r="X17" t="str">
        <f t="shared" si="8"/>
        <v>Allowed</v>
      </c>
      <c r="Z17" s="1" t="s">
        <v>47</v>
      </c>
      <c r="AA17" s="92" t="s">
        <v>212</v>
      </c>
    </row>
    <row r="18" spans="1:27" x14ac:dyDescent="0.3">
      <c r="A18" t="s">
        <v>10</v>
      </c>
      <c r="B18" t="s">
        <v>11</v>
      </c>
      <c r="C18" t="s">
        <v>14</v>
      </c>
      <c r="D18" s="3">
        <v>45535</v>
      </c>
      <c r="E18" s="6">
        <v>7.8461538461538458E-2</v>
      </c>
      <c r="F18">
        <v>0</v>
      </c>
      <c r="G18" t="s">
        <v>13</v>
      </c>
      <c r="H18" s="6">
        <v>5.3999999999999999E-2</v>
      </c>
      <c r="I18" s="8">
        <v>5.8461538461538447E-2</v>
      </c>
      <c r="J18" s="5">
        <f t="shared" si="0"/>
        <v>1.0109678696460058E-2</v>
      </c>
      <c r="K18" s="5" cm="1">
        <f t="array" ref="K18">_xlfn.STDEV.S(IF($C:$C=C18,$I:$I))</f>
        <v>0.17556416633612926</v>
      </c>
      <c r="L18" s="7">
        <f t="shared" si="9"/>
        <v>0.27540847756201875</v>
      </c>
      <c r="M18">
        <f t="shared" si="1"/>
        <v>0</v>
      </c>
      <c r="N18" s="9">
        <f t="shared" si="2"/>
        <v>0.45299145299145294</v>
      </c>
      <c r="O18">
        <f>COUNTIFS($B$2:B18,B18,$C$2:C18,C18,$D$2:D18,"&lt;"&amp;D18,$F$2:F18,1)</f>
        <v>0</v>
      </c>
      <c r="P18">
        <f t="shared" si="3"/>
        <v>0</v>
      </c>
      <c r="Q18" t="str">
        <f t="shared" si="4"/>
        <v>Monitor</v>
      </c>
      <c r="R18">
        <v>0</v>
      </c>
      <c r="S18">
        <f t="shared" si="5"/>
        <v>0</v>
      </c>
      <c r="T18">
        <f t="shared" si="6"/>
        <v>0</v>
      </c>
      <c r="U18" t="str">
        <f t="shared" si="10"/>
        <v>Improved Enough</v>
      </c>
      <c r="V18" t="str">
        <f t="shared" si="7"/>
        <v>Far</v>
      </c>
      <c r="W18" t="str">
        <f t="shared" si="11"/>
        <v>Normal</v>
      </c>
      <c r="X18" t="str">
        <f t="shared" si="8"/>
        <v>Allowed</v>
      </c>
      <c r="Z18" s="1" t="s">
        <v>59</v>
      </c>
      <c r="AA18" s="92" t="s">
        <v>213</v>
      </c>
    </row>
    <row r="19" spans="1:27" x14ac:dyDescent="0.3">
      <c r="A19" t="s">
        <v>10</v>
      </c>
      <c r="B19" t="s">
        <v>11</v>
      </c>
      <c r="C19" t="s">
        <v>14</v>
      </c>
      <c r="D19" s="3">
        <v>45565</v>
      </c>
      <c r="E19" s="6">
        <v>6.9821567106283941E-2</v>
      </c>
      <c r="F19">
        <v>0</v>
      </c>
      <c r="G19" t="s">
        <v>13</v>
      </c>
      <c r="H19" s="6">
        <v>5.3999999999999999E-2</v>
      </c>
      <c r="I19" s="8">
        <v>0.11011728197873399</v>
      </c>
      <c r="J19" s="5">
        <f t="shared" si="0"/>
        <v>1.0109678696460058E-2</v>
      </c>
      <c r="K19" s="5" cm="1">
        <f t="array" ref="K19">_xlfn.STDEV.S(IF($C:$C=C19,$I:$I))</f>
        <v>0.17556416633612926</v>
      </c>
      <c r="L19" s="7">
        <f t="shared" si="9"/>
        <v>0.56963562308496796</v>
      </c>
      <c r="M19">
        <f t="shared" si="1"/>
        <v>-1</v>
      </c>
      <c r="N19" s="9">
        <f t="shared" si="2"/>
        <v>0.29299198344970262</v>
      </c>
      <c r="O19">
        <f>COUNTIFS($B$2:B19,B19,$C$2:C19,C19,$D$2:D19,"&lt;"&amp;D19,$F$2:F19,1)</f>
        <v>0</v>
      </c>
      <c r="P19">
        <f t="shared" si="3"/>
        <v>0</v>
      </c>
      <c r="Q19" t="str">
        <f t="shared" si="4"/>
        <v>Monitor</v>
      </c>
      <c r="R19">
        <v>0</v>
      </c>
      <c r="S19">
        <f t="shared" si="5"/>
        <v>0</v>
      </c>
      <c r="T19">
        <f t="shared" si="6"/>
        <v>0</v>
      </c>
      <c r="U19" t="str">
        <f t="shared" si="10"/>
        <v>Improved Enough</v>
      </c>
      <c r="V19" t="str">
        <f t="shared" si="7"/>
        <v>Far</v>
      </c>
      <c r="W19" t="str">
        <f t="shared" si="11"/>
        <v>Normal</v>
      </c>
      <c r="X19" t="str">
        <f t="shared" si="8"/>
        <v>Allowed</v>
      </c>
      <c r="Z19" s="1" t="s">
        <v>60</v>
      </c>
      <c r="AA19" s="92" t="s">
        <v>214</v>
      </c>
    </row>
    <row r="20" spans="1:27" x14ac:dyDescent="0.3">
      <c r="A20" t="s">
        <v>10</v>
      </c>
      <c r="B20" t="s">
        <v>11</v>
      </c>
      <c r="C20" t="s">
        <v>14</v>
      </c>
      <c r="D20" s="3">
        <v>45596</v>
      </c>
      <c r="E20" s="6">
        <v>7.1372549019607837E-2</v>
      </c>
      <c r="F20">
        <v>0</v>
      </c>
      <c r="G20" t="s">
        <v>13</v>
      </c>
      <c r="H20" s="6">
        <v>5.3999999999999999E-2</v>
      </c>
      <c r="I20" s="8">
        <v>-2.2213507625272241E-2</v>
      </c>
      <c r="J20" s="5">
        <f t="shared" si="0"/>
        <v>1.0109678696460058E-2</v>
      </c>
      <c r="K20" s="5" cm="1">
        <f t="array" ref="K20">_xlfn.STDEV.S(IF($C:$C=C20,$I:$I))</f>
        <v>0.17556416633612926</v>
      </c>
      <c r="L20" s="7">
        <f t="shared" si="9"/>
        <v>-0.18411038537241939</v>
      </c>
      <c r="M20">
        <f t="shared" si="1"/>
        <v>0</v>
      </c>
      <c r="N20" s="9">
        <f t="shared" si="2"/>
        <v>0.32171387073347846</v>
      </c>
      <c r="O20">
        <f>COUNTIFS($B$2:B20,B20,$C$2:C20,C20,$D$2:D20,"&lt;"&amp;D20,$F$2:F20,1)</f>
        <v>0</v>
      </c>
      <c r="P20">
        <f t="shared" si="3"/>
        <v>0</v>
      </c>
      <c r="Q20" t="str">
        <f t="shared" si="4"/>
        <v>Monitor</v>
      </c>
      <c r="R20">
        <v>0</v>
      </c>
      <c r="S20">
        <f t="shared" si="5"/>
        <v>0</v>
      </c>
      <c r="T20">
        <f t="shared" si="6"/>
        <v>0</v>
      </c>
      <c r="U20" t="str">
        <f t="shared" si="10"/>
        <v>Not Improved Enough</v>
      </c>
      <c r="V20" t="str">
        <f t="shared" si="7"/>
        <v>Far</v>
      </c>
      <c r="W20" t="str">
        <f t="shared" si="11"/>
        <v>Normal</v>
      </c>
      <c r="X20" t="str">
        <f t="shared" si="8"/>
        <v>Allowed</v>
      </c>
      <c r="Z20" s="1" t="s">
        <v>61</v>
      </c>
      <c r="AA20" s="92" t="s">
        <v>215</v>
      </c>
    </row>
    <row r="21" spans="1:27" x14ac:dyDescent="0.3">
      <c r="A21" t="s">
        <v>10</v>
      </c>
      <c r="B21" t="s">
        <v>11</v>
      </c>
      <c r="C21" t="s">
        <v>14</v>
      </c>
      <c r="D21" s="3">
        <v>45626</v>
      </c>
      <c r="E21" s="6">
        <v>6.4414767999999997E-2</v>
      </c>
      <c r="F21">
        <v>0</v>
      </c>
      <c r="G21" t="s">
        <v>13</v>
      </c>
      <c r="H21" s="6">
        <v>5.3999999999999999E-2</v>
      </c>
      <c r="I21" s="8">
        <v>9.748539340659336E-2</v>
      </c>
      <c r="J21" s="5">
        <f t="shared" si="0"/>
        <v>1.0109678696460058E-2</v>
      </c>
      <c r="K21" s="5" cm="1">
        <f t="array" ref="K21">_xlfn.STDEV.S(IF($C:$C=C21,$I:$I))</f>
        <v>0.17556416633612926</v>
      </c>
      <c r="L21" s="7">
        <f t="shared" si="9"/>
        <v>0.49768535649152174</v>
      </c>
      <c r="M21">
        <f t="shared" si="1"/>
        <v>0</v>
      </c>
      <c r="N21" s="9">
        <f t="shared" si="2"/>
        <v>0.19286607407407402</v>
      </c>
      <c r="O21">
        <f>COUNTIFS($B$2:B21,B21,$C$2:C21,C21,$D$2:D21,"&lt;"&amp;D21,$F$2:F21,1)</f>
        <v>0</v>
      </c>
      <c r="P21">
        <f t="shared" si="3"/>
        <v>0</v>
      </c>
      <c r="Q21" t="str">
        <f t="shared" si="4"/>
        <v>Monitor</v>
      </c>
      <c r="R21">
        <v>0</v>
      </c>
      <c r="S21">
        <f t="shared" si="5"/>
        <v>0</v>
      </c>
      <c r="T21">
        <f t="shared" si="6"/>
        <v>0</v>
      </c>
      <c r="U21" t="str">
        <f t="shared" si="10"/>
        <v>Improved Enough</v>
      </c>
      <c r="V21" t="str">
        <f t="shared" si="7"/>
        <v>Far</v>
      </c>
      <c r="W21" t="str">
        <f t="shared" si="11"/>
        <v>Normal</v>
      </c>
      <c r="X21" t="str">
        <f t="shared" si="8"/>
        <v>Allowed</v>
      </c>
      <c r="Z21" s="1" t="s">
        <v>62</v>
      </c>
      <c r="AA21" s="92" t="s">
        <v>216</v>
      </c>
    </row>
    <row r="22" spans="1:27" x14ac:dyDescent="0.3">
      <c r="A22" t="s">
        <v>10</v>
      </c>
      <c r="B22" t="s">
        <v>11</v>
      </c>
      <c r="C22" t="s">
        <v>14</v>
      </c>
      <c r="D22" s="3">
        <v>45657</v>
      </c>
      <c r="E22" s="6">
        <v>6.5934065934065936E-2</v>
      </c>
      <c r="F22">
        <v>1</v>
      </c>
      <c r="G22" t="s">
        <v>13</v>
      </c>
      <c r="H22" s="6">
        <v>5.3999999999999999E-2</v>
      </c>
      <c r="I22" s="8">
        <v>-2.3586174121840171E-2</v>
      </c>
      <c r="J22" s="5">
        <f t="shared" si="0"/>
        <v>1.0109678696460058E-2</v>
      </c>
      <c r="K22" s="5" cm="1">
        <f t="array" ref="K22">_xlfn.STDEV.S(IF($C:$C=C22,$I:$I))</f>
        <v>0.17556416633612926</v>
      </c>
      <c r="L22" s="7">
        <f t="shared" si="9"/>
        <v>-0.1919289882525759</v>
      </c>
      <c r="M22">
        <f t="shared" si="1"/>
        <v>0</v>
      </c>
      <c r="N22" s="9">
        <f t="shared" si="2"/>
        <v>0.22100122100122105</v>
      </c>
      <c r="O22">
        <f>COUNTIFS($B$2:B22,B22,$C$2:C22,C22,$D$2:D22,"&lt;"&amp;D22,$F$2:F22,1)</f>
        <v>0</v>
      </c>
      <c r="P22">
        <f t="shared" si="3"/>
        <v>0</v>
      </c>
      <c r="Q22" t="str">
        <f t="shared" si="4"/>
        <v>Monitor</v>
      </c>
      <c r="R22">
        <v>0</v>
      </c>
      <c r="S22">
        <f t="shared" si="5"/>
        <v>0</v>
      </c>
      <c r="T22">
        <f t="shared" si="6"/>
        <v>0</v>
      </c>
      <c r="U22" t="str">
        <f t="shared" si="10"/>
        <v>Not Improved Enough</v>
      </c>
      <c r="V22" t="str">
        <f t="shared" si="7"/>
        <v>Far</v>
      </c>
      <c r="W22" t="str">
        <f t="shared" si="11"/>
        <v>Normal</v>
      </c>
      <c r="X22" t="str">
        <f t="shared" si="8"/>
        <v>Allowed</v>
      </c>
    </row>
    <row r="23" spans="1:27" x14ac:dyDescent="0.3">
      <c r="A23" t="s">
        <v>10</v>
      </c>
      <c r="B23" t="s">
        <v>11</v>
      </c>
      <c r="C23" t="s">
        <v>14</v>
      </c>
      <c r="D23" s="3">
        <v>45688</v>
      </c>
      <c r="E23" s="6">
        <v>7.3265783320342948E-2</v>
      </c>
      <c r="F23">
        <v>1</v>
      </c>
      <c r="G23" t="s">
        <v>13</v>
      </c>
      <c r="H23" s="6">
        <v>5.3999999999999999E-2</v>
      </c>
      <c r="I23" s="8">
        <v>-0.111197713691868</v>
      </c>
      <c r="J23" s="5">
        <f t="shared" si="0"/>
        <v>1.0109678696460058E-2</v>
      </c>
      <c r="K23" s="5" cm="1">
        <f t="array" ref="K23">_xlfn.STDEV.S(IF($C:$C=C23,$I:$I))</f>
        <v>0.17556416633612926</v>
      </c>
      <c r="L23" s="7">
        <f t="shared" si="9"/>
        <v>-0.69095758502379689</v>
      </c>
      <c r="M23">
        <f t="shared" si="1"/>
        <v>1</v>
      </c>
      <c r="N23" s="9">
        <f t="shared" si="2"/>
        <v>0.35677376519153609</v>
      </c>
      <c r="O23">
        <f>COUNTIFS($B$2:B23,B23,$C$2:C23,C23,$D$2:D23,"&lt;"&amp;D23,$F$2:F23,1)</f>
        <v>1</v>
      </c>
      <c r="P23">
        <f t="shared" si="3"/>
        <v>-1</v>
      </c>
      <c r="Q23" t="str">
        <f t="shared" si="4"/>
        <v>Intervene</v>
      </c>
      <c r="R23">
        <v>1</v>
      </c>
      <c r="S23">
        <f t="shared" si="5"/>
        <v>1</v>
      </c>
      <c r="T23">
        <f t="shared" si="6"/>
        <v>1</v>
      </c>
      <c r="U23" t="str">
        <f t="shared" si="10"/>
        <v>Not Improved Enough</v>
      </c>
      <c r="V23" t="str">
        <f t="shared" si="7"/>
        <v>Far</v>
      </c>
      <c r="W23" t="str">
        <f t="shared" si="11"/>
        <v>Abnormal</v>
      </c>
      <c r="X23" t="str">
        <f t="shared" si="8"/>
        <v>Allowed</v>
      </c>
    </row>
    <row r="24" spans="1:27" x14ac:dyDescent="0.3">
      <c r="A24" t="s">
        <v>10</v>
      </c>
      <c r="B24" t="s">
        <v>11</v>
      </c>
      <c r="C24" t="s">
        <v>14</v>
      </c>
      <c r="D24" s="3">
        <v>45716</v>
      </c>
      <c r="E24" s="6">
        <v>8.0093312597200622E-2</v>
      </c>
      <c r="F24">
        <v>1</v>
      </c>
      <c r="G24" t="s">
        <v>13</v>
      </c>
      <c r="H24" s="6">
        <v>5.3999999999999999E-2</v>
      </c>
      <c r="I24" s="8">
        <v>-9.3188511300089316E-2</v>
      </c>
      <c r="J24" s="5">
        <f t="shared" si="0"/>
        <v>1.0109678696460058E-2</v>
      </c>
      <c r="K24" s="5" cm="1">
        <f t="array" ref="K24">_xlfn.STDEV.S(IF($C:$C=C24,$I:$I))</f>
        <v>0.17556416633612926</v>
      </c>
      <c r="L24" s="7">
        <f t="shared" si="9"/>
        <v>-0.58837855214017942</v>
      </c>
      <c r="M24">
        <f t="shared" si="1"/>
        <v>1</v>
      </c>
      <c r="N24" s="9">
        <f t="shared" si="2"/>
        <v>0.48320949254075229</v>
      </c>
      <c r="O24">
        <f>COUNTIFS($B$2:B24,B24,$C$2:C24,C24,$D$2:D24,"&lt;"&amp;D24,$F$2:F24,1)</f>
        <v>2</v>
      </c>
      <c r="P24">
        <f t="shared" si="3"/>
        <v>-1</v>
      </c>
      <c r="Q24" t="str">
        <f t="shared" si="4"/>
        <v>Intervene</v>
      </c>
      <c r="R24">
        <v>1</v>
      </c>
      <c r="S24">
        <f t="shared" si="5"/>
        <v>1</v>
      </c>
      <c r="T24">
        <f t="shared" si="6"/>
        <v>1</v>
      </c>
      <c r="U24" t="str">
        <f t="shared" si="10"/>
        <v>Not Improved Enough</v>
      </c>
      <c r="V24" t="str">
        <f t="shared" si="7"/>
        <v>Far</v>
      </c>
      <c r="W24" t="str">
        <f t="shared" si="11"/>
        <v>Abnormal</v>
      </c>
      <c r="X24" t="str">
        <f t="shared" si="8"/>
        <v>Allowed</v>
      </c>
    </row>
    <row r="25" spans="1:27" x14ac:dyDescent="0.3">
      <c r="A25" t="s">
        <v>10</v>
      </c>
      <c r="B25" t="s">
        <v>11</v>
      </c>
      <c r="C25" t="s">
        <v>14</v>
      </c>
      <c r="D25" s="3">
        <v>45747</v>
      </c>
      <c r="E25" s="6">
        <v>7.5617283950617287E-2</v>
      </c>
      <c r="F25">
        <v>0</v>
      </c>
      <c r="G25" t="s">
        <v>13</v>
      </c>
      <c r="H25" s="6">
        <v>5.3999999999999999E-2</v>
      </c>
      <c r="I25" s="8">
        <v>5.5885173199089033E-2</v>
      </c>
      <c r="J25" s="5">
        <f t="shared" si="0"/>
        <v>1.0109678696460058E-2</v>
      </c>
      <c r="K25" s="5" cm="1">
        <f t="array" ref="K25">_xlfn.STDEV.S(IF($C:$C=C25,$I:$I))</f>
        <v>0.17556416633612926</v>
      </c>
      <c r="L25" s="7">
        <f t="shared" si="9"/>
        <v>0.26073369901115667</v>
      </c>
      <c r="M25">
        <f t="shared" si="1"/>
        <v>0</v>
      </c>
      <c r="N25" s="9">
        <f t="shared" si="2"/>
        <v>0.4003200731595794</v>
      </c>
      <c r="O25">
        <f>COUNTIFS($B$2:B25,B25,$C$2:C25,C25,$D$2:D25,"&lt;"&amp;D25,$F$2:F25,1)</f>
        <v>3</v>
      </c>
      <c r="P25">
        <f t="shared" si="3"/>
        <v>1</v>
      </c>
      <c r="Q25" t="str">
        <f t="shared" si="4"/>
        <v>Monitor</v>
      </c>
      <c r="R25">
        <v>1</v>
      </c>
      <c r="S25">
        <f t="shared" si="5"/>
        <v>0</v>
      </c>
      <c r="T25">
        <f t="shared" si="6"/>
        <v>0</v>
      </c>
      <c r="U25" t="str">
        <f t="shared" si="10"/>
        <v>Improved Enough</v>
      </c>
      <c r="V25" t="str">
        <f t="shared" si="7"/>
        <v>Far</v>
      </c>
      <c r="W25" t="str">
        <f t="shared" si="11"/>
        <v>Normal</v>
      </c>
      <c r="X25" t="str">
        <f t="shared" si="8"/>
        <v>Allowed</v>
      </c>
    </row>
    <row r="26" spans="1:27" x14ac:dyDescent="0.3">
      <c r="A26" t="s">
        <v>10</v>
      </c>
      <c r="B26" t="s">
        <v>11</v>
      </c>
      <c r="C26" t="s">
        <v>14</v>
      </c>
      <c r="D26" s="3">
        <v>45777</v>
      </c>
      <c r="E26" s="6">
        <v>8.87035633055345E-2</v>
      </c>
      <c r="F26">
        <v>0</v>
      </c>
      <c r="G26" t="s">
        <v>13</v>
      </c>
      <c r="H26" s="6">
        <v>5.3999999999999999E-2</v>
      </c>
      <c r="I26" s="8">
        <v>-0.17305936779563991</v>
      </c>
      <c r="J26" s="5">
        <f t="shared" si="0"/>
        <v>1.0109678696460058E-2</v>
      </c>
      <c r="K26" s="5" cm="1">
        <f t="array" ref="K26">_xlfn.STDEV.S(IF($C:$C=C26,$I:$I))</f>
        <v>0.17556416633612926</v>
      </c>
      <c r="L26" s="7">
        <f t="shared" si="9"/>
        <v>-1.0433168129617674</v>
      </c>
      <c r="M26">
        <f t="shared" si="1"/>
        <v>1</v>
      </c>
      <c r="N26" s="9">
        <f t="shared" si="2"/>
        <v>0.64265857973212037</v>
      </c>
      <c r="O26">
        <f>COUNTIFS($B$2:B26,B26,$C$2:C26,C26,$D$2:D26,"&lt;"&amp;D26,$F$2:F26,1)</f>
        <v>3</v>
      </c>
      <c r="P26">
        <f t="shared" si="3"/>
        <v>0</v>
      </c>
      <c r="Q26" t="str">
        <f t="shared" si="4"/>
        <v>Intervene</v>
      </c>
      <c r="R26">
        <v>0</v>
      </c>
      <c r="S26">
        <f t="shared" si="5"/>
        <v>1</v>
      </c>
      <c r="T26">
        <f t="shared" si="6"/>
        <v>1</v>
      </c>
      <c r="U26" t="str">
        <f t="shared" si="10"/>
        <v>Not Improved Enough</v>
      </c>
      <c r="V26" t="str">
        <f t="shared" si="7"/>
        <v>Far</v>
      </c>
      <c r="W26" t="str">
        <f t="shared" si="11"/>
        <v>Abnormal</v>
      </c>
      <c r="X26" t="str">
        <f t="shared" si="8"/>
        <v>Allowed</v>
      </c>
    </row>
    <row r="27" spans="1:27" x14ac:dyDescent="0.3">
      <c r="A27" t="s">
        <v>10</v>
      </c>
      <c r="B27" t="s">
        <v>11</v>
      </c>
      <c r="C27" t="s">
        <v>14</v>
      </c>
      <c r="D27" s="3">
        <v>45808</v>
      </c>
      <c r="E27" s="6">
        <v>8.6956521739130432E-2</v>
      </c>
      <c r="F27">
        <v>0</v>
      </c>
      <c r="G27" t="s">
        <v>13</v>
      </c>
      <c r="H27" s="6">
        <v>5.3999999999999999E-2</v>
      </c>
      <c r="I27" s="8">
        <v>1.9695280564845801E-2</v>
      </c>
      <c r="J27" s="5">
        <f t="shared" si="0"/>
        <v>1.0109678696460058E-2</v>
      </c>
      <c r="K27" s="5" cm="1">
        <f t="array" ref="K27">_xlfn.STDEV.S(IF($C:$C=C27,$I:$I))</f>
        <v>0.17556416633612926</v>
      </c>
      <c r="L27" s="7">
        <f t="shared" si="9"/>
        <v>5.4598851624616106E-2</v>
      </c>
      <c r="M27">
        <f t="shared" si="1"/>
        <v>0</v>
      </c>
      <c r="N27" s="9">
        <f t="shared" si="2"/>
        <v>0.61030595813204502</v>
      </c>
      <c r="O27">
        <f>COUNTIFS($B$2:B27,B27,$C$2:C27,C27,$D$2:D27,"&lt;"&amp;D27,$F$2:F27,1)</f>
        <v>3</v>
      </c>
      <c r="P27">
        <f t="shared" si="3"/>
        <v>0</v>
      </c>
      <c r="Q27" t="str">
        <f t="shared" si="4"/>
        <v>Monitor</v>
      </c>
      <c r="R27">
        <v>0</v>
      </c>
      <c r="S27">
        <f t="shared" si="5"/>
        <v>0</v>
      </c>
      <c r="T27">
        <f t="shared" si="6"/>
        <v>0</v>
      </c>
      <c r="U27" t="str">
        <f t="shared" si="10"/>
        <v>Improved Enough</v>
      </c>
      <c r="V27" t="str">
        <f t="shared" si="7"/>
        <v>Far</v>
      </c>
      <c r="W27" t="str">
        <f t="shared" si="11"/>
        <v>Normal</v>
      </c>
      <c r="X27" t="str">
        <f t="shared" si="8"/>
        <v>Allowed</v>
      </c>
    </row>
    <row r="28" spans="1:27" x14ac:dyDescent="0.3">
      <c r="A28" t="s">
        <v>10</v>
      </c>
      <c r="B28" t="s">
        <v>11</v>
      </c>
      <c r="C28" t="s">
        <v>14</v>
      </c>
      <c r="D28" s="3">
        <v>45838</v>
      </c>
      <c r="E28" s="6">
        <v>7.4999999999999997E-2</v>
      </c>
      <c r="F28">
        <v>0</v>
      </c>
      <c r="G28" t="s">
        <v>13</v>
      </c>
      <c r="H28" s="6">
        <v>5.3999999999999999E-2</v>
      </c>
      <c r="I28" s="8">
        <v>0.13750000000000001</v>
      </c>
      <c r="J28" s="5">
        <f t="shared" si="0"/>
        <v>1.0109678696460058E-2</v>
      </c>
      <c r="K28" s="5" cm="1">
        <f t="array" ref="K28">_xlfn.STDEV.S(IF($C:$C=C28,$I:$I))</f>
        <v>0.17556416633612926</v>
      </c>
      <c r="L28" s="7">
        <f t="shared" si="9"/>
        <v>0.7256054806744715</v>
      </c>
      <c r="M28">
        <f t="shared" si="1"/>
        <v>-1</v>
      </c>
      <c r="N28" s="9">
        <f t="shared" si="2"/>
        <v>0.38888888888888884</v>
      </c>
      <c r="O28">
        <f>COUNTIFS($B$2:B28,B28,$C$2:C28,C28,$D$2:D28,"&lt;"&amp;D28,$F$2:F28,1)</f>
        <v>3</v>
      </c>
      <c r="P28">
        <f t="shared" si="3"/>
        <v>0</v>
      </c>
      <c r="Q28" t="str">
        <f t="shared" si="4"/>
        <v>Monitor</v>
      </c>
      <c r="R28">
        <v>0</v>
      </c>
      <c r="S28">
        <f t="shared" si="5"/>
        <v>0</v>
      </c>
      <c r="T28">
        <f t="shared" si="6"/>
        <v>0</v>
      </c>
      <c r="U28" t="str">
        <f t="shared" si="10"/>
        <v>Improved Enough</v>
      </c>
      <c r="V28" t="str">
        <f t="shared" si="7"/>
        <v>Far</v>
      </c>
      <c r="W28" t="str">
        <f t="shared" si="11"/>
        <v>Normal</v>
      </c>
      <c r="X28" t="str">
        <f t="shared" si="8"/>
        <v>Allowed</v>
      </c>
    </row>
    <row r="29" spans="1:27" x14ac:dyDescent="0.3">
      <c r="A29" t="s">
        <v>10</v>
      </c>
      <c r="B29" t="s">
        <v>11</v>
      </c>
      <c r="C29" t="s">
        <v>14</v>
      </c>
      <c r="D29" s="3">
        <v>45869</v>
      </c>
      <c r="E29" s="6">
        <v>6.9819819819819814E-2</v>
      </c>
      <c r="F29">
        <v>0</v>
      </c>
      <c r="G29" t="s">
        <v>13</v>
      </c>
      <c r="H29" s="6">
        <v>5.3999999999999999E-2</v>
      </c>
      <c r="I29" s="8">
        <v>6.9069069069069108E-2</v>
      </c>
      <c r="J29" s="5">
        <f t="shared" si="0"/>
        <v>1.0109678696460058E-2</v>
      </c>
      <c r="K29" s="5" cm="1">
        <f t="array" ref="K29">_xlfn.STDEV.S(IF($C:$C=C29,$I:$I))</f>
        <v>0.17556416633612926</v>
      </c>
      <c r="L29" s="7">
        <f t="shared" si="9"/>
        <v>0.33582815675339683</v>
      </c>
      <c r="M29">
        <f t="shared" si="1"/>
        <v>0</v>
      </c>
      <c r="N29" s="9">
        <f t="shared" si="2"/>
        <v>0.29295962629295952</v>
      </c>
      <c r="O29">
        <f>COUNTIFS($B$2:B29,B29,$C$2:C29,C29,$D$2:D29,"&lt;"&amp;D29,$F$2:F29,1)</f>
        <v>3</v>
      </c>
      <c r="P29">
        <f t="shared" si="3"/>
        <v>0</v>
      </c>
      <c r="Q29" t="str">
        <f t="shared" si="4"/>
        <v>Monitor</v>
      </c>
      <c r="R29">
        <v>0</v>
      </c>
      <c r="S29">
        <f t="shared" si="5"/>
        <v>0</v>
      </c>
      <c r="T29">
        <f t="shared" si="6"/>
        <v>0</v>
      </c>
      <c r="U29" t="str">
        <f t="shared" si="10"/>
        <v>Improved Enough</v>
      </c>
      <c r="V29" t="str">
        <f t="shared" si="7"/>
        <v>Far</v>
      </c>
      <c r="W29" t="str">
        <f t="shared" si="11"/>
        <v>Normal</v>
      </c>
      <c r="X29" t="str">
        <f t="shared" si="8"/>
        <v>Allowed</v>
      </c>
    </row>
    <row r="30" spans="1:27" x14ac:dyDescent="0.3">
      <c r="A30" t="s">
        <v>10</v>
      </c>
      <c r="B30" t="s">
        <v>11</v>
      </c>
      <c r="C30" t="s">
        <v>14</v>
      </c>
      <c r="D30" s="3">
        <v>45900</v>
      </c>
      <c r="E30" s="6">
        <v>6.7771084337349394E-2</v>
      </c>
      <c r="F30">
        <v>0</v>
      </c>
      <c r="G30" t="s">
        <v>13</v>
      </c>
      <c r="H30" s="6">
        <v>5.3999999999999999E-2</v>
      </c>
      <c r="I30" s="8">
        <v>2.9343179168286031E-2</v>
      </c>
      <c r="J30" s="5">
        <f t="shared" si="0"/>
        <v>1.0109678696460058E-2</v>
      </c>
      <c r="K30" s="5" cm="1">
        <f t="array" ref="K30">_xlfn.STDEV.S(IF($C:$C=C30,$I:$I))</f>
        <v>0.17556416633612926</v>
      </c>
      <c r="L30" s="7">
        <f t="shared" si="9"/>
        <v>0.10955254066483111</v>
      </c>
      <c r="M30">
        <f t="shared" si="1"/>
        <v>0</v>
      </c>
      <c r="N30" s="9">
        <f t="shared" si="2"/>
        <v>0.25502008032128509</v>
      </c>
      <c r="O30">
        <f>COUNTIFS($B$2:B30,B30,$C$2:C30,C30,$D$2:D30,"&lt;"&amp;D30,$F$2:F30,1)</f>
        <v>3</v>
      </c>
      <c r="P30">
        <f t="shared" si="3"/>
        <v>0</v>
      </c>
      <c r="Q30" t="str">
        <f t="shared" si="4"/>
        <v>Monitor</v>
      </c>
      <c r="R30">
        <v>0</v>
      </c>
      <c r="S30">
        <f t="shared" si="5"/>
        <v>0</v>
      </c>
      <c r="T30">
        <f t="shared" si="6"/>
        <v>0</v>
      </c>
      <c r="U30" t="str">
        <f t="shared" si="10"/>
        <v>Improved Enough</v>
      </c>
      <c r="V30" t="str">
        <f t="shared" si="7"/>
        <v>Far</v>
      </c>
      <c r="W30" t="str">
        <f t="shared" si="11"/>
        <v>Normal</v>
      </c>
      <c r="X30" t="str">
        <f t="shared" si="8"/>
        <v>Allowed</v>
      </c>
    </row>
    <row r="31" spans="1:27" x14ac:dyDescent="0.3">
      <c r="A31" t="s">
        <v>10</v>
      </c>
      <c r="B31" t="s">
        <v>11</v>
      </c>
      <c r="C31" t="s">
        <v>14</v>
      </c>
      <c r="D31" s="3">
        <v>45930</v>
      </c>
      <c r="E31" s="6">
        <v>6.2878787878787881E-2</v>
      </c>
      <c r="F31">
        <v>0</v>
      </c>
      <c r="G31" t="s">
        <v>13</v>
      </c>
      <c r="H31" s="6">
        <v>5.3999999999999999E-2</v>
      </c>
      <c r="I31" s="8">
        <v>7.2188552188552094E-2</v>
      </c>
      <c r="J31" s="5">
        <f t="shared" si="0"/>
        <v>1.0109678696460058E-2</v>
      </c>
      <c r="K31" s="5" cm="1">
        <f t="array" ref="K31">_xlfn.STDEV.S(IF($C:$C=C31,$I:$I))</f>
        <v>0.17556416633612926</v>
      </c>
      <c r="L31" s="7">
        <f t="shared" si="9"/>
        <v>0.35359649288134293</v>
      </c>
      <c r="M31">
        <f t="shared" si="1"/>
        <v>0</v>
      </c>
      <c r="N31" s="9">
        <f t="shared" si="2"/>
        <v>0.16442199775533115</v>
      </c>
      <c r="O31">
        <f>COUNTIFS($B$2:B31,B31,$C$2:C31,C31,$D$2:D31,"&lt;"&amp;D31,$F$2:F31,1)</f>
        <v>3</v>
      </c>
      <c r="P31">
        <f t="shared" si="3"/>
        <v>0</v>
      </c>
      <c r="Q31" t="str">
        <f t="shared" si="4"/>
        <v>Monitor</v>
      </c>
      <c r="R31">
        <v>0</v>
      </c>
      <c r="S31">
        <f t="shared" si="5"/>
        <v>0</v>
      </c>
      <c r="T31">
        <f t="shared" si="6"/>
        <v>0</v>
      </c>
      <c r="U31" t="str">
        <f t="shared" si="10"/>
        <v>Improved Enough</v>
      </c>
      <c r="V31" t="str">
        <f t="shared" si="7"/>
        <v>Far</v>
      </c>
      <c r="W31" t="str">
        <f t="shared" si="11"/>
        <v>Normal</v>
      </c>
      <c r="X31" t="str">
        <f t="shared" si="8"/>
        <v>Allowed</v>
      </c>
    </row>
    <row r="32" spans="1:27" x14ac:dyDescent="0.3">
      <c r="A32" t="s">
        <v>10</v>
      </c>
      <c r="B32" t="s">
        <v>11</v>
      </c>
      <c r="C32" t="s">
        <v>14</v>
      </c>
      <c r="D32" s="3">
        <v>45961</v>
      </c>
      <c r="E32" s="6">
        <v>5.6445461479786421E-2</v>
      </c>
      <c r="F32">
        <v>0</v>
      </c>
      <c r="G32" t="s">
        <v>13</v>
      </c>
      <c r="H32" s="6">
        <v>5.3999999999999999E-2</v>
      </c>
      <c r="I32" s="8">
        <v>0.1023131427311075</v>
      </c>
      <c r="J32" s="5">
        <f t="shared" si="0"/>
        <v>1.0109678696460058E-2</v>
      </c>
      <c r="K32" s="5" cm="1">
        <f t="array" ref="K32">_xlfn.STDEV.S(IF($C:$C=C32,$I:$I))</f>
        <v>0.17556416633612926</v>
      </c>
      <c r="L32" s="7">
        <f t="shared" si="9"/>
        <v>0.52518384564944642</v>
      </c>
      <c r="M32">
        <f t="shared" si="1"/>
        <v>-1</v>
      </c>
      <c r="N32" s="9">
        <f t="shared" si="2"/>
        <v>4.5286323699748554E-2</v>
      </c>
      <c r="O32">
        <f>COUNTIFS($B$2:B32,B32,$C$2:C32,C32,$D$2:D32,"&lt;"&amp;D32,$F$2:F32,1)</f>
        <v>3</v>
      </c>
      <c r="P32">
        <f t="shared" si="3"/>
        <v>0</v>
      </c>
      <c r="Q32" t="str">
        <f t="shared" si="4"/>
        <v>Monitor</v>
      </c>
      <c r="R32">
        <v>0</v>
      </c>
      <c r="S32">
        <f t="shared" si="5"/>
        <v>0</v>
      </c>
      <c r="T32">
        <f t="shared" si="6"/>
        <v>0</v>
      </c>
      <c r="U32" t="str">
        <f t="shared" si="10"/>
        <v>Improved Enough</v>
      </c>
      <c r="V32" t="str">
        <f t="shared" si="7"/>
        <v>Far</v>
      </c>
      <c r="W32" t="str">
        <f t="shared" si="11"/>
        <v>Normal</v>
      </c>
      <c r="X32" t="str">
        <f t="shared" si="8"/>
        <v>Allowed</v>
      </c>
    </row>
    <row r="33" spans="1:24" x14ac:dyDescent="0.3">
      <c r="A33" t="s">
        <v>10</v>
      </c>
      <c r="B33" t="s">
        <v>11</v>
      </c>
      <c r="C33" t="s">
        <v>14</v>
      </c>
      <c r="D33" s="3">
        <v>45991</v>
      </c>
      <c r="E33" s="6">
        <v>6.3444108761329304E-2</v>
      </c>
      <c r="F33">
        <v>0</v>
      </c>
      <c r="G33" t="s">
        <v>13</v>
      </c>
      <c r="H33" s="6">
        <v>5.3999999999999999E-2</v>
      </c>
      <c r="I33" s="8">
        <v>-0.1239895484608476</v>
      </c>
      <c r="J33" s="5">
        <f t="shared" si="0"/>
        <v>1.0109678696460058E-2</v>
      </c>
      <c r="K33" s="5" cm="1">
        <f t="array" ref="K33">_xlfn.STDEV.S(IF($C:$C=C33,$I:$I))</f>
        <v>0.17556416633612926</v>
      </c>
      <c r="L33" s="7">
        <f t="shared" si="9"/>
        <v>-0.76381889286316995</v>
      </c>
      <c r="M33">
        <f t="shared" si="1"/>
        <v>1</v>
      </c>
      <c r="N33" s="9">
        <f t="shared" si="2"/>
        <v>0.17489090298757973</v>
      </c>
      <c r="O33">
        <f>COUNTIFS($B$2:B33,B33,$C$2:C33,C33,$D$2:D33,"&lt;"&amp;D33,$F$2:F33,1)</f>
        <v>3</v>
      </c>
      <c r="P33">
        <f t="shared" si="3"/>
        <v>0</v>
      </c>
      <c r="Q33" t="str">
        <f t="shared" si="4"/>
        <v>Intervene</v>
      </c>
      <c r="R33">
        <v>0</v>
      </c>
      <c r="S33">
        <f t="shared" si="5"/>
        <v>1</v>
      </c>
      <c r="T33">
        <f t="shared" si="6"/>
        <v>1</v>
      </c>
      <c r="U33" t="str">
        <f t="shared" si="10"/>
        <v>Not Improved Enough</v>
      </c>
      <c r="V33" t="str">
        <f t="shared" si="7"/>
        <v>Far</v>
      </c>
      <c r="W33" t="str">
        <f t="shared" si="11"/>
        <v>Abnormal</v>
      </c>
      <c r="X33" t="str">
        <f t="shared" si="8"/>
        <v>Allowed</v>
      </c>
    </row>
    <row r="34" spans="1:24" x14ac:dyDescent="0.3">
      <c r="A34" t="s">
        <v>10</v>
      </c>
      <c r="B34" t="s">
        <v>11</v>
      </c>
      <c r="C34" t="s">
        <v>15</v>
      </c>
      <c r="D34" s="3">
        <v>45535</v>
      </c>
      <c r="E34" s="6">
        <v>0.1075514874141876</v>
      </c>
      <c r="F34">
        <v>1</v>
      </c>
      <c r="G34" t="s">
        <v>13</v>
      </c>
      <c r="H34" s="6">
        <v>6.6000000000000003E-2</v>
      </c>
      <c r="I34" s="8">
        <v>-7.5514874141875965E-2</v>
      </c>
      <c r="J34" s="5">
        <f t="shared" si="0"/>
        <v>-2.475667272801203E-2</v>
      </c>
      <c r="K34" s="5" cm="1">
        <f t="array" ref="K34">_xlfn.STDEV.S(IF($C:$C=C34,$I:$I))</f>
        <v>0.42334565134305008</v>
      </c>
      <c r="L34" s="7">
        <f t="shared" si="9"/>
        <v>-0.1198977744375907</v>
      </c>
      <c r="M34">
        <f t="shared" si="1"/>
        <v>0</v>
      </c>
      <c r="N34" s="9">
        <f t="shared" si="2"/>
        <v>0.62956799112405448</v>
      </c>
      <c r="O34">
        <f>COUNTIFS($B$2:B34,B34,$C$2:C34,C34,$D$2:D34,"&lt;"&amp;D34,$F$2:F34,1)</f>
        <v>0</v>
      </c>
      <c r="P34">
        <f t="shared" si="3"/>
        <v>0</v>
      </c>
      <c r="Q34" t="str">
        <f t="shared" si="4"/>
        <v>Monitor</v>
      </c>
      <c r="R34">
        <v>0</v>
      </c>
      <c r="S34">
        <f t="shared" si="5"/>
        <v>0</v>
      </c>
      <c r="T34">
        <f t="shared" si="6"/>
        <v>0</v>
      </c>
      <c r="U34" t="str">
        <f t="shared" si="10"/>
        <v>Not Improved Enough</v>
      </c>
      <c r="V34" t="str">
        <f t="shared" si="7"/>
        <v>Far</v>
      </c>
      <c r="W34" t="str">
        <f t="shared" si="11"/>
        <v>Normal</v>
      </c>
      <c r="X34" t="str">
        <f t="shared" si="8"/>
        <v>Allowed</v>
      </c>
    </row>
    <row r="35" spans="1:24" x14ac:dyDescent="0.3">
      <c r="A35" t="s">
        <v>10</v>
      </c>
      <c r="B35" t="s">
        <v>11</v>
      </c>
      <c r="C35" t="s">
        <v>15</v>
      </c>
      <c r="D35" s="3">
        <v>45565</v>
      </c>
      <c r="E35" s="6">
        <v>0.1133786848072562</v>
      </c>
      <c r="F35">
        <v>1</v>
      </c>
      <c r="G35" t="s">
        <v>13</v>
      </c>
      <c r="H35" s="6">
        <v>6.6000000000000003E-2</v>
      </c>
      <c r="I35" s="8">
        <v>-5.4180537463212303E-2</v>
      </c>
      <c r="J35" s="5">
        <f t="shared" si="0"/>
        <v>-2.475667272801203E-2</v>
      </c>
      <c r="K35" s="5" cm="1">
        <f t="array" ref="K35">_xlfn.STDEV.S(IF($C:$C=C35,$I:$I))</f>
        <v>0.42334565134305008</v>
      </c>
      <c r="L35" s="7">
        <f t="shared" si="9"/>
        <v>-6.9503169908215742E-2</v>
      </c>
      <c r="M35">
        <f t="shared" si="1"/>
        <v>0</v>
      </c>
      <c r="N35" s="9">
        <f t="shared" si="2"/>
        <v>0.71785886071600291</v>
      </c>
      <c r="O35">
        <f>COUNTIFS($B$2:B35,B35,$C$2:C35,C35,$D$2:D35,"&lt;"&amp;D35,$F$2:F35,1)</f>
        <v>1</v>
      </c>
      <c r="P35">
        <f t="shared" si="3"/>
        <v>-1</v>
      </c>
      <c r="Q35" t="str">
        <f t="shared" si="4"/>
        <v>Monitor</v>
      </c>
      <c r="R35">
        <v>1</v>
      </c>
      <c r="S35">
        <f t="shared" si="5"/>
        <v>0</v>
      </c>
      <c r="T35">
        <f t="shared" si="6"/>
        <v>0</v>
      </c>
      <c r="U35" t="str">
        <f t="shared" si="10"/>
        <v>Not Improved Enough</v>
      </c>
      <c r="V35" t="str">
        <f t="shared" si="7"/>
        <v>Far</v>
      </c>
      <c r="W35" t="str">
        <f t="shared" si="11"/>
        <v>Normal</v>
      </c>
      <c r="X35" t="str">
        <f t="shared" si="8"/>
        <v>Allowed</v>
      </c>
    </row>
    <row r="36" spans="1:24" x14ac:dyDescent="0.3">
      <c r="A36" t="s">
        <v>10</v>
      </c>
      <c r="B36" t="s">
        <v>11</v>
      </c>
      <c r="C36" t="s">
        <v>15</v>
      </c>
      <c r="D36" s="3">
        <v>45596</v>
      </c>
      <c r="E36" s="6">
        <v>0.1018957345971564</v>
      </c>
      <c r="F36">
        <v>1</v>
      </c>
      <c r="G36" t="s">
        <v>13</v>
      </c>
      <c r="H36" s="6">
        <v>6.6000000000000003E-2</v>
      </c>
      <c r="I36" s="8">
        <v>0.1012796208530803</v>
      </c>
      <c r="J36" s="5">
        <f t="shared" si="0"/>
        <v>-2.475667272801203E-2</v>
      </c>
      <c r="K36" s="5" cm="1">
        <f t="array" ref="K36">_xlfn.STDEV.S(IF($C:$C=C36,$I:$I))</f>
        <v>0.42334565134305008</v>
      </c>
      <c r="L36" s="7">
        <f t="shared" si="9"/>
        <v>0.29771486533816127</v>
      </c>
      <c r="M36">
        <f t="shared" si="1"/>
        <v>0</v>
      </c>
      <c r="N36" s="9">
        <f t="shared" si="2"/>
        <v>0.5438747666235817</v>
      </c>
      <c r="O36">
        <f>COUNTIFS($B$2:B36,B36,$C$2:C36,C36,$D$2:D36,"&lt;"&amp;D36,$F$2:F36,1)</f>
        <v>2</v>
      </c>
      <c r="P36">
        <f t="shared" si="3"/>
        <v>1</v>
      </c>
      <c r="Q36" t="str">
        <f t="shared" si="4"/>
        <v>Monitor</v>
      </c>
      <c r="R36">
        <v>1</v>
      </c>
      <c r="S36">
        <f t="shared" si="5"/>
        <v>0</v>
      </c>
      <c r="T36">
        <f t="shared" si="6"/>
        <v>0</v>
      </c>
      <c r="U36" t="str">
        <f t="shared" si="10"/>
        <v>Improved Enough</v>
      </c>
      <c r="V36" t="str">
        <f t="shared" si="7"/>
        <v>Far</v>
      </c>
      <c r="W36" t="str">
        <f t="shared" si="11"/>
        <v>Normal</v>
      </c>
      <c r="X36" t="str">
        <f t="shared" si="8"/>
        <v>Allowed</v>
      </c>
    </row>
    <row r="37" spans="1:24" x14ac:dyDescent="0.3">
      <c r="A37" t="s">
        <v>10</v>
      </c>
      <c r="B37" t="s">
        <v>11</v>
      </c>
      <c r="C37" t="s">
        <v>15</v>
      </c>
      <c r="D37" s="3">
        <v>45626</v>
      </c>
      <c r="E37" s="6">
        <v>8.3732056999999999E-2</v>
      </c>
      <c r="F37">
        <v>0</v>
      </c>
      <c r="G37" t="s">
        <v>13</v>
      </c>
      <c r="H37" s="6">
        <v>6.6000000000000003E-2</v>
      </c>
      <c r="I37" s="8">
        <v>0.17825748711627909</v>
      </c>
      <c r="J37" s="5">
        <f t="shared" si="0"/>
        <v>-2.475667272801203E-2</v>
      </c>
      <c r="K37" s="5" cm="1">
        <f t="array" ref="K37">_xlfn.STDEV.S(IF($C:$C=C37,$I:$I))</f>
        <v>0.42334565134305008</v>
      </c>
      <c r="L37" s="7">
        <f t="shared" si="9"/>
        <v>0.47954705380871493</v>
      </c>
      <c r="M37">
        <f t="shared" si="1"/>
        <v>0</v>
      </c>
      <c r="N37" s="9">
        <f t="shared" si="2"/>
        <v>0.2686675303030302</v>
      </c>
      <c r="O37">
        <f>COUNTIFS($B$2:B37,B37,$C$2:C37,C37,$D$2:D37,"&lt;"&amp;D37,$F$2:F37,1)</f>
        <v>3</v>
      </c>
      <c r="P37">
        <f t="shared" si="3"/>
        <v>1</v>
      </c>
      <c r="Q37" t="str">
        <f t="shared" si="4"/>
        <v>Monitor</v>
      </c>
      <c r="R37">
        <v>1</v>
      </c>
      <c r="S37">
        <f t="shared" si="5"/>
        <v>0</v>
      </c>
      <c r="T37">
        <f t="shared" si="6"/>
        <v>0</v>
      </c>
      <c r="U37" t="str">
        <f t="shared" si="10"/>
        <v>Improved Enough</v>
      </c>
      <c r="V37" t="str">
        <f t="shared" si="7"/>
        <v>Far</v>
      </c>
      <c r="W37" t="str">
        <f t="shared" si="11"/>
        <v>Normal</v>
      </c>
      <c r="X37" t="str">
        <f t="shared" si="8"/>
        <v>Allowed</v>
      </c>
    </row>
    <row r="38" spans="1:24" x14ac:dyDescent="0.3">
      <c r="A38" t="s">
        <v>10</v>
      </c>
      <c r="B38" t="s">
        <v>11</v>
      </c>
      <c r="C38" t="s">
        <v>15</v>
      </c>
      <c r="D38" s="3">
        <v>45657</v>
      </c>
      <c r="E38" s="6">
        <v>8.2938388625592413E-2</v>
      </c>
      <c r="F38">
        <v>0</v>
      </c>
      <c r="G38" t="s">
        <v>13</v>
      </c>
      <c r="H38" s="6">
        <v>6.6000000000000003E-2</v>
      </c>
      <c r="I38" s="8">
        <v>9.4786680614759727E-3</v>
      </c>
      <c r="J38" s="5">
        <f t="shared" si="0"/>
        <v>-2.475667272801203E-2</v>
      </c>
      <c r="K38" s="5" cm="1">
        <f t="array" ref="K38">_xlfn.STDEV.S(IF($C:$C=C38,$I:$I))</f>
        <v>0.42334565134305008</v>
      </c>
      <c r="L38" s="7">
        <f t="shared" si="9"/>
        <v>8.0868530669625446E-2</v>
      </c>
      <c r="M38">
        <f t="shared" si="1"/>
        <v>0</v>
      </c>
      <c r="N38" s="9">
        <f t="shared" si="2"/>
        <v>0.25664225190291529</v>
      </c>
      <c r="O38">
        <f>COUNTIFS($B$2:B38,B38,$C$2:C38,C38,$D$2:D38,"&lt;"&amp;D38,$F$2:F38,1)</f>
        <v>3</v>
      </c>
      <c r="P38">
        <f t="shared" si="3"/>
        <v>0</v>
      </c>
      <c r="Q38" t="str">
        <f t="shared" si="4"/>
        <v>Monitor</v>
      </c>
      <c r="R38">
        <v>0</v>
      </c>
      <c r="S38">
        <f t="shared" si="5"/>
        <v>0</v>
      </c>
      <c r="T38">
        <f t="shared" si="6"/>
        <v>0</v>
      </c>
      <c r="U38" t="str">
        <f t="shared" si="10"/>
        <v>Not Improved Enough</v>
      </c>
      <c r="V38" t="str">
        <f t="shared" si="7"/>
        <v>Far</v>
      </c>
      <c r="W38" t="str">
        <f t="shared" si="11"/>
        <v>Normal</v>
      </c>
      <c r="X38" t="str">
        <f t="shared" si="8"/>
        <v>Allowed</v>
      </c>
    </row>
    <row r="39" spans="1:24" x14ac:dyDescent="0.3">
      <c r="A39" t="s">
        <v>10</v>
      </c>
      <c r="B39" t="s">
        <v>11</v>
      </c>
      <c r="C39" t="s">
        <v>15</v>
      </c>
      <c r="D39" s="3">
        <v>45688</v>
      </c>
      <c r="E39" s="6">
        <v>9.9307159353348731E-2</v>
      </c>
      <c r="F39">
        <v>1</v>
      </c>
      <c r="G39" t="s">
        <v>13</v>
      </c>
      <c r="H39" s="6">
        <v>6.6000000000000003E-2</v>
      </c>
      <c r="I39" s="8">
        <v>-0.1973606070603762</v>
      </c>
      <c r="J39" s="5">
        <f t="shared" si="0"/>
        <v>-2.475667272801203E-2</v>
      </c>
      <c r="K39" s="5" cm="1">
        <f t="array" ref="K39">_xlfn.STDEV.S(IF($C:$C=C39,$I:$I))</f>
        <v>0.42334565134305008</v>
      </c>
      <c r="L39" s="7">
        <f t="shared" si="9"/>
        <v>-0.40771396560891532</v>
      </c>
      <c r="M39">
        <f t="shared" si="1"/>
        <v>0</v>
      </c>
      <c r="N39" s="9">
        <f t="shared" si="2"/>
        <v>0.50465392959619282</v>
      </c>
      <c r="O39">
        <f>COUNTIFS($B$2:B39,B39,$C$2:C39,C39,$D$2:D39,"&lt;"&amp;D39,$F$2:F39,1)</f>
        <v>3</v>
      </c>
      <c r="P39">
        <f t="shared" si="3"/>
        <v>0</v>
      </c>
      <c r="Q39" t="str">
        <f t="shared" si="4"/>
        <v>Monitor</v>
      </c>
      <c r="R39">
        <v>0</v>
      </c>
      <c r="S39">
        <f t="shared" si="5"/>
        <v>0</v>
      </c>
      <c r="T39">
        <f t="shared" si="6"/>
        <v>0</v>
      </c>
      <c r="U39" t="str">
        <f t="shared" si="10"/>
        <v>Not Improved Enough</v>
      </c>
      <c r="V39" t="str">
        <f t="shared" si="7"/>
        <v>Far</v>
      </c>
      <c r="W39" t="str">
        <f t="shared" si="11"/>
        <v>Normal</v>
      </c>
      <c r="X39" t="str">
        <f t="shared" si="8"/>
        <v>Allowed</v>
      </c>
    </row>
    <row r="40" spans="1:24" x14ac:dyDescent="0.3">
      <c r="A40" t="s">
        <v>10</v>
      </c>
      <c r="B40" t="s">
        <v>11</v>
      </c>
      <c r="C40" t="s">
        <v>15</v>
      </c>
      <c r="D40" s="3">
        <v>45716</v>
      </c>
      <c r="E40" s="6">
        <v>0.1118721461187215</v>
      </c>
      <c r="F40">
        <v>1</v>
      </c>
      <c r="G40" t="s">
        <v>13</v>
      </c>
      <c r="H40" s="6">
        <v>6.6000000000000003E-2</v>
      </c>
      <c r="I40" s="8">
        <v>-0.12652649463735829</v>
      </c>
      <c r="J40" s="5">
        <f t="shared" si="0"/>
        <v>-2.475667272801203E-2</v>
      </c>
      <c r="K40" s="5" cm="1">
        <f t="array" ref="K40">_xlfn.STDEV.S(IF($C:$C=C40,$I:$I))</f>
        <v>0.42334565134305008</v>
      </c>
      <c r="L40" s="7">
        <f t="shared" si="9"/>
        <v>-0.24039415920887547</v>
      </c>
      <c r="M40">
        <f t="shared" si="1"/>
        <v>0</v>
      </c>
      <c r="N40" s="9">
        <f t="shared" si="2"/>
        <v>0.69503251695032564</v>
      </c>
      <c r="O40">
        <f>COUNTIFS($B$2:B40,B40,$C$2:C40,C40,$D$2:D40,"&lt;"&amp;D40,$F$2:F40,1)</f>
        <v>4</v>
      </c>
      <c r="P40">
        <f t="shared" si="3"/>
        <v>-1</v>
      </c>
      <c r="Q40" t="str">
        <f t="shared" si="4"/>
        <v>Monitor</v>
      </c>
      <c r="R40">
        <v>1</v>
      </c>
      <c r="S40">
        <f t="shared" si="5"/>
        <v>0</v>
      </c>
      <c r="T40">
        <f t="shared" si="6"/>
        <v>0</v>
      </c>
      <c r="U40" t="str">
        <f t="shared" si="10"/>
        <v>Not Improved Enough</v>
      </c>
      <c r="V40" t="str">
        <f t="shared" si="7"/>
        <v>Far</v>
      </c>
      <c r="W40" t="str">
        <f t="shared" si="11"/>
        <v>Normal</v>
      </c>
      <c r="X40" t="str">
        <f t="shared" si="8"/>
        <v>Allowed</v>
      </c>
    </row>
    <row r="41" spans="1:24" x14ac:dyDescent="0.3">
      <c r="A41" t="s">
        <v>10</v>
      </c>
      <c r="B41" t="s">
        <v>11</v>
      </c>
      <c r="C41" t="s">
        <v>15</v>
      </c>
      <c r="D41" s="3">
        <v>45747</v>
      </c>
      <c r="E41" s="7">
        <v>9.5890410958904104E-2</v>
      </c>
      <c r="F41">
        <v>0</v>
      </c>
      <c r="G41" t="s">
        <v>13</v>
      </c>
      <c r="H41" s="7">
        <v>6.6000000000000003E-2</v>
      </c>
      <c r="I41" s="8">
        <v>0.14285714285714321</v>
      </c>
      <c r="J41" s="5">
        <f t="shared" si="0"/>
        <v>-2.475667272801203E-2</v>
      </c>
      <c r="K41" s="5" cm="1">
        <f t="array" ref="K41">_xlfn.STDEV.S(IF($C:$C=C41,$I:$I))</f>
        <v>0.42334565134305008</v>
      </c>
      <c r="L41" s="7">
        <f t="shared" si="9"/>
        <v>0.39592662651288835</v>
      </c>
      <c r="M41">
        <f t="shared" si="1"/>
        <v>0</v>
      </c>
      <c r="N41" s="9">
        <f t="shared" si="2"/>
        <v>0.45288501452884999</v>
      </c>
      <c r="O41">
        <f>COUNTIFS($B$2:B41,B41,$C$2:C41,C41,$D$2:D41,"&lt;"&amp;D41,$F$2:F41,1)</f>
        <v>5</v>
      </c>
      <c r="P41">
        <f t="shared" si="3"/>
        <v>1</v>
      </c>
      <c r="Q41" t="str">
        <f t="shared" si="4"/>
        <v>Monitor</v>
      </c>
      <c r="R41">
        <v>1</v>
      </c>
      <c r="S41">
        <f t="shared" si="5"/>
        <v>0</v>
      </c>
      <c r="T41">
        <f t="shared" si="6"/>
        <v>0</v>
      </c>
      <c r="U41" t="str">
        <f t="shared" si="10"/>
        <v>Improved Enough</v>
      </c>
      <c r="V41" t="str">
        <f t="shared" si="7"/>
        <v>Far</v>
      </c>
      <c r="W41" t="str">
        <f t="shared" si="11"/>
        <v>Normal</v>
      </c>
      <c r="X41" t="str">
        <f t="shared" si="8"/>
        <v>Maxed Out</v>
      </c>
    </row>
    <row r="42" spans="1:24" x14ac:dyDescent="0.3">
      <c r="A42" t="s">
        <v>10</v>
      </c>
      <c r="B42" t="s">
        <v>11</v>
      </c>
      <c r="C42" t="s">
        <v>15</v>
      </c>
      <c r="D42" s="3">
        <v>45777</v>
      </c>
      <c r="E42" s="6">
        <v>0.1160714285714286</v>
      </c>
      <c r="F42">
        <v>0</v>
      </c>
      <c r="G42" t="s">
        <v>13</v>
      </c>
      <c r="H42" s="6">
        <v>6.6000000000000003E-2</v>
      </c>
      <c r="I42" s="8">
        <v>-0.2104591836734698</v>
      </c>
      <c r="J42" s="5">
        <f t="shared" si="0"/>
        <v>-2.475667272801203E-2</v>
      </c>
      <c r="K42" s="5" cm="1">
        <f t="array" ref="K42">_xlfn.STDEV.S(IF($C:$C=C42,$I:$I))</f>
        <v>0.42334565134305008</v>
      </c>
      <c r="L42" s="7">
        <f t="shared" si="9"/>
        <v>-0.4386545848677616</v>
      </c>
      <c r="M42">
        <f t="shared" si="1"/>
        <v>0</v>
      </c>
      <c r="N42" s="9">
        <f t="shared" si="2"/>
        <v>0.75865800865800903</v>
      </c>
      <c r="O42">
        <f>COUNTIFS($B$2:B42,B42,$C$2:C42,C42,$D$2:D42,"&lt;"&amp;D42,$F$2:F42,1)</f>
        <v>5</v>
      </c>
      <c r="P42">
        <f t="shared" si="3"/>
        <v>0</v>
      </c>
      <c r="Q42" t="str">
        <f t="shared" si="4"/>
        <v>Monitor</v>
      </c>
      <c r="R42">
        <v>0</v>
      </c>
      <c r="S42">
        <f t="shared" si="5"/>
        <v>0</v>
      </c>
      <c r="T42">
        <f t="shared" si="6"/>
        <v>0</v>
      </c>
      <c r="U42" t="str">
        <f t="shared" si="10"/>
        <v>Not Improved Enough</v>
      </c>
      <c r="V42" t="str">
        <f t="shared" si="7"/>
        <v>Far</v>
      </c>
      <c r="W42" t="str">
        <f t="shared" si="11"/>
        <v>Normal</v>
      </c>
      <c r="X42" t="str">
        <f t="shared" si="8"/>
        <v>Maxed Out</v>
      </c>
    </row>
    <row r="43" spans="1:24" x14ac:dyDescent="0.3">
      <c r="A43" t="s">
        <v>10</v>
      </c>
      <c r="B43" t="s">
        <v>11</v>
      </c>
      <c r="C43" t="s">
        <v>15</v>
      </c>
      <c r="D43" s="3">
        <v>45808</v>
      </c>
      <c r="E43" s="6">
        <v>9.6774193548387094E-2</v>
      </c>
      <c r="F43">
        <v>0</v>
      </c>
      <c r="G43" t="s">
        <v>13</v>
      </c>
      <c r="H43" s="6">
        <v>6.6000000000000003E-2</v>
      </c>
      <c r="I43" s="8">
        <v>0.166253101736973</v>
      </c>
      <c r="J43" s="5">
        <f t="shared" si="0"/>
        <v>-2.475667272801203E-2</v>
      </c>
      <c r="K43" s="5" cm="1">
        <f t="array" ref="K43">_xlfn.STDEV.S(IF($C:$C=C43,$I:$I))</f>
        <v>0.42334565134305008</v>
      </c>
      <c r="L43" s="7">
        <f t="shared" si="9"/>
        <v>0.45119106304508577</v>
      </c>
      <c r="M43">
        <f t="shared" si="1"/>
        <v>0</v>
      </c>
      <c r="N43" s="9">
        <f t="shared" si="2"/>
        <v>0.46627565982404678</v>
      </c>
      <c r="O43">
        <f>COUNTIFS($B$2:B43,B43,$C$2:C43,C43,$D$2:D43,"&lt;"&amp;D43,$F$2:F43,1)</f>
        <v>5</v>
      </c>
      <c r="P43">
        <f t="shared" si="3"/>
        <v>0</v>
      </c>
      <c r="Q43" t="str">
        <f t="shared" si="4"/>
        <v>Monitor</v>
      </c>
      <c r="R43">
        <v>0</v>
      </c>
      <c r="S43">
        <f t="shared" si="5"/>
        <v>0</v>
      </c>
      <c r="T43">
        <f t="shared" si="6"/>
        <v>0</v>
      </c>
      <c r="U43" t="str">
        <f t="shared" si="10"/>
        <v>Improved Enough</v>
      </c>
      <c r="V43" t="str">
        <f t="shared" si="7"/>
        <v>Far</v>
      </c>
      <c r="W43" t="str">
        <f t="shared" si="11"/>
        <v>Normal</v>
      </c>
      <c r="X43" t="str">
        <f t="shared" si="8"/>
        <v>Maxed Out</v>
      </c>
    </row>
    <row r="44" spans="1:24" x14ac:dyDescent="0.3">
      <c r="A44" t="s">
        <v>10</v>
      </c>
      <c r="B44" t="s">
        <v>11</v>
      </c>
      <c r="C44" t="s">
        <v>15</v>
      </c>
      <c r="D44" s="3">
        <v>45838</v>
      </c>
      <c r="E44" s="6">
        <v>7.8160919540229884E-2</v>
      </c>
      <c r="F44">
        <v>0</v>
      </c>
      <c r="G44" t="s">
        <v>13</v>
      </c>
      <c r="H44" s="6">
        <v>6.6000000000000003E-2</v>
      </c>
      <c r="I44" s="8">
        <v>0.19233716475095791</v>
      </c>
      <c r="J44" s="5">
        <f t="shared" si="0"/>
        <v>-2.475667272801203E-2</v>
      </c>
      <c r="K44" s="5" cm="1">
        <f t="array" ref="K44">_xlfn.STDEV.S(IF($C:$C=C44,$I:$I))</f>
        <v>0.42334565134305008</v>
      </c>
      <c r="L44" s="7">
        <f t="shared" si="9"/>
        <v>0.51280516710221757</v>
      </c>
      <c r="M44">
        <f t="shared" si="1"/>
        <v>-1</v>
      </c>
      <c r="N44" s="9">
        <f t="shared" si="2"/>
        <v>0.1842563566701497</v>
      </c>
      <c r="O44">
        <f>COUNTIFS($B$2:B44,B44,$C$2:C44,C44,$D$2:D44,"&lt;"&amp;D44,$F$2:F44,1)</f>
        <v>5</v>
      </c>
      <c r="P44">
        <f t="shared" si="3"/>
        <v>0</v>
      </c>
      <c r="Q44" t="str">
        <f t="shared" si="4"/>
        <v>Monitor</v>
      </c>
      <c r="R44">
        <v>0</v>
      </c>
      <c r="S44">
        <f t="shared" si="5"/>
        <v>0</v>
      </c>
      <c r="T44">
        <f t="shared" si="6"/>
        <v>0</v>
      </c>
      <c r="U44" t="str">
        <f t="shared" si="10"/>
        <v>Improved Enough</v>
      </c>
      <c r="V44" t="str">
        <f t="shared" si="7"/>
        <v>Far</v>
      </c>
      <c r="W44" t="str">
        <f t="shared" si="11"/>
        <v>Normal</v>
      </c>
      <c r="X44" t="str">
        <f t="shared" si="8"/>
        <v>Maxed Out</v>
      </c>
    </row>
    <row r="45" spans="1:24" x14ac:dyDescent="0.3">
      <c r="A45" t="s">
        <v>10</v>
      </c>
      <c r="B45" t="s">
        <v>11</v>
      </c>
      <c r="C45" t="s">
        <v>15</v>
      </c>
      <c r="D45" s="3">
        <v>45869</v>
      </c>
      <c r="E45" s="6">
        <v>7.5892857142857137E-2</v>
      </c>
      <c r="F45">
        <v>0</v>
      </c>
      <c r="G45" t="s">
        <v>13</v>
      </c>
      <c r="H45" s="6">
        <v>6.6000000000000003E-2</v>
      </c>
      <c r="I45" s="8">
        <v>2.901785714285721E-2</v>
      </c>
      <c r="J45" s="5">
        <f t="shared" si="0"/>
        <v>-2.475667272801203E-2</v>
      </c>
      <c r="K45" s="5" cm="1">
        <f t="array" ref="K45">_xlfn.STDEV.S(IF($C:$C=C45,$I:$I))</f>
        <v>0.42334565134305008</v>
      </c>
      <c r="L45" s="7">
        <f t="shared" si="9"/>
        <v>0.12702275244890629</v>
      </c>
      <c r="M45">
        <f t="shared" si="1"/>
        <v>0</v>
      </c>
      <c r="N45" s="9">
        <f t="shared" si="2"/>
        <v>0.14989177489177474</v>
      </c>
      <c r="O45">
        <f>COUNTIFS($B$2:B45,B45,$C$2:C45,C45,$D$2:D45,"&lt;"&amp;D45,$F$2:F45,1)</f>
        <v>5</v>
      </c>
      <c r="P45">
        <f t="shared" si="3"/>
        <v>0</v>
      </c>
      <c r="Q45" t="str">
        <f t="shared" si="4"/>
        <v>Monitor</v>
      </c>
      <c r="R45">
        <v>0</v>
      </c>
      <c r="S45">
        <f t="shared" si="5"/>
        <v>0</v>
      </c>
      <c r="T45">
        <f t="shared" si="6"/>
        <v>0</v>
      </c>
      <c r="U45" t="str">
        <f t="shared" si="10"/>
        <v>Improved Enough</v>
      </c>
      <c r="V45" t="str">
        <f t="shared" si="7"/>
        <v>Far</v>
      </c>
      <c r="W45" t="str">
        <f t="shared" si="11"/>
        <v>Normal</v>
      </c>
      <c r="X45" t="str">
        <f t="shared" si="8"/>
        <v>Maxed Out</v>
      </c>
    </row>
    <row r="46" spans="1:24" x14ac:dyDescent="0.3">
      <c r="A46" t="s">
        <v>10</v>
      </c>
      <c r="B46" t="s">
        <v>11</v>
      </c>
      <c r="C46" t="s">
        <v>15</v>
      </c>
      <c r="D46" s="3">
        <v>45900</v>
      </c>
      <c r="E46" s="6">
        <v>7.3991031390134535E-2</v>
      </c>
      <c r="F46">
        <v>0</v>
      </c>
      <c r="G46" t="s">
        <v>13</v>
      </c>
      <c r="H46" s="6">
        <v>6.6000000000000003E-2</v>
      </c>
      <c r="I46" s="8">
        <v>2.505935109469782E-2</v>
      </c>
      <c r="J46" s="5">
        <f t="shared" si="0"/>
        <v>-2.475667272801203E-2</v>
      </c>
      <c r="K46" s="5" cm="1">
        <f t="array" ref="K46">_xlfn.STDEV.S(IF($C:$C=C46,$I:$I))</f>
        <v>0.42334565134305008</v>
      </c>
      <c r="L46" s="7">
        <f t="shared" si="9"/>
        <v>0.1176722228388792</v>
      </c>
      <c r="M46">
        <f t="shared" si="1"/>
        <v>0</v>
      </c>
      <c r="N46" s="9">
        <f t="shared" si="2"/>
        <v>0.12107623318385653</v>
      </c>
      <c r="O46">
        <f>COUNTIFS($B$2:B46,B46,$C$2:C46,C46,$D$2:D46,"&lt;"&amp;D46,$F$2:F46,1)</f>
        <v>5</v>
      </c>
      <c r="P46">
        <f t="shared" si="3"/>
        <v>0</v>
      </c>
      <c r="Q46" t="str">
        <f t="shared" si="4"/>
        <v>Monitor</v>
      </c>
      <c r="R46">
        <v>0</v>
      </c>
      <c r="S46">
        <f t="shared" si="5"/>
        <v>0</v>
      </c>
      <c r="T46">
        <f t="shared" si="6"/>
        <v>0</v>
      </c>
      <c r="U46" t="str">
        <f t="shared" si="10"/>
        <v>Improved Enough</v>
      </c>
      <c r="V46" t="str">
        <f t="shared" si="7"/>
        <v>Far</v>
      </c>
      <c r="W46" t="str">
        <f t="shared" si="11"/>
        <v>Normal</v>
      </c>
      <c r="X46" t="str">
        <f t="shared" si="8"/>
        <v>Maxed Out</v>
      </c>
    </row>
    <row r="47" spans="1:24" x14ac:dyDescent="0.3">
      <c r="A47" t="s">
        <v>10</v>
      </c>
      <c r="B47" t="s">
        <v>11</v>
      </c>
      <c r="C47" t="s">
        <v>15</v>
      </c>
      <c r="D47" s="3">
        <v>45930</v>
      </c>
      <c r="E47" s="6">
        <v>7.7777777777777779E-2</v>
      </c>
      <c r="F47">
        <v>1</v>
      </c>
      <c r="G47" t="s">
        <v>13</v>
      </c>
      <c r="H47" s="6">
        <v>6.6000000000000003E-2</v>
      </c>
      <c r="I47" s="8">
        <v>-5.1178451178451108E-2</v>
      </c>
      <c r="J47" s="5">
        <f t="shared" si="0"/>
        <v>-2.475667272801203E-2</v>
      </c>
      <c r="K47" s="5" cm="1">
        <f t="array" ref="K47">_xlfn.STDEV.S(IF($C:$C=C47,$I:$I))</f>
        <v>0.42334565134305008</v>
      </c>
      <c r="L47" s="7">
        <f t="shared" si="9"/>
        <v>-6.2411833844559075E-2</v>
      </c>
      <c r="M47">
        <f t="shared" si="1"/>
        <v>0</v>
      </c>
      <c r="N47" s="9">
        <f t="shared" si="2"/>
        <v>0.17845117845117842</v>
      </c>
      <c r="O47">
        <f>COUNTIFS($B$2:B47,B47,$C$2:C47,C47,$D$2:D47,"&lt;"&amp;D47,$F$2:F47,1)</f>
        <v>5</v>
      </c>
      <c r="P47">
        <f t="shared" si="3"/>
        <v>0</v>
      </c>
      <c r="Q47" t="str">
        <f t="shared" si="4"/>
        <v>Monitor</v>
      </c>
      <c r="R47">
        <v>0</v>
      </c>
      <c r="S47">
        <f t="shared" si="5"/>
        <v>0</v>
      </c>
      <c r="T47">
        <f t="shared" si="6"/>
        <v>0</v>
      </c>
      <c r="U47" t="str">
        <f t="shared" si="10"/>
        <v>Not Improved Enough</v>
      </c>
      <c r="V47" t="str">
        <f t="shared" si="7"/>
        <v>Far</v>
      </c>
      <c r="W47" t="str">
        <f t="shared" si="11"/>
        <v>Normal</v>
      </c>
      <c r="X47" t="str">
        <f t="shared" si="8"/>
        <v>Maxed Out</v>
      </c>
    </row>
    <row r="48" spans="1:24" x14ac:dyDescent="0.3">
      <c r="A48" t="s">
        <v>10</v>
      </c>
      <c r="B48" t="s">
        <v>11</v>
      </c>
      <c r="C48" t="s">
        <v>15</v>
      </c>
      <c r="D48" s="3">
        <v>45961</v>
      </c>
      <c r="E48" s="6">
        <v>5.7906458797327393E-2</v>
      </c>
      <c r="F48">
        <v>0</v>
      </c>
      <c r="G48" t="s">
        <v>13</v>
      </c>
      <c r="H48" s="6">
        <v>6.6000000000000003E-2</v>
      </c>
      <c r="I48" s="8">
        <v>0.25548838689150488</v>
      </c>
      <c r="J48" s="5">
        <f t="shared" si="0"/>
        <v>-2.475667272801203E-2</v>
      </c>
      <c r="K48" s="5" cm="1">
        <f t="array" ref="K48">_xlfn.STDEV.S(IF($C:$C=C48,$I:$I))</f>
        <v>0.42334565134305008</v>
      </c>
      <c r="L48" s="7">
        <f t="shared" si="9"/>
        <v>0.66197694184515354</v>
      </c>
      <c r="M48">
        <f t="shared" si="1"/>
        <v>-1</v>
      </c>
      <c r="N48" s="9">
        <f t="shared" si="2"/>
        <v>-0.12262941216170621</v>
      </c>
      <c r="O48">
        <f>COUNTIFS($B$2:B48,B48,$C$2:C48,C48,$D$2:D48,"&lt;"&amp;D48,$F$2:F48,1)</f>
        <v>6</v>
      </c>
      <c r="P48">
        <f t="shared" si="3"/>
        <v>1</v>
      </c>
      <c r="Q48" t="str">
        <f t="shared" si="4"/>
        <v>Monitor</v>
      </c>
      <c r="R48">
        <v>1</v>
      </c>
      <c r="S48">
        <f t="shared" si="5"/>
        <v>0</v>
      </c>
      <c r="T48">
        <f t="shared" si="6"/>
        <v>0</v>
      </c>
      <c r="U48" t="str">
        <f t="shared" si="10"/>
        <v>Improved Enough</v>
      </c>
      <c r="V48" t="str">
        <f t="shared" si="7"/>
        <v>Close</v>
      </c>
      <c r="W48" t="str">
        <f t="shared" si="11"/>
        <v>Normal</v>
      </c>
      <c r="X48" t="str">
        <f t="shared" si="8"/>
        <v>Maxed Out</v>
      </c>
    </row>
    <row r="49" spans="1:24" x14ac:dyDescent="0.3">
      <c r="A49" t="s">
        <v>10</v>
      </c>
      <c r="B49" t="s">
        <v>11</v>
      </c>
      <c r="C49" t="s">
        <v>15</v>
      </c>
      <c r="D49" s="3">
        <v>45991</v>
      </c>
      <c r="E49" s="6">
        <v>6.6225165562913912E-2</v>
      </c>
      <c r="F49">
        <v>0</v>
      </c>
      <c r="G49" t="s">
        <v>13</v>
      </c>
      <c r="H49" s="6">
        <v>6.6000000000000003E-2</v>
      </c>
      <c r="I49" s="8">
        <v>-0.14365766683647491</v>
      </c>
      <c r="J49" s="5">
        <f t="shared" si="0"/>
        <v>-2.475667272801203E-2</v>
      </c>
      <c r="K49" s="5" cm="1">
        <f t="array" ref="K49">_xlfn.STDEV.S(IF($C:$C=C49,$I:$I))</f>
        <v>0.42334565134305008</v>
      </c>
      <c r="L49" s="7">
        <f t="shared" si="9"/>
        <v>-0.28086031764175068</v>
      </c>
      <c r="M49">
        <f t="shared" si="1"/>
        <v>0</v>
      </c>
      <c r="N49" s="9">
        <f t="shared" si="2"/>
        <v>3.4115994380895351E-3</v>
      </c>
      <c r="O49">
        <f>COUNTIFS($B$2:B49,B49,$C$2:C49,C49,$D$2:D49,"&lt;"&amp;D49,$F$2:F49,1)</f>
        <v>6</v>
      </c>
      <c r="P49">
        <f t="shared" si="3"/>
        <v>0</v>
      </c>
      <c r="Q49" t="str">
        <f t="shared" si="4"/>
        <v>Monitor</v>
      </c>
      <c r="R49">
        <v>0</v>
      </c>
      <c r="S49">
        <f t="shared" si="5"/>
        <v>0</v>
      </c>
      <c r="T49">
        <f t="shared" si="6"/>
        <v>0</v>
      </c>
      <c r="U49" t="str">
        <f t="shared" si="10"/>
        <v>Not Improved Enough</v>
      </c>
      <c r="V49" t="str">
        <f t="shared" si="7"/>
        <v>Close</v>
      </c>
      <c r="W49" t="str">
        <f t="shared" si="11"/>
        <v>Normal</v>
      </c>
      <c r="X49" t="str">
        <f t="shared" si="8"/>
        <v>Maxed Out</v>
      </c>
    </row>
    <row r="50" spans="1:24" x14ac:dyDescent="0.3">
      <c r="A50" t="s">
        <v>10</v>
      </c>
      <c r="B50" t="s">
        <v>11</v>
      </c>
      <c r="C50" t="s">
        <v>16</v>
      </c>
      <c r="D50" s="3">
        <v>45535</v>
      </c>
      <c r="E50" s="6">
        <v>0.15873015873015869</v>
      </c>
      <c r="F50">
        <v>0</v>
      </c>
      <c r="G50" t="s">
        <v>17</v>
      </c>
      <c r="H50" s="6">
        <v>0.16400000000000001</v>
      </c>
      <c r="I50" s="8">
        <v>0.1287477954144618</v>
      </c>
      <c r="J50" s="5">
        <f t="shared" si="0"/>
        <v>2.6472445732452773E-2</v>
      </c>
      <c r="K50" s="5" cm="1">
        <f t="array" ref="K50">_xlfn.STDEV.S(IF($C:$C=C50,$I:$I))</f>
        <v>0.13493378643970674</v>
      </c>
      <c r="L50" s="7">
        <f t="shared" si="9"/>
        <v>0.75796694349572202</v>
      </c>
      <c r="M50">
        <f t="shared" si="1"/>
        <v>-1</v>
      </c>
      <c r="N50" s="9">
        <f t="shared" si="2"/>
        <v>3.213317847464215E-2</v>
      </c>
      <c r="O50">
        <f>COUNTIFS($B$2:B50,B50,$C$2:C50,C50,$D$2:D50,"&lt;"&amp;D50,$F$2:F50,1)</f>
        <v>0</v>
      </c>
      <c r="P50">
        <f t="shared" si="3"/>
        <v>0</v>
      </c>
      <c r="Q50" t="str">
        <f t="shared" si="4"/>
        <v>Monitor</v>
      </c>
      <c r="R50">
        <v>0</v>
      </c>
      <c r="S50">
        <f t="shared" si="5"/>
        <v>0</v>
      </c>
      <c r="T50">
        <f t="shared" si="6"/>
        <v>0</v>
      </c>
      <c r="U50" t="str">
        <f t="shared" si="10"/>
        <v>Improved Enough</v>
      </c>
      <c r="V50" t="str">
        <f t="shared" si="7"/>
        <v>Far</v>
      </c>
      <c r="W50" t="str">
        <f t="shared" si="11"/>
        <v>Normal</v>
      </c>
      <c r="X50" t="str">
        <f t="shared" si="8"/>
        <v>Allowed</v>
      </c>
    </row>
    <row r="51" spans="1:24" x14ac:dyDescent="0.3">
      <c r="A51" t="s">
        <v>10</v>
      </c>
      <c r="B51" t="s">
        <v>11</v>
      </c>
      <c r="C51" t="s">
        <v>16</v>
      </c>
      <c r="D51" s="3">
        <v>45565</v>
      </c>
      <c r="E51" s="6">
        <v>0.15625</v>
      </c>
      <c r="F51">
        <v>0</v>
      </c>
      <c r="G51" t="s">
        <v>17</v>
      </c>
      <c r="H51" s="6">
        <v>0.16400000000000001</v>
      </c>
      <c r="I51" s="8">
        <v>-1.5624999999999769E-2</v>
      </c>
      <c r="J51" s="5">
        <f t="shared" si="0"/>
        <v>2.6472445732452773E-2</v>
      </c>
      <c r="K51" s="5" cm="1">
        <f t="array" ref="K51">_xlfn.STDEV.S(IF($C:$C=C51,$I:$I))</f>
        <v>0.13493378643970674</v>
      </c>
      <c r="L51" s="7">
        <f t="shared" si="9"/>
        <v>-0.31198595135595036</v>
      </c>
      <c r="M51">
        <f t="shared" si="1"/>
        <v>0</v>
      </c>
      <c r="N51" s="9">
        <f t="shared" si="2"/>
        <v>4.7256097560975652E-2</v>
      </c>
      <c r="O51">
        <f>COUNTIFS($B$2:B51,B51,$C$2:C51,C51,$D$2:D51,"&lt;"&amp;D51,$F$2:F51,1)</f>
        <v>0</v>
      </c>
      <c r="P51">
        <f t="shared" si="3"/>
        <v>0</v>
      </c>
      <c r="Q51" t="str">
        <f t="shared" si="4"/>
        <v>Monitor</v>
      </c>
      <c r="R51">
        <v>0</v>
      </c>
      <c r="S51">
        <f t="shared" si="5"/>
        <v>0</v>
      </c>
      <c r="T51">
        <f t="shared" si="6"/>
        <v>0</v>
      </c>
      <c r="U51" t="str">
        <f t="shared" si="10"/>
        <v>Not Improved Enough</v>
      </c>
      <c r="V51" t="str">
        <f t="shared" si="7"/>
        <v>Far</v>
      </c>
      <c r="W51" t="str">
        <f t="shared" si="11"/>
        <v>Normal</v>
      </c>
      <c r="X51" t="str">
        <f t="shared" si="8"/>
        <v>Allowed</v>
      </c>
    </row>
    <row r="52" spans="1:24" x14ac:dyDescent="0.3">
      <c r="A52" t="s">
        <v>10</v>
      </c>
      <c r="B52" t="s">
        <v>11</v>
      </c>
      <c r="C52" t="s">
        <v>16</v>
      </c>
      <c r="D52" s="3">
        <v>45596</v>
      </c>
      <c r="E52" s="6">
        <v>0.15625</v>
      </c>
      <c r="F52">
        <v>0</v>
      </c>
      <c r="G52" t="s">
        <v>17</v>
      </c>
      <c r="H52" s="6">
        <v>0.16400000000000001</v>
      </c>
      <c r="I52" s="8">
        <v>0</v>
      </c>
      <c r="J52" s="5">
        <f t="shared" si="0"/>
        <v>2.6472445732452773E-2</v>
      </c>
      <c r="K52" s="5" cm="1">
        <f t="array" ref="K52">_xlfn.STDEV.S(IF($C:$C=C52,$I:$I))</f>
        <v>0.13493378643970674</v>
      </c>
      <c r="L52" s="7">
        <f t="shared" si="9"/>
        <v>-0.19618841530309838</v>
      </c>
      <c r="M52">
        <f t="shared" si="1"/>
        <v>0</v>
      </c>
      <c r="N52" s="9">
        <f t="shared" si="2"/>
        <v>4.7256097560975652E-2</v>
      </c>
      <c r="O52">
        <f>COUNTIFS($B$2:B52,B52,$C$2:C52,C52,$D$2:D52,"&lt;"&amp;D52,$F$2:F52,1)</f>
        <v>0</v>
      </c>
      <c r="P52">
        <f t="shared" si="3"/>
        <v>0</v>
      </c>
      <c r="Q52" t="str">
        <f t="shared" si="4"/>
        <v>Monitor</v>
      </c>
      <c r="R52">
        <v>0</v>
      </c>
      <c r="S52">
        <f t="shared" si="5"/>
        <v>0</v>
      </c>
      <c r="T52">
        <f t="shared" si="6"/>
        <v>0</v>
      </c>
      <c r="U52" t="str">
        <f t="shared" si="10"/>
        <v>Not Improved Enough</v>
      </c>
      <c r="V52" t="str">
        <f t="shared" si="7"/>
        <v>Far</v>
      </c>
      <c r="W52" t="str">
        <f t="shared" si="11"/>
        <v>Normal</v>
      </c>
      <c r="X52" t="str">
        <f t="shared" si="8"/>
        <v>Allowed</v>
      </c>
    </row>
    <row r="53" spans="1:24" x14ac:dyDescent="0.3">
      <c r="A53" t="s">
        <v>10</v>
      </c>
      <c r="B53" t="s">
        <v>11</v>
      </c>
      <c r="C53" t="s">
        <v>16</v>
      </c>
      <c r="D53" s="3">
        <v>45626</v>
      </c>
      <c r="E53" s="6">
        <v>0.15873015900000001</v>
      </c>
      <c r="F53">
        <v>0</v>
      </c>
      <c r="G53" t="s">
        <v>17</v>
      </c>
      <c r="H53" s="6">
        <v>0.16400000000000001</v>
      </c>
      <c r="I53" s="8">
        <v>1.587301760000006E-2</v>
      </c>
      <c r="J53" s="5">
        <f t="shared" si="0"/>
        <v>2.6472445732452773E-2</v>
      </c>
      <c r="K53" s="5" cm="1">
        <f t="array" ref="K53">_xlfn.STDEV.S(IF($C:$C=C53,$I:$I))</f>
        <v>0.13493378643970674</v>
      </c>
      <c r="L53" s="7">
        <f t="shared" si="9"/>
        <v>-7.8552810323668773E-2</v>
      </c>
      <c r="M53">
        <f t="shared" si="1"/>
        <v>0</v>
      </c>
      <c r="N53" s="9">
        <f t="shared" si="2"/>
        <v>3.2133176829268278E-2</v>
      </c>
      <c r="O53">
        <f>COUNTIFS($B$2:B53,B53,$C$2:C53,C53,$D$2:D53,"&lt;"&amp;D53,$F$2:F53,1)</f>
        <v>0</v>
      </c>
      <c r="P53">
        <f t="shared" si="3"/>
        <v>0</v>
      </c>
      <c r="Q53" t="str">
        <f t="shared" si="4"/>
        <v>Monitor</v>
      </c>
      <c r="R53">
        <v>0</v>
      </c>
      <c r="S53">
        <f t="shared" si="5"/>
        <v>0</v>
      </c>
      <c r="T53">
        <f t="shared" si="6"/>
        <v>0</v>
      </c>
      <c r="U53" t="str">
        <f t="shared" si="10"/>
        <v>Improved Enough</v>
      </c>
      <c r="V53" t="str">
        <f t="shared" si="7"/>
        <v>Far</v>
      </c>
      <c r="W53" t="str">
        <f t="shared" si="11"/>
        <v>Normal</v>
      </c>
      <c r="X53" t="str">
        <f t="shared" si="8"/>
        <v>Allowed</v>
      </c>
    </row>
    <row r="54" spans="1:24" x14ac:dyDescent="0.3">
      <c r="A54" t="s">
        <v>10</v>
      </c>
      <c r="B54" t="s">
        <v>11</v>
      </c>
      <c r="C54" t="s">
        <v>16</v>
      </c>
      <c r="D54" s="3">
        <v>45657</v>
      </c>
      <c r="E54" s="6">
        <v>0.16393442622950821</v>
      </c>
      <c r="F54">
        <v>0</v>
      </c>
      <c r="G54" t="s">
        <v>17</v>
      </c>
      <c r="H54" s="6">
        <v>0.16400000000000001</v>
      </c>
      <c r="I54" s="8">
        <v>3.2786883490163968E-2</v>
      </c>
      <c r="J54" s="5">
        <f t="shared" si="0"/>
        <v>2.6472445732452773E-2</v>
      </c>
      <c r="K54" s="5" cm="1">
        <f t="array" ref="K54">_xlfn.STDEV.S(IF($C:$C=C54,$I:$I))</f>
        <v>0.13493378643970674</v>
      </c>
      <c r="L54" s="7">
        <f t="shared" si="9"/>
        <v>4.6796565369732007E-2</v>
      </c>
      <c r="M54">
        <f t="shared" si="1"/>
        <v>0</v>
      </c>
      <c r="N54" s="9">
        <f t="shared" si="2"/>
        <v>3.9984006397435787E-4</v>
      </c>
      <c r="O54">
        <f>COUNTIFS($B$2:B54,B54,$C$2:C54,C54,$D$2:D54,"&lt;"&amp;D54,$F$2:F54,1)</f>
        <v>0</v>
      </c>
      <c r="P54">
        <f t="shared" si="3"/>
        <v>0</v>
      </c>
      <c r="Q54" t="str">
        <f t="shared" si="4"/>
        <v>Monitor</v>
      </c>
      <c r="R54">
        <v>0</v>
      </c>
      <c r="S54">
        <f t="shared" si="5"/>
        <v>0</v>
      </c>
      <c r="T54">
        <f t="shared" si="6"/>
        <v>0</v>
      </c>
      <c r="U54" t="str">
        <f t="shared" si="10"/>
        <v>Improved Enough</v>
      </c>
      <c r="V54" t="str">
        <f t="shared" si="7"/>
        <v>Close</v>
      </c>
      <c r="W54" t="str">
        <f t="shared" si="11"/>
        <v>Normal</v>
      </c>
      <c r="X54" t="str">
        <f t="shared" si="8"/>
        <v>Allowed</v>
      </c>
    </row>
    <row r="55" spans="1:24" x14ac:dyDescent="0.3">
      <c r="A55" t="s">
        <v>10</v>
      </c>
      <c r="B55" t="s">
        <v>11</v>
      </c>
      <c r="C55" t="s">
        <v>16</v>
      </c>
      <c r="D55" s="3">
        <v>45688</v>
      </c>
      <c r="E55" s="6">
        <v>0.16129032258064521</v>
      </c>
      <c r="F55">
        <v>0</v>
      </c>
      <c r="G55" t="s">
        <v>17</v>
      </c>
      <c r="H55" s="6">
        <v>0.16400000000000001</v>
      </c>
      <c r="I55" s="8">
        <v>-1.6129032258064301E-2</v>
      </c>
      <c r="J55" s="5">
        <f t="shared" si="0"/>
        <v>2.6472445732452773E-2</v>
      </c>
      <c r="K55" s="5" cm="1">
        <f t="array" ref="K55">_xlfn.STDEV.S(IF($C:$C=C55,$I:$I))</f>
        <v>0.13493378643970674</v>
      </c>
      <c r="L55" s="7">
        <f t="shared" si="9"/>
        <v>-0.31572135574475219</v>
      </c>
      <c r="M55">
        <f t="shared" si="1"/>
        <v>0</v>
      </c>
      <c r="N55" s="9">
        <f t="shared" si="2"/>
        <v>1.6522423288748745E-2</v>
      </c>
      <c r="O55">
        <f>COUNTIFS($B$2:B55,B55,$C$2:C55,C55,$D$2:D55,"&lt;"&amp;D55,$F$2:F55,1)</f>
        <v>0</v>
      </c>
      <c r="P55">
        <f t="shared" si="3"/>
        <v>0</v>
      </c>
      <c r="Q55" t="str">
        <f t="shared" si="4"/>
        <v>Monitor</v>
      </c>
      <c r="R55">
        <v>0</v>
      </c>
      <c r="S55">
        <f t="shared" si="5"/>
        <v>0</v>
      </c>
      <c r="T55">
        <f t="shared" si="6"/>
        <v>0</v>
      </c>
      <c r="U55" t="str">
        <f t="shared" si="10"/>
        <v>Not Improved Enough</v>
      </c>
      <c r="V55" t="str">
        <f t="shared" si="7"/>
        <v>Close</v>
      </c>
      <c r="W55" t="str">
        <f t="shared" si="11"/>
        <v>Normal</v>
      </c>
      <c r="X55" t="str">
        <f t="shared" si="8"/>
        <v>Allowed</v>
      </c>
    </row>
    <row r="56" spans="1:24" x14ac:dyDescent="0.3">
      <c r="A56" t="s">
        <v>10</v>
      </c>
      <c r="B56" t="s">
        <v>11</v>
      </c>
      <c r="C56" t="s">
        <v>16</v>
      </c>
      <c r="D56" s="3">
        <v>45716</v>
      </c>
      <c r="E56" s="6">
        <v>0.16393442622950821</v>
      </c>
      <c r="F56">
        <v>0</v>
      </c>
      <c r="G56" t="s">
        <v>17</v>
      </c>
      <c r="H56" s="6">
        <v>0.16400000000000001</v>
      </c>
      <c r="I56" s="8">
        <v>1.6393442622950598E-2</v>
      </c>
      <c r="J56" s="5">
        <f t="shared" si="0"/>
        <v>2.6472445732452773E-2</v>
      </c>
      <c r="K56" s="5" cm="1">
        <f t="array" ref="K56">_xlfn.STDEV.S(IF($C:$C=C56,$I:$I))</f>
        <v>0.13493378643970674</v>
      </c>
      <c r="L56" s="7">
        <f t="shared" si="9"/>
        <v>-7.4695918460761748E-2</v>
      </c>
      <c r="M56">
        <f t="shared" si="1"/>
        <v>0</v>
      </c>
      <c r="N56" s="9">
        <f t="shared" si="2"/>
        <v>3.9984006397435787E-4</v>
      </c>
      <c r="O56">
        <f>COUNTIFS($B$2:B56,B56,$C$2:C56,C56,$D$2:D56,"&lt;"&amp;D56,$F$2:F56,1)</f>
        <v>0</v>
      </c>
      <c r="P56">
        <f t="shared" si="3"/>
        <v>0</v>
      </c>
      <c r="Q56" t="str">
        <f t="shared" si="4"/>
        <v>Monitor</v>
      </c>
      <c r="R56">
        <v>0</v>
      </c>
      <c r="S56">
        <f t="shared" si="5"/>
        <v>0</v>
      </c>
      <c r="T56">
        <f t="shared" si="6"/>
        <v>0</v>
      </c>
      <c r="U56" t="str">
        <f t="shared" si="10"/>
        <v>Improved Enough</v>
      </c>
      <c r="V56" t="str">
        <f t="shared" si="7"/>
        <v>Close</v>
      </c>
      <c r="W56" t="str">
        <f t="shared" si="11"/>
        <v>Normal</v>
      </c>
      <c r="X56" t="str">
        <f t="shared" si="8"/>
        <v>Allowed</v>
      </c>
    </row>
    <row r="57" spans="1:24" x14ac:dyDescent="0.3">
      <c r="A57" t="s">
        <v>10</v>
      </c>
      <c r="B57" t="s">
        <v>11</v>
      </c>
      <c r="C57" t="s">
        <v>16</v>
      </c>
      <c r="D57" s="3">
        <v>45747</v>
      </c>
      <c r="E57" s="6">
        <v>0.17741935483870969</v>
      </c>
      <c r="F57">
        <v>0</v>
      </c>
      <c r="G57" t="s">
        <v>17</v>
      </c>
      <c r="H57" s="6">
        <v>0.16400000000000001</v>
      </c>
      <c r="I57" s="8">
        <v>8.2258064516128979E-2</v>
      </c>
      <c r="J57" s="5">
        <f t="shared" si="0"/>
        <v>2.6472445732452773E-2</v>
      </c>
      <c r="K57" s="5" cm="1">
        <f t="array" ref="K57">_xlfn.STDEV.S(IF($C:$C=C57,$I:$I))</f>
        <v>0.13493378643970674</v>
      </c>
      <c r="L57" s="7">
        <f t="shared" si="9"/>
        <v>0.41342958094934373</v>
      </c>
      <c r="M57">
        <f t="shared" si="1"/>
        <v>0</v>
      </c>
      <c r="N57" s="9">
        <f t="shared" si="2"/>
        <v>-8.1825334382376089E-2</v>
      </c>
      <c r="O57">
        <f>COUNTIFS($B$2:B57,B57,$C$2:C57,C57,$D$2:D57,"&lt;"&amp;D57,$F$2:F57,1)</f>
        <v>0</v>
      </c>
      <c r="P57">
        <f t="shared" si="3"/>
        <v>0</v>
      </c>
      <c r="Q57" t="str">
        <f t="shared" si="4"/>
        <v>Monitor</v>
      </c>
      <c r="R57">
        <v>0</v>
      </c>
      <c r="S57">
        <f t="shared" si="5"/>
        <v>0</v>
      </c>
      <c r="T57">
        <f t="shared" si="6"/>
        <v>0</v>
      </c>
      <c r="U57" t="str">
        <f t="shared" si="10"/>
        <v>Improved Enough</v>
      </c>
      <c r="V57" t="str">
        <f t="shared" si="7"/>
        <v>Close</v>
      </c>
      <c r="W57" t="str">
        <f t="shared" si="11"/>
        <v>Normal</v>
      </c>
      <c r="X57" t="str">
        <f t="shared" si="8"/>
        <v>Allowed</v>
      </c>
    </row>
    <row r="58" spans="1:24" x14ac:dyDescent="0.3">
      <c r="A58" t="s">
        <v>10</v>
      </c>
      <c r="B58" t="s">
        <v>11</v>
      </c>
      <c r="C58" t="s">
        <v>16</v>
      </c>
      <c r="D58" s="3">
        <v>45777</v>
      </c>
      <c r="E58" s="6">
        <v>0.17741935483870969</v>
      </c>
      <c r="F58">
        <v>0</v>
      </c>
      <c r="G58" t="s">
        <v>17</v>
      </c>
      <c r="H58" s="6">
        <v>0.16400000000000001</v>
      </c>
      <c r="I58" s="8">
        <v>0</v>
      </c>
      <c r="J58" s="5">
        <f t="shared" si="0"/>
        <v>2.6472445732452773E-2</v>
      </c>
      <c r="K58" s="5" cm="1">
        <f t="array" ref="K58">_xlfn.STDEV.S(IF($C:$C=C58,$I:$I))</f>
        <v>0.13493378643970674</v>
      </c>
      <c r="L58" s="7">
        <f t="shared" si="9"/>
        <v>-0.19618841530309838</v>
      </c>
      <c r="M58">
        <f t="shared" si="1"/>
        <v>0</v>
      </c>
      <c r="N58" s="9">
        <f t="shared" si="2"/>
        <v>-8.1825334382376089E-2</v>
      </c>
      <c r="O58">
        <f>COUNTIFS($B$2:B58,B58,$C$2:C58,C58,$D$2:D58,"&lt;"&amp;D58,$F$2:F58,1)</f>
        <v>0</v>
      </c>
      <c r="P58">
        <f t="shared" si="3"/>
        <v>0</v>
      </c>
      <c r="Q58" t="str">
        <f t="shared" si="4"/>
        <v>Monitor</v>
      </c>
      <c r="R58">
        <v>0</v>
      </c>
      <c r="S58">
        <f t="shared" si="5"/>
        <v>0</v>
      </c>
      <c r="T58">
        <f t="shared" si="6"/>
        <v>0</v>
      </c>
      <c r="U58" t="str">
        <f t="shared" si="10"/>
        <v>Not Improved Enough</v>
      </c>
      <c r="V58" t="str">
        <f t="shared" si="7"/>
        <v>Close</v>
      </c>
      <c r="W58" t="str">
        <f t="shared" si="11"/>
        <v>Normal</v>
      </c>
      <c r="X58" t="str">
        <f t="shared" si="8"/>
        <v>Allowed</v>
      </c>
    </row>
    <row r="59" spans="1:24" x14ac:dyDescent="0.3">
      <c r="A59" t="s">
        <v>10</v>
      </c>
      <c r="B59" t="s">
        <v>11</v>
      </c>
      <c r="C59" t="s">
        <v>16</v>
      </c>
      <c r="D59" s="3">
        <v>45808</v>
      </c>
      <c r="E59" s="6">
        <v>0.2</v>
      </c>
      <c r="F59">
        <v>0</v>
      </c>
      <c r="G59" t="s">
        <v>17</v>
      </c>
      <c r="H59" s="6">
        <v>0.16400000000000001</v>
      </c>
      <c r="I59" s="8">
        <v>0.12727272727272729</v>
      </c>
      <c r="J59" s="5">
        <f t="shared" si="0"/>
        <v>2.6472445732452773E-2</v>
      </c>
      <c r="K59" s="5" cm="1">
        <f t="array" ref="K59">_xlfn.STDEV.S(IF($C:$C=C59,$I:$I))</f>
        <v>0.13493378643970674</v>
      </c>
      <c r="L59" s="7">
        <f t="shared" si="9"/>
        <v>0.74703515109105523</v>
      </c>
      <c r="M59">
        <f t="shared" si="1"/>
        <v>-1</v>
      </c>
      <c r="N59" s="9">
        <f t="shared" si="2"/>
        <v>-0.21951219512195125</v>
      </c>
      <c r="O59">
        <f>COUNTIFS($B$2:B59,B59,$C$2:C59,C59,$D$2:D59,"&lt;"&amp;D59,$F$2:F59,1)</f>
        <v>0</v>
      </c>
      <c r="P59">
        <f t="shared" si="3"/>
        <v>0</v>
      </c>
      <c r="Q59" t="str">
        <f t="shared" si="4"/>
        <v>Monitor</v>
      </c>
      <c r="R59">
        <v>0</v>
      </c>
      <c r="S59">
        <f t="shared" si="5"/>
        <v>0</v>
      </c>
      <c r="T59">
        <f t="shared" si="6"/>
        <v>0</v>
      </c>
      <c r="U59" t="str">
        <f t="shared" si="10"/>
        <v>Improved Enough</v>
      </c>
      <c r="V59" t="str">
        <f t="shared" si="7"/>
        <v>Close</v>
      </c>
      <c r="W59" t="str">
        <f t="shared" si="11"/>
        <v>Normal</v>
      </c>
      <c r="X59" t="str">
        <f t="shared" si="8"/>
        <v>Allowed</v>
      </c>
    </row>
    <row r="60" spans="1:24" x14ac:dyDescent="0.3">
      <c r="A60" t="s">
        <v>10</v>
      </c>
      <c r="B60" t="s">
        <v>11</v>
      </c>
      <c r="C60" t="s">
        <v>16</v>
      </c>
      <c r="D60" s="3">
        <v>45838</v>
      </c>
      <c r="E60" s="6">
        <v>0.2</v>
      </c>
      <c r="F60">
        <v>0</v>
      </c>
      <c r="G60" t="s">
        <v>17</v>
      </c>
      <c r="H60" s="6">
        <v>0.16400000000000001</v>
      </c>
      <c r="I60" s="8">
        <v>0</v>
      </c>
      <c r="J60" s="5">
        <f t="shared" si="0"/>
        <v>2.6472445732452773E-2</v>
      </c>
      <c r="K60" s="5" cm="1">
        <f t="array" ref="K60">_xlfn.STDEV.S(IF($C:$C=C60,$I:$I))</f>
        <v>0.13493378643970674</v>
      </c>
      <c r="L60" s="7">
        <f t="shared" si="9"/>
        <v>-0.19618841530309838</v>
      </c>
      <c r="M60">
        <f t="shared" si="1"/>
        <v>0</v>
      </c>
      <c r="N60" s="9">
        <f t="shared" si="2"/>
        <v>-0.21951219512195125</v>
      </c>
      <c r="O60">
        <f>COUNTIFS($B$2:B60,B60,$C$2:C60,C60,$D$2:D60,"&lt;"&amp;D60,$F$2:F60,1)</f>
        <v>0</v>
      </c>
      <c r="P60">
        <f t="shared" si="3"/>
        <v>0</v>
      </c>
      <c r="Q60" t="str">
        <f t="shared" si="4"/>
        <v>Monitor</v>
      </c>
      <c r="R60">
        <v>0</v>
      </c>
      <c r="S60">
        <f t="shared" si="5"/>
        <v>0</v>
      </c>
      <c r="T60">
        <f t="shared" si="6"/>
        <v>0</v>
      </c>
      <c r="U60" t="str">
        <f t="shared" si="10"/>
        <v>Not Improved Enough</v>
      </c>
      <c r="V60" t="str">
        <f t="shared" si="7"/>
        <v>Close</v>
      </c>
      <c r="W60" t="str">
        <f t="shared" si="11"/>
        <v>Normal</v>
      </c>
      <c r="X60" t="str">
        <f t="shared" si="8"/>
        <v>Allowed</v>
      </c>
    </row>
    <row r="61" spans="1:24" x14ac:dyDescent="0.3">
      <c r="A61" t="s">
        <v>10</v>
      </c>
      <c r="B61" t="s">
        <v>11</v>
      </c>
      <c r="C61" t="s">
        <v>16</v>
      </c>
      <c r="D61" s="3">
        <v>45869</v>
      </c>
      <c r="E61" s="6">
        <v>0.1967213114754098</v>
      </c>
      <c r="F61">
        <v>0</v>
      </c>
      <c r="G61" t="s">
        <v>17</v>
      </c>
      <c r="H61" s="6">
        <v>0.16400000000000001</v>
      </c>
      <c r="I61" s="8">
        <v>-1.6393442622951029E-2</v>
      </c>
      <c r="J61" s="5">
        <f t="shared" si="0"/>
        <v>2.6472445732452773E-2</v>
      </c>
      <c r="K61" s="5" cm="1">
        <f t="array" ref="K61">_xlfn.STDEV.S(IF($C:$C=C61,$I:$I))</f>
        <v>0.13493378643970674</v>
      </c>
      <c r="L61" s="7">
        <f t="shared" si="9"/>
        <v>-0.3176809121454382</v>
      </c>
      <c r="M61">
        <f t="shared" si="1"/>
        <v>0</v>
      </c>
      <c r="N61" s="9">
        <f t="shared" si="2"/>
        <v>-0.19952019192323048</v>
      </c>
      <c r="O61">
        <f>COUNTIFS($B$2:B61,B61,$C$2:C61,C61,$D$2:D61,"&lt;"&amp;D61,$F$2:F61,1)</f>
        <v>0</v>
      </c>
      <c r="P61">
        <f t="shared" si="3"/>
        <v>0</v>
      </c>
      <c r="Q61" t="str">
        <f t="shared" si="4"/>
        <v>Monitor</v>
      </c>
      <c r="R61">
        <v>0</v>
      </c>
      <c r="S61">
        <f t="shared" si="5"/>
        <v>0</v>
      </c>
      <c r="T61">
        <f t="shared" si="6"/>
        <v>0</v>
      </c>
      <c r="U61" t="str">
        <f t="shared" si="10"/>
        <v>Not Improved Enough</v>
      </c>
      <c r="V61" t="str">
        <f t="shared" si="7"/>
        <v>Close</v>
      </c>
      <c r="W61" t="str">
        <f t="shared" si="11"/>
        <v>Normal</v>
      </c>
      <c r="X61" t="str">
        <f t="shared" si="8"/>
        <v>Allowed</v>
      </c>
    </row>
    <row r="62" spans="1:24" x14ac:dyDescent="0.3">
      <c r="A62" t="s">
        <v>10</v>
      </c>
      <c r="B62" t="s">
        <v>11</v>
      </c>
      <c r="C62" t="s">
        <v>16</v>
      </c>
      <c r="D62" s="3">
        <v>45900</v>
      </c>
      <c r="E62" s="6">
        <v>0.203125</v>
      </c>
      <c r="F62">
        <v>0</v>
      </c>
      <c r="G62" t="s">
        <v>17</v>
      </c>
      <c r="H62" s="6">
        <v>0.16400000000000001</v>
      </c>
      <c r="I62" s="8">
        <v>3.2552083333333502E-2</v>
      </c>
      <c r="J62" s="5">
        <f t="shared" si="0"/>
        <v>2.6472445732452773E-2</v>
      </c>
      <c r="K62" s="5" cm="1">
        <f t="array" ref="K62">_xlfn.STDEV.S(IF($C:$C=C62,$I:$I))</f>
        <v>0.13493378643970674</v>
      </c>
      <c r="L62" s="7">
        <f t="shared" si="9"/>
        <v>4.5056451473681348E-2</v>
      </c>
      <c r="M62">
        <f t="shared" si="1"/>
        <v>0</v>
      </c>
      <c r="N62" s="9">
        <f t="shared" si="2"/>
        <v>-0.23856707317073164</v>
      </c>
      <c r="O62">
        <f>COUNTIFS($B$2:B62,B62,$C$2:C62,C62,$D$2:D62,"&lt;"&amp;D62,$F$2:F62,1)</f>
        <v>0</v>
      </c>
      <c r="P62">
        <f t="shared" si="3"/>
        <v>0</v>
      </c>
      <c r="Q62" t="str">
        <f t="shared" si="4"/>
        <v>Monitor</v>
      </c>
      <c r="R62">
        <v>0</v>
      </c>
      <c r="S62">
        <f t="shared" si="5"/>
        <v>0</v>
      </c>
      <c r="T62">
        <f t="shared" si="6"/>
        <v>0</v>
      </c>
      <c r="U62" t="str">
        <f t="shared" si="10"/>
        <v>Improved Enough</v>
      </c>
      <c r="V62" t="str">
        <f t="shared" si="7"/>
        <v>Close</v>
      </c>
      <c r="W62" t="str">
        <f t="shared" si="11"/>
        <v>Normal</v>
      </c>
      <c r="X62" t="str">
        <f t="shared" si="8"/>
        <v>Allowed</v>
      </c>
    </row>
    <row r="63" spans="1:24" x14ac:dyDescent="0.3">
      <c r="A63" t="s">
        <v>10</v>
      </c>
      <c r="B63" t="s">
        <v>11</v>
      </c>
      <c r="C63" t="s">
        <v>16</v>
      </c>
      <c r="D63" s="3">
        <v>45930</v>
      </c>
      <c r="E63" s="6">
        <v>0.20634920634920631</v>
      </c>
      <c r="F63">
        <v>0</v>
      </c>
      <c r="G63" t="s">
        <v>17</v>
      </c>
      <c r="H63" s="6">
        <v>0.16400000000000001</v>
      </c>
      <c r="I63" s="8">
        <v>1.5873015873015681E-2</v>
      </c>
      <c r="J63" s="5">
        <f t="shared" si="0"/>
        <v>2.6472445732452773E-2</v>
      </c>
      <c r="K63" s="5" cm="1">
        <f t="array" ref="K63">_xlfn.STDEV.S(IF($C:$C=C63,$I:$I))</f>
        <v>0.13493378643970674</v>
      </c>
      <c r="L63" s="7">
        <f t="shared" si="9"/>
        <v>-7.8552823122423066E-2</v>
      </c>
      <c r="M63">
        <f t="shared" si="1"/>
        <v>0</v>
      </c>
      <c r="N63" s="9">
        <f>IFERROR(IF(G63="DOWN",(E63-H63)/H63,(H63-E63)/H63),0)</f>
        <v>-0.25822686798296524</v>
      </c>
      <c r="O63">
        <f>COUNTIFS($B$2:B63,B63,$C$2:C63,C63,$D$2:D63,"&lt;"&amp;D63,$F$2:F63,1)</f>
        <v>0</v>
      </c>
      <c r="P63">
        <f t="shared" si="3"/>
        <v>0</v>
      </c>
      <c r="Q63" t="str">
        <f t="shared" si="4"/>
        <v>Monitor</v>
      </c>
      <c r="R63">
        <v>0</v>
      </c>
      <c r="S63">
        <f t="shared" si="5"/>
        <v>0</v>
      </c>
      <c r="T63">
        <f t="shared" si="6"/>
        <v>0</v>
      </c>
      <c r="U63" t="str">
        <f t="shared" si="10"/>
        <v>Improved Enough</v>
      </c>
      <c r="V63" t="str">
        <f t="shared" si="7"/>
        <v>Close</v>
      </c>
      <c r="W63" t="str">
        <f t="shared" si="11"/>
        <v>Normal</v>
      </c>
      <c r="X63" t="str">
        <f t="shared" si="8"/>
        <v>Allowed</v>
      </c>
    </row>
    <row r="64" spans="1:24" x14ac:dyDescent="0.3">
      <c r="A64" t="s">
        <v>10</v>
      </c>
      <c r="B64" t="s">
        <v>11</v>
      </c>
      <c r="C64" t="s">
        <v>16</v>
      </c>
      <c r="D64" s="3">
        <v>45961</v>
      </c>
      <c r="E64" s="6">
        <v>0.20967741935483869</v>
      </c>
      <c r="F64">
        <v>0</v>
      </c>
      <c r="G64" t="s">
        <v>17</v>
      </c>
      <c r="H64" s="6">
        <v>0.16400000000000001</v>
      </c>
      <c r="I64" s="8">
        <v>1.6129032258064609E-2</v>
      </c>
      <c r="J64" s="5">
        <f t="shared" si="0"/>
        <v>2.6472445732452773E-2</v>
      </c>
      <c r="K64" s="5" cm="1">
        <f t="array" ref="K64">_xlfn.STDEV.S(IF($C:$C=C64,$I:$I))</f>
        <v>0.13493378643970674</v>
      </c>
      <c r="L64" s="7">
        <f t="shared" si="9"/>
        <v>-7.6655474861442294E-2</v>
      </c>
      <c r="M64">
        <f t="shared" si="1"/>
        <v>0</v>
      </c>
      <c r="N64" s="9">
        <f t="shared" si="2"/>
        <v>-0.2785208497246261</v>
      </c>
      <c r="O64">
        <f>COUNTIFS($B$2:B64,B64,$C$2:C64,C64,$D$2:D64,"&lt;"&amp;D64,$F$2:F64,1)</f>
        <v>0</v>
      </c>
      <c r="P64">
        <f t="shared" si="3"/>
        <v>0</v>
      </c>
      <c r="Q64" t="str">
        <f t="shared" si="4"/>
        <v>Monitor</v>
      </c>
      <c r="R64">
        <v>0</v>
      </c>
      <c r="S64">
        <f t="shared" si="5"/>
        <v>0</v>
      </c>
      <c r="T64">
        <f t="shared" si="6"/>
        <v>0</v>
      </c>
      <c r="U64" t="str">
        <f t="shared" si="10"/>
        <v>Improved Enough</v>
      </c>
      <c r="V64" t="str">
        <f t="shared" si="7"/>
        <v>Close</v>
      </c>
      <c r="W64" t="str">
        <f t="shared" si="11"/>
        <v>Normal</v>
      </c>
      <c r="X64" t="str">
        <f t="shared" si="8"/>
        <v>Allowed</v>
      </c>
    </row>
    <row r="65" spans="1:24" x14ac:dyDescent="0.3">
      <c r="A65" t="s">
        <v>10</v>
      </c>
      <c r="B65" t="s">
        <v>11</v>
      </c>
      <c r="C65" t="s">
        <v>16</v>
      </c>
      <c r="D65" s="3">
        <v>45991</v>
      </c>
      <c r="E65" s="6">
        <v>0.21875</v>
      </c>
      <c r="F65">
        <v>0</v>
      </c>
      <c r="G65" t="s">
        <v>17</v>
      </c>
      <c r="H65" s="6">
        <v>0.16400000000000001</v>
      </c>
      <c r="I65" s="8">
        <v>4.3269230769230872E-2</v>
      </c>
      <c r="J65" s="5">
        <f t="shared" si="0"/>
        <v>2.6472445732452773E-2</v>
      </c>
      <c r="K65" s="5" cm="1">
        <f t="array" ref="K65">_xlfn.STDEV.S(IF($C:$C=C65,$I:$I))</f>
        <v>0.13493378643970674</v>
      </c>
      <c r="L65" s="7">
        <f t="shared" si="9"/>
        <v>0.12448168453557409</v>
      </c>
      <c r="M65">
        <f t="shared" si="1"/>
        <v>0</v>
      </c>
      <c r="N65" s="9">
        <f t="shared" si="2"/>
        <v>-0.33384146341463411</v>
      </c>
      <c r="O65">
        <f>COUNTIFS($B$2:B65,B65,$C$2:C65,C65,$D$2:D65,"&lt;"&amp;D65,$F$2:F65,1)</f>
        <v>0</v>
      </c>
      <c r="P65">
        <f t="shared" si="3"/>
        <v>0</v>
      </c>
      <c r="Q65" t="str">
        <f t="shared" si="4"/>
        <v>Monitor</v>
      </c>
      <c r="R65">
        <v>0</v>
      </c>
      <c r="S65">
        <f t="shared" si="5"/>
        <v>0</v>
      </c>
      <c r="T65">
        <f t="shared" si="6"/>
        <v>0</v>
      </c>
      <c r="U65" t="str">
        <f t="shared" si="10"/>
        <v>Improved Enough</v>
      </c>
      <c r="V65" t="str">
        <f t="shared" si="7"/>
        <v>Close</v>
      </c>
      <c r="W65" t="str">
        <f t="shared" si="11"/>
        <v>Normal</v>
      </c>
      <c r="X65" t="str">
        <f t="shared" si="8"/>
        <v>Allowed</v>
      </c>
    </row>
    <row r="66" spans="1:24" x14ac:dyDescent="0.3">
      <c r="A66" t="s">
        <v>10</v>
      </c>
      <c r="B66" t="s">
        <v>11</v>
      </c>
      <c r="C66" t="s">
        <v>18</v>
      </c>
      <c r="D66" s="3">
        <v>45535</v>
      </c>
      <c r="E66" s="6">
        <v>0.13279941754641431</v>
      </c>
      <c r="F66">
        <v>0</v>
      </c>
      <c r="G66" t="s">
        <v>13</v>
      </c>
      <c r="H66" s="6">
        <v>0.104</v>
      </c>
      <c r="I66" s="8">
        <v>-2.6711143139454829E-2</v>
      </c>
      <c r="J66" s="5">
        <f t="shared" ref="J66:J129" si="12">AVERAGEIF($C:$C,C66,$I:$I)</f>
        <v>1.7244519882342341E-3</v>
      </c>
      <c r="K66" s="5" cm="1">
        <f t="array" ref="K66">_xlfn.STDEV.S(IF($C:$C=C66,$I:$I))</f>
        <v>8.3117651155014696E-2</v>
      </c>
      <c r="L66" s="7">
        <f t="shared" si="9"/>
        <v>-0.34211259260270221</v>
      </c>
      <c r="M66">
        <f t="shared" ref="M66:M129" si="13">IF(L66&lt;=-$Z$4,1,IF(L66&gt;=$Z$4,-1,0))</f>
        <v>0</v>
      </c>
      <c r="N66" s="9">
        <f t="shared" si="2"/>
        <v>0.27691747640782993</v>
      </c>
      <c r="O66">
        <f>COUNTIFS($B$2:B66,B66,$C$2:C66,C66,$D$2:D66,"&lt;"&amp;D66,$F$2:F66,1)</f>
        <v>0</v>
      </c>
      <c r="P66">
        <f t="shared" ref="P66:P129" si="14">IF(AND(R66=1,I66&gt;0),1,IF(R66=1,-1,0))</f>
        <v>0</v>
      </c>
      <c r="Q66" t="str">
        <f t="shared" si="4"/>
        <v>Monitor</v>
      </c>
      <c r="R66">
        <v>0</v>
      </c>
      <c r="S66">
        <f t="shared" si="5"/>
        <v>0</v>
      </c>
      <c r="T66">
        <f t="shared" si="6"/>
        <v>0</v>
      </c>
      <c r="U66" t="str">
        <f t="shared" si="10"/>
        <v>Not Improved Enough</v>
      </c>
      <c r="V66" t="str">
        <f t="shared" si="7"/>
        <v>Far</v>
      </c>
      <c r="W66" t="str">
        <f t="shared" si="11"/>
        <v>Normal</v>
      </c>
      <c r="X66" t="str">
        <f t="shared" si="8"/>
        <v>Allowed</v>
      </c>
    </row>
    <row r="67" spans="1:24" x14ac:dyDescent="0.3">
      <c r="A67" t="s">
        <v>10</v>
      </c>
      <c r="B67" t="s">
        <v>11</v>
      </c>
      <c r="C67" t="s">
        <v>18</v>
      </c>
      <c r="D67" s="3">
        <v>45565</v>
      </c>
      <c r="E67" s="6">
        <v>0.13370957238984149</v>
      </c>
      <c r="F67">
        <v>1</v>
      </c>
      <c r="G67" t="s">
        <v>13</v>
      </c>
      <c r="H67" s="6">
        <v>0.104</v>
      </c>
      <c r="I67" s="8">
        <v>-6.8536056877589856E-3</v>
      </c>
      <c r="J67" s="5">
        <f t="shared" si="12"/>
        <v>1.7244519882342341E-3</v>
      </c>
      <c r="K67" s="5" cm="1">
        <f t="array" ref="K67">_xlfn.STDEV.S(IF($C:$C=C67,$I:$I))</f>
        <v>8.3117651155014696E-2</v>
      </c>
      <c r="L67" s="7">
        <f t="shared" ref="L67:L130" si="15">IFERROR((I67-J67)/K67,0)</f>
        <v>-0.10320380276380903</v>
      </c>
      <c r="M67">
        <f t="shared" si="13"/>
        <v>0</v>
      </c>
      <c r="N67" s="9">
        <f t="shared" ref="N67:N130" si="16">IFERROR(IF(G67="DOWN",(E67-H67)/H67,(H67-E67)/H67),0)</f>
        <v>0.28566896528693747</v>
      </c>
      <c r="O67">
        <f>COUNTIFS($B$2:B67,B67,$C$2:C67,C67,$D$2:D67,"&lt;"&amp;D67,$F$2:F67,1)</f>
        <v>0</v>
      </c>
      <c r="P67">
        <f t="shared" si="14"/>
        <v>0</v>
      </c>
      <c r="Q67" t="str">
        <f t="shared" ref="Q67:Q130" si="17">IF(I67&gt;=$Z$1,"Monitor",IF(AND(N67&gt;=$Z$2,L67&lt;=-$Z$4),IF(O67&lt;$Z$3,"Intervene","Escalate / Bigger Fix"),"Monitor"))</f>
        <v>Monitor</v>
      </c>
      <c r="R67">
        <v>0</v>
      </c>
      <c r="S67">
        <f t="shared" ref="S67:S130" si="18">IF(Q67="Intervene",1,IF(Q67="Escalate / Bigger Fix",-1,0))</f>
        <v>0</v>
      </c>
      <c r="T67">
        <f t="shared" ref="T67:T130" si="19">IF(Q67="Intervene",1,0)</f>
        <v>0</v>
      </c>
      <c r="U67" t="str">
        <f t="shared" ref="U67:U130" si="20">IF(I67&gt;=$Z$1,"Improved Enough","Not Improved Enough")</f>
        <v>Not Improved Enough</v>
      </c>
      <c r="V67" t="str">
        <f t="shared" ref="V67:V130" si="21">IF(N67&gt;=$Z$2,"Far","Close")</f>
        <v>Far</v>
      </c>
      <c r="W67" t="str">
        <f t="shared" ref="W67:W130" si="22">IF(L67&lt;=-$Z$4,"Abnormal","Normal")</f>
        <v>Normal</v>
      </c>
      <c r="X67" t="str">
        <f t="shared" ref="X67:X130" si="23">IF(O67&lt;$Z$3,"Allowed","Maxed Out")</f>
        <v>Allowed</v>
      </c>
    </row>
    <row r="68" spans="1:24" x14ac:dyDescent="0.3">
      <c r="A68" t="s">
        <v>10</v>
      </c>
      <c r="B68" t="s">
        <v>11</v>
      </c>
      <c r="C68" t="s">
        <v>18</v>
      </c>
      <c r="D68" s="3">
        <v>45596</v>
      </c>
      <c r="E68" s="6">
        <v>0.13289227671508699</v>
      </c>
      <c r="F68">
        <v>1</v>
      </c>
      <c r="G68" t="s">
        <v>13</v>
      </c>
      <c r="H68" s="6">
        <v>0.104</v>
      </c>
      <c r="I68" s="8">
        <v>6.1124694376525554E-3</v>
      </c>
      <c r="J68" s="5">
        <f t="shared" si="12"/>
        <v>1.7244519882342341E-3</v>
      </c>
      <c r="K68" s="5" cm="1">
        <f t="array" ref="K68">_xlfn.STDEV.S(IF($C:$C=C68,$I:$I))</f>
        <v>8.3117651155014696E-2</v>
      </c>
      <c r="L68" s="7">
        <f t="shared" si="15"/>
        <v>5.2792847108187095E-2</v>
      </c>
      <c r="M68">
        <f t="shared" si="13"/>
        <v>0</v>
      </c>
      <c r="N68" s="9">
        <f t="shared" si="16"/>
        <v>0.27781035302968271</v>
      </c>
      <c r="O68">
        <f>COUNTIFS($B$2:B68,B68,$C$2:C68,C68,$D$2:D68,"&lt;"&amp;D68,$F$2:F68,1)</f>
        <v>1</v>
      </c>
      <c r="P68">
        <f t="shared" si="14"/>
        <v>1</v>
      </c>
      <c r="Q68" t="str">
        <f t="shared" si="17"/>
        <v>Monitor</v>
      </c>
      <c r="R68">
        <v>1</v>
      </c>
      <c r="S68">
        <f t="shared" si="18"/>
        <v>0</v>
      </c>
      <c r="T68">
        <f t="shared" si="19"/>
        <v>0</v>
      </c>
      <c r="U68" t="str">
        <f t="shared" si="20"/>
        <v>Not Improved Enough</v>
      </c>
      <c r="V68" t="str">
        <f t="shared" si="21"/>
        <v>Far</v>
      </c>
      <c r="W68" t="str">
        <f t="shared" si="22"/>
        <v>Normal</v>
      </c>
      <c r="X68" t="str">
        <f t="shared" si="23"/>
        <v>Allowed</v>
      </c>
    </row>
    <row r="69" spans="1:24" x14ac:dyDescent="0.3">
      <c r="A69" t="s">
        <v>10</v>
      </c>
      <c r="B69" t="s">
        <v>11</v>
      </c>
      <c r="C69" t="s">
        <v>18</v>
      </c>
      <c r="D69" s="3">
        <v>45626</v>
      </c>
      <c r="E69" s="6">
        <v>0.132066033</v>
      </c>
      <c r="F69">
        <v>0</v>
      </c>
      <c r="G69" t="s">
        <v>13</v>
      </c>
      <c r="H69" s="6">
        <v>0.104</v>
      </c>
      <c r="I69" s="8">
        <v>6.2173945357141443E-3</v>
      </c>
      <c r="J69" s="5">
        <f t="shared" si="12"/>
        <v>1.7244519882342341E-3</v>
      </c>
      <c r="K69" s="5" cm="1">
        <f t="array" ref="K69">_xlfn.STDEV.S(IF($C:$C=C69,$I:$I))</f>
        <v>8.3117651155014696E-2</v>
      </c>
      <c r="L69" s="7">
        <f t="shared" si="15"/>
        <v>5.4055215529377233E-2</v>
      </c>
      <c r="M69">
        <f t="shared" si="13"/>
        <v>0</v>
      </c>
      <c r="N69" s="9">
        <f t="shared" si="16"/>
        <v>0.26986570192307696</v>
      </c>
      <c r="O69">
        <f>COUNTIFS($B$2:B69,B69,$C$2:C69,C69,$D$2:D69,"&lt;"&amp;D69,$F$2:F69,1)</f>
        <v>2</v>
      </c>
      <c r="P69">
        <f t="shared" si="14"/>
        <v>1</v>
      </c>
      <c r="Q69" t="str">
        <f t="shared" si="17"/>
        <v>Monitor</v>
      </c>
      <c r="R69">
        <v>1</v>
      </c>
      <c r="S69">
        <f t="shared" si="18"/>
        <v>0</v>
      </c>
      <c r="T69">
        <f t="shared" si="19"/>
        <v>0</v>
      </c>
      <c r="U69" t="str">
        <f t="shared" si="20"/>
        <v>Not Improved Enough</v>
      </c>
      <c r="V69" t="str">
        <f t="shared" si="21"/>
        <v>Far</v>
      </c>
      <c r="W69" t="str">
        <f t="shared" si="22"/>
        <v>Normal</v>
      </c>
      <c r="X69" t="str">
        <f t="shared" si="23"/>
        <v>Allowed</v>
      </c>
    </row>
    <row r="70" spans="1:24" x14ac:dyDescent="0.3">
      <c r="A70" t="s">
        <v>10</v>
      </c>
      <c r="B70" t="s">
        <v>11</v>
      </c>
      <c r="C70" t="s">
        <v>18</v>
      </c>
      <c r="D70" s="3">
        <v>45657</v>
      </c>
      <c r="E70" s="6">
        <v>0.13562695479101511</v>
      </c>
      <c r="F70">
        <v>1</v>
      </c>
      <c r="G70" t="s">
        <v>13</v>
      </c>
      <c r="H70" s="6">
        <v>0.104</v>
      </c>
      <c r="I70" s="8">
        <v>-2.6963191898215871E-2</v>
      </c>
      <c r="J70" s="5">
        <f t="shared" si="12"/>
        <v>1.7244519882342341E-3</v>
      </c>
      <c r="K70" s="5" cm="1">
        <f t="array" ref="K70">_xlfn.STDEV.S(IF($C:$C=C70,$I:$I))</f>
        <v>8.3117651155014696E-2</v>
      </c>
      <c r="L70" s="7">
        <f t="shared" si="15"/>
        <v>-0.34514502621046828</v>
      </c>
      <c r="M70">
        <f t="shared" si="13"/>
        <v>0</v>
      </c>
      <c r="N70" s="9">
        <f t="shared" si="16"/>
        <v>0.30410533452899147</v>
      </c>
      <c r="O70">
        <f>COUNTIFS($B$2:B70,B70,$C$2:C70,C70,$D$2:D70,"&lt;"&amp;D70,$F$2:F70,1)</f>
        <v>2</v>
      </c>
      <c r="P70">
        <f t="shared" si="14"/>
        <v>0</v>
      </c>
      <c r="Q70" t="str">
        <f t="shared" si="17"/>
        <v>Monitor</v>
      </c>
      <c r="R70">
        <v>0</v>
      </c>
      <c r="S70">
        <f t="shared" si="18"/>
        <v>0</v>
      </c>
      <c r="T70">
        <f t="shared" si="19"/>
        <v>0</v>
      </c>
      <c r="U70" t="str">
        <f t="shared" si="20"/>
        <v>Not Improved Enough</v>
      </c>
      <c r="V70" t="str">
        <f t="shared" si="21"/>
        <v>Far</v>
      </c>
      <c r="W70" t="str">
        <f t="shared" si="22"/>
        <v>Normal</v>
      </c>
      <c r="X70" t="str">
        <f t="shared" si="23"/>
        <v>Allowed</v>
      </c>
    </row>
    <row r="71" spans="1:24" x14ac:dyDescent="0.3">
      <c r="A71" t="s">
        <v>10</v>
      </c>
      <c r="B71" t="s">
        <v>11</v>
      </c>
      <c r="C71" t="s">
        <v>18</v>
      </c>
      <c r="D71" s="3">
        <v>45688</v>
      </c>
      <c r="E71" s="6">
        <v>0.13070231275196259</v>
      </c>
      <c r="F71">
        <v>0</v>
      </c>
      <c r="G71" t="s">
        <v>13</v>
      </c>
      <c r="H71" s="6">
        <v>0.104</v>
      </c>
      <c r="I71" s="8">
        <v>3.6310201365508797E-2</v>
      </c>
      <c r="J71" s="5">
        <f t="shared" si="12"/>
        <v>1.7244519882342341E-3</v>
      </c>
      <c r="K71" s="5" cm="1">
        <f t="array" ref="K71">_xlfn.STDEV.S(IF($C:$C=C71,$I:$I))</f>
        <v>8.3117651155014696E-2</v>
      </c>
      <c r="L71" s="7">
        <f t="shared" si="15"/>
        <v>0.41610595218543928</v>
      </c>
      <c r="M71">
        <f t="shared" si="13"/>
        <v>0</v>
      </c>
      <c r="N71" s="9">
        <f t="shared" si="16"/>
        <v>0.25675300723040956</v>
      </c>
      <c r="O71">
        <f>COUNTIFS($B$2:B71,B71,$C$2:C71,C71,$D$2:D71,"&lt;"&amp;D71,$F$2:F71,1)</f>
        <v>3</v>
      </c>
      <c r="P71">
        <f t="shared" si="14"/>
        <v>1</v>
      </c>
      <c r="Q71" t="str">
        <f t="shared" si="17"/>
        <v>Monitor</v>
      </c>
      <c r="R71">
        <v>1</v>
      </c>
      <c r="S71">
        <f t="shared" si="18"/>
        <v>0</v>
      </c>
      <c r="T71">
        <f t="shared" si="19"/>
        <v>0</v>
      </c>
      <c r="U71" t="str">
        <f t="shared" si="20"/>
        <v>Improved Enough</v>
      </c>
      <c r="V71" t="str">
        <f t="shared" si="21"/>
        <v>Far</v>
      </c>
      <c r="W71" t="str">
        <f t="shared" si="22"/>
        <v>Normal</v>
      </c>
      <c r="X71" t="str">
        <f t="shared" si="23"/>
        <v>Allowed</v>
      </c>
    </row>
    <row r="72" spans="1:24" x14ac:dyDescent="0.3">
      <c r="A72" t="s">
        <v>10</v>
      </c>
      <c r="B72" t="s">
        <v>11</v>
      </c>
      <c r="C72" t="s">
        <v>18</v>
      </c>
      <c r="D72" s="3">
        <v>45716</v>
      </c>
      <c r="E72" s="6">
        <v>0.1310135944213566</v>
      </c>
      <c r="F72">
        <v>1</v>
      </c>
      <c r="G72" t="s">
        <v>13</v>
      </c>
      <c r="H72" s="6">
        <v>0.104</v>
      </c>
      <c r="I72" s="8">
        <v>-2.3816079672953979E-3</v>
      </c>
      <c r="J72" s="5">
        <f t="shared" si="12"/>
        <v>1.7244519882342341E-3</v>
      </c>
      <c r="K72" s="5" cm="1">
        <f t="array" ref="K72">_xlfn.STDEV.S(IF($C:$C=C72,$I:$I))</f>
        <v>8.3117651155014696E-2</v>
      </c>
      <c r="L72" s="7">
        <f t="shared" si="15"/>
        <v>-4.9400577355967583E-2</v>
      </c>
      <c r="M72">
        <f t="shared" si="13"/>
        <v>0</v>
      </c>
      <c r="N72" s="9">
        <f t="shared" si="16"/>
        <v>0.25974610020535199</v>
      </c>
      <c r="O72">
        <f>COUNTIFS($B$2:B72,B72,$C$2:C72,C72,$D$2:D72,"&lt;"&amp;D72,$F$2:F72,1)</f>
        <v>3</v>
      </c>
      <c r="P72">
        <f t="shared" si="14"/>
        <v>0</v>
      </c>
      <c r="Q72" t="str">
        <f t="shared" si="17"/>
        <v>Monitor</v>
      </c>
      <c r="R72">
        <v>0</v>
      </c>
      <c r="S72">
        <f t="shared" si="18"/>
        <v>0</v>
      </c>
      <c r="T72">
        <f t="shared" si="19"/>
        <v>0</v>
      </c>
      <c r="U72" t="str">
        <f t="shared" si="20"/>
        <v>Not Improved Enough</v>
      </c>
      <c r="V72" t="str">
        <f t="shared" si="21"/>
        <v>Far</v>
      </c>
      <c r="W72" t="str">
        <f t="shared" si="22"/>
        <v>Normal</v>
      </c>
      <c r="X72" t="str">
        <f t="shared" si="23"/>
        <v>Allowed</v>
      </c>
    </row>
    <row r="73" spans="1:24" x14ac:dyDescent="0.3">
      <c r="A73" t="s">
        <v>10</v>
      </c>
      <c r="B73" t="s">
        <v>11</v>
      </c>
      <c r="C73" t="s">
        <v>18</v>
      </c>
      <c r="D73" s="3">
        <v>45747</v>
      </c>
      <c r="E73" s="6">
        <v>0.1272293217244769</v>
      </c>
      <c r="F73">
        <v>0</v>
      </c>
      <c r="G73" t="s">
        <v>13</v>
      </c>
      <c r="H73" s="6">
        <v>0.104</v>
      </c>
      <c r="I73" s="8">
        <v>2.8884580364301662E-2</v>
      </c>
      <c r="J73" s="5">
        <f t="shared" si="12"/>
        <v>1.7244519882342341E-3</v>
      </c>
      <c r="K73" s="5" cm="1">
        <f t="array" ref="K73">_xlfn.STDEV.S(IF($C:$C=C73,$I:$I))</f>
        <v>8.3117651155014696E-2</v>
      </c>
      <c r="L73" s="7">
        <f t="shared" si="15"/>
        <v>0.32676727504502862</v>
      </c>
      <c r="M73">
        <f t="shared" si="13"/>
        <v>0</v>
      </c>
      <c r="N73" s="9">
        <f t="shared" si="16"/>
        <v>0.22335886273535488</v>
      </c>
      <c r="O73">
        <f>COUNTIFS($B$2:B73,B73,$C$2:C73,C73,$D$2:D73,"&lt;"&amp;D73,$F$2:F73,1)</f>
        <v>4</v>
      </c>
      <c r="P73">
        <f t="shared" si="14"/>
        <v>1</v>
      </c>
      <c r="Q73" t="str">
        <f t="shared" si="17"/>
        <v>Monitor</v>
      </c>
      <c r="R73">
        <v>1</v>
      </c>
      <c r="S73">
        <f t="shared" si="18"/>
        <v>0</v>
      </c>
      <c r="T73">
        <f t="shared" si="19"/>
        <v>0</v>
      </c>
      <c r="U73" t="str">
        <f t="shared" si="20"/>
        <v>Improved Enough</v>
      </c>
      <c r="V73" t="str">
        <f t="shared" si="21"/>
        <v>Far</v>
      </c>
      <c r="W73" t="str">
        <f t="shared" si="22"/>
        <v>Normal</v>
      </c>
      <c r="X73" t="str">
        <f t="shared" si="23"/>
        <v>Allowed</v>
      </c>
    </row>
    <row r="74" spans="1:24" x14ac:dyDescent="0.3">
      <c r="A74" t="s">
        <v>10</v>
      </c>
      <c r="B74" t="s">
        <v>11</v>
      </c>
      <c r="C74" t="s">
        <v>18</v>
      </c>
      <c r="D74" s="3">
        <v>45777</v>
      </c>
      <c r="E74" s="6">
        <v>0.1220196353436185</v>
      </c>
      <c r="F74">
        <v>0</v>
      </c>
      <c r="G74" t="s">
        <v>13</v>
      </c>
      <c r="H74" s="6">
        <v>0.104</v>
      </c>
      <c r="I74" s="8">
        <v>4.0947214920632122E-2</v>
      </c>
      <c r="J74" s="5">
        <f t="shared" si="12"/>
        <v>1.7244519882342341E-3</v>
      </c>
      <c r="K74" s="5" cm="1">
        <f t="array" ref="K74">_xlfn.STDEV.S(IF($C:$C=C74,$I:$I))</f>
        <v>8.3117651155014696E-2</v>
      </c>
      <c r="L74" s="7">
        <f t="shared" si="15"/>
        <v>0.47189450600868527</v>
      </c>
      <c r="M74">
        <f t="shared" si="13"/>
        <v>0</v>
      </c>
      <c r="N74" s="9">
        <f t="shared" si="16"/>
        <v>0.1732657244578702</v>
      </c>
      <c r="O74">
        <f>COUNTIFS($B$2:B74,B74,$C$2:C74,C74,$D$2:D74,"&lt;"&amp;D74,$F$2:F74,1)</f>
        <v>4</v>
      </c>
      <c r="P74">
        <f t="shared" si="14"/>
        <v>0</v>
      </c>
      <c r="Q74" t="str">
        <f t="shared" si="17"/>
        <v>Monitor</v>
      </c>
      <c r="R74">
        <v>0</v>
      </c>
      <c r="S74">
        <f t="shared" si="18"/>
        <v>0</v>
      </c>
      <c r="T74">
        <f t="shared" si="19"/>
        <v>0</v>
      </c>
      <c r="U74" t="str">
        <f t="shared" si="20"/>
        <v>Improved Enough</v>
      </c>
      <c r="V74" t="str">
        <f t="shared" si="21"/>
        <v>Far</v>
      </c>
      <c r="W74" t="str">
        <f t="shared" si="22"/>
        <v>Normal</v>
      </c>
      <c r="X74" t="str">
        <f t="shared" si="23"/>
        <v>Allowed</v>
      </c>
    </row>
    <row r="75" spans="1:24" x14ac:dyDescent="0.3">
      <c r="A75" t="s">
        <v>10</v>
      </c>
      <c r="B75" t="s">
        <v>11</v>
      </c>
      <c r="C75" t="s">
        <v>18</v>
      </c>
      <c r="D75" s="3">
        <v>45808</v>
      </c>
      <c r="E75" s="6">
        <v>0.1192609182530795</v>
      </c>
      <c r="F75">
        <v>0</v>
      </c>
      <c r="G75" t="s">
        <v>13</v>
      </c>
      <c r="H75" s="6">
        <v>0.104</v>
      </c>
      <c r="I75" s="8">
        <v>2.2608796385681699E-2</v>
      </c>
      <c r="J75" s="5">
        <f t="shared" si="12"/>
        <v>1.7244519882342341E-3</v>
      </c>
      <c r="K75" s="5" cm="1">
        <f t="array" ref="K75">_xlfn.STDEV.S(IF($C:$C=C75,$I:$I))</f>
        <v>8.3117651155014696E-2</v>
      </c>
      <c r="L75" s="7">
        <f t="shared" si="15"/>
        <v>0.25126244675150999</v>
      </c>
      <c r="M75">
        <f t="shared" si="13"/>
        <v>0</v>
      </c>
      <c r="N75" s="9">
        <f t="shared" si="16"/>
        <v>0.1467395985873029</v>
      </c>
      <c r="O75">
        <f>COUNTIFS($B$2:B75,B75,$C$2:C75,C75,$D$2:D75,"&lt;"&amp;D75,$F$2:F75,1)</f>
        <v>4</v>
      </c>
      <c r="P75">
        <f t="shared" si="14"/>
        <v>0</v>
      </c>
      <c r="Q75" t="str">
        <f t="shared" si="17"/>
        <v>Monitor</v>
      </c>
      <c r="R75">
        <v>0</v>
      </c>
      <c r="S75">
        <f t="shared" si="18"/>
        <v>0</v>
      </c>
      <c r="T75">
        <f t="shared" si="19"/>
        <v>0</v>
      </c>
      <c r="U75" t="str">
        <f t="shared" si="20"/>
        <v>Improved Enough</v>
      </c>
      <c r="V75" t="str">
        <f t="shared" si="21"/>
        <v>Far</v>
      </c>
      <c r="W75" t="str">
        <f t="shared" si="22"/>
        <v>Normal</v>
      </c>
      <c r="X75" t="str">
        <f t="shared" si="23"/>
        <v>Allowed</v>
      </c>
    </row>
    <row r="76" spans="1:24" x14ac:dyDescent="0.3">
      <c r="A76" t="s">
        <v>10</v>
      </c>
      <c r="B76" t="s">
        <v>11</v>
      </c>
      <c r="C76" t="s">
        <v>18</v>
      </c>
      <c r="D76" s="3">
        <v>45838</v>
      </c>
      <c r="E76" s="6">
        <v>0.1189196733896294</v>
      </c>
      <c r="F76">
        <v>0</v>
      </c>
      <c r="G76" t="s">
        <v>13</v>
      </c>
      <c r="H76" s="6">
        <v>0.104</v>
      </c>
      <c r="I76" s="8">
        <v>2.8613301695862309E-3</v>
      </c>
      <c r="J76" s="5">
        <f t="shared" si="12"/>
        <v>1.7244519882342341E-3</v>
      </c>
      <c r="K76" s="5" cm="1">
        <f t="array" ref="K76">_xlfn.STDEV.S(IF($C:$C=C76,$I:$I))</f>
        <v>8.3117651155014696E-2</v>
      </c>
      <c r="L76" s="7">
        <f t="shared" si="15"/>
        <v>1.36779392289577E-2</v>
      </c>
      <c r="M76">
        <f t="shared" si="13"/>
        <v>0</v>
      </c>
      <c r="N76" s="9">
        <f t="shared" si="16"/>
        <v>0.14345839797720583</v>
      </c>
      <c r="O76">
        <f>COUNTIFS($B$2:B76,B76,$C$2:C76,C76,$D$2:D76,"&lt;"&amp;D76,$F$2:F76,1)</f>
        <v>4</v>
      </c>
      <c r="P76">
        <f t="shared" si="14"/>
        <v>0</v>
      </c>
      <c r="Q76" t="str">
        <f t="shared" si="17"/>
        <v>Monitor</v>
      </c>
      <c r="R76">
        <v>0</v>
      </c>
      <c r="S76">
        <f t="shared" si="18"/>
        <v>0</v>
      </c>
      <c r="T76">
        <f t="shared" si="19"/>
        <v>0</v>
      </c>
      <c r="U76" t="str">
        <f t="shared" si="20"/>
        <v>Not Improved Enough</v>
      </c>
      <c r="V76" t="str">
        <f t="shared" si="21"/>
        <v>Far</v>
      </c>
      <c r="W76" t="str">
        <f t="shared" si="22"/>
        <v>Normal</v>
      </c>
      <c r="X76" t="str">
        <f t="shared" si="23"/>
        <v>Allowed</v>
      </c>
    </row>
    <row r="77" spans="1:24" x14ac:dyDescent="0.3">
      <c r="A77" t="s">
        <v>10</v>
      </c>
      <c r="B77" t="s">
        <v>11</v>
      </c>
      <c r="C77" t="s">
        <v>18</v>
      </c>
      <c r="D77" s="3">
        <v>45869</v>
      </c>
      <c r="E77" s="6">
        <v>0.1151519365829914</v>
      </c>
      <c r="F77">
        <v>0</v>
      </c>
      <c r="G77" t="s">
        <v>13</v>
      </c>
      <c r="H77" s="6">
        <v>0.104</v>
      </c>
      <c r="I77" s="8">
        <v>3.1683040318260511E-2</v>
      </c>
      <c r="J77" s="5">
        <f t="shared" si="12"/>
        <v>1.7244519882342341E-3</v>
      </c>
      <c r="K77" s="5" cm="1">
        <f t="array" ref="K77">_xlfn.STDEV.S(IF($C:$C=C77,$I:$I))</f>
        <v>8.3117651155014696E-2</v>
      </c>
      <c r="L77" s="7">
        <f t="shared" si="15"/>
        <v>0.36043593525222956</v>
      </c>
      <c r="M77">
        <f t="shared" si="13"/>
        <v>0</v>
      </c>
      <c r="N77" s="9">
        <f t="shared" si="16"/>
        <v>0.10723015945184045</v>
      </c>
      <c r="O77">
        <f>COUNTIFS($B$2:B77,B77,$C$2:C77,C77,$D$2:D77,"&lt;"&amp;D77,$F$2:F77,1)</f>
        <v>4</v>
      </c>
      <c r="P77">
        <f t="shared" si="14"/>
        <v>0</v>
      </c>
      <c r="Q77" t="str">
        <f t="shared" si="17"/>
        <v>Monitor</v>
      </c>
      <c r="R77">
        <v>0</v>
      </c>
      <c r="S77">
        <f t="shared" si="18"/>
        <v>0</v>
      </c>
      <c r="T77">
        <f t="shared" si="19"/>
        <v>0</v>
      </c>
      <c r="U77" t="str">
        <f t="shared" si="20"/>
        <v>Improved Enough</v>
      </c>
      <c r="V77" t="str">
        <f t="shared" si="21"/>
        <v>Far</v>
      </c>
      <c r="W77" t="str">
        <f t="shared" si="22"/>
        <v>Normal</v>
      </c>
      <c r="X77" t="str">
        <f t="shared" si="23"/>
        <v>Allowed</v>
      </c>
    </row>
    <row r="78" spans="1:24" x14ac:dyDescent="0.3">
      <c r="A78" t="s">
        <v>10</v>
      </c>
      <c r="B78" t="s">
        <v>11</v>
      </c>
      <c r="C78" t="s">
        <v>18</v>
      </c>
      <c r="D78" s="3">
        <v>45900</v>
      </c>
      <c r="E78" s="6">
        <v>0.11812824956672439</v>
      </c>
      <c r="F78">
        <v>0</v>
      </c>
      <c r="G78" t="s">
        <v>13</v>
      </c>
      <c r="H78" s="6">
        <v>0.104</v>
      </c>
      <c r="I78" s="8">
        <v>-2.5846833948710259E-2</v>
      </c>
      <c r="J78" s="5">
        <f t="shared" si="12"/>
        <v>1.7244519882342341E-3</v>
      </c>
      <c r="K78" s="5" cm="1">
        <f t="array" ref="K78">_xlfn.STDEV.S(IF($C:$C=C78,$I:$I))</f>
        <v>8.3117651155014696E-2</v>
      </c>
      <c r="L78" s="7">
        <f t="shared" si="15"/>
        <v>-0.33171396873961168</v>
      </c>
      <c r="M78">
        <f t="shared" si="13"/>
        <v>0</v>
      </c>
      <c r="N78" s="9">
        <f t="shared" si="16"/>
        <v>0.13584855352619615</v>
      </c>
      <c r="O78">
        <f>COUNTIFS($B$2:B78,B78,$C$2:C78,C78,$D$2:D78,"&lt;"&amp;D78,$F$2:F78,1)</f>
        <v>4</v>
      </c>
      <c r="P78">
        <f t="shared" si="14"/>
        <v>0</v>
      </c>
      <c r="Q78" t="str">
        <f t="shared" si="17"/>
        <v>Monitor</v>
      </c>
      <c r="R78">
        <v>0</v>
      </c>
      <c r="S78">
        <f t="shared" si="18"/>
        <v>0</v>
      </c>
      <c r="T78">
        <f t="shared" si="19"/>
        <v>0</v>
      </c>
      <c r="U78" t="str">
        <f t="shared" si="20"/>
        <v>Not Improved Enough</v>
      </c>
      <c r="V78" t="str">
        <f t="shared" si="21"/>
        <v>Far</v>
      </c>
      <c r="W78" t="str">
        <f t="shared" si="22"/>
        <v>Normal</v>
      </c>
      <c r="X78" t="str">
        <f t="shared" si="23"/>
        <v>Allowed</v>
      </c>
    </row>
    <row r="79" spans="1:24" x14ac:dyDescent="0.3">
      <c r="A79" t="s">
        <v>10</v>
      </c>
      <c r="B79" t="s">
        <v>11</v>
      </c>
      <c r="C79" t="s">
        <v>18</v>
      </c>
      <c r="D79" s="3">
        <v>45930</v>
      </c>
      <c r="E79" s="6">
        <v>0.1153447202821382</v>
      </c>
      <c r="F79">
        <v>0</v>
      </c>
      <c r="G79" t="s">
        <v>13</v>
      </c>
      <c r="H79" s="6">
        <v>0.104</v>
      </c>
      <c r="I79" s="8">
        <v>2.3563620851030441E-2</v>
      </c>
      <c r="J79" s="5">
        <f t="shared" si="12"/>
        <v>1.7244519882342341E-3</v>
      </c>
      <c r="K79" s="5" cm="1">
        <f t="array" ref="K79">_xlfn.STDEV.S(IF($C:$C=C79,$I:$I))</f>
        <v>8.3117651155014696E-2</v>
      </c>
      <c r="L79" s="7">
        <f t="shared" si="15"/>
        <v>0.26275007244930543</v>
      </c>
      <c r="M79">
        <f t="shared" si="13"/>
        <v>0</v>
      </c>
      <c r="N79" s="9">
        <f t="shared" si="16"/>
        <v>0.1090838488667135</v>
      </c>
      <c r="O79">
        <f>COUNTIFS($B$2:B79,B79,$C$2:C79,C79,$D$2:D79,"&lt;"&amp;D79,$F$2:F79,1)</f>
        <v>4</v>
      </c>
      <c r="P79">
        <f t="shared" si="14"/>
        <v>0</v>
      </c>
      <c r="Q79" t="str">
        <f t="shared" si="17"/>
        <v>Monitor</v>
      </c>
      <c r="R79">
        <v>0</v>
      </c>
      <c r="S79">
        <f t="shared" si="18"/>
        <v>0</v>
      </c>
      <c r="T79">
        <f t="shared" si="19"/>
        <v>0</v>
      </c>
      <c r="U79" t="str">
        <f t="shared" si="20"/>
        <v>Improved Enough</v>
      </c>
      <c r="V79" t="str">
        <f t="shared" si="21"/>
        <v>Far</v>
      </c>
      <c r="W79" t="str">
        <f t="shared" si="22"/>
        <v>Normal</v>
      </c>
      <c r="X79" t="str">
        <f t="shared" si="23"/>
        <v>Allowed</v>
      </c>
    </row>
    <row r="80" spans="1:24" x14ac:dyDescent="0.3">
      <c r="A80" t="s">
        <v>10</v>
      </c>
      <c r="B80" t="s">
        <v>11</v>
      </c>
      <c r="C80" t="s">
        <v>18</v>
      </c>
      <c r="D80" s="3">
        <v>45961</v>
      </c>
      <c r="E80" s="6">
        <v>0.1099476439790576</v>
      </c>
      <c r="F80">
        <v>0</v>
      </c>
      <c r="G80" t="s">
        <v>13</v>
      </c>
      <c r="H80" s="6">
        <v>0.104</v>
      </c>
      <c r="I80" s="8">
        <v>4.679083957964543E-2</v>
      </c>
      <c r="J80" s="5">
        <f t="shared" si="12"/>
        <v>1.7244519882342341E-3</v>
      </c>
      <c r="K80" s="5" cm="1">
        <f t="array" ref="K80">_xlfn.STDEV.S(IF($C:$C=C80,$I:$I))</f>
        <v>8.3117651155014696E-2</v>
      </c>
      <c r="L80" s="7">
        <f t="shared" si="15"/>
        <v>0.54219996553273908</v>
      </c>
      <c r="M80">
        <f t="shared" si="13"/>
        <v>-1</v>
      </c>
      <c r="N80" s="9">
        <f t="shared" si="16"/>
        <v>5.7188884414015401E-2</v>
      </c>
      <c r="O80">
        <f>COUNTIFS($B$2:B80,B80,$C$2:C80,C80,$D$2:D80,"&lt;"&amp;D80,$F$2:F80,1)</f>
        <v>4</v>
      </c>
      <c r="P80">
        <f t="shared" si="14"/>
        <v>0</v>
      </c>
      <c r="Q80" t="str">
        <f t="shared" si="17"/>
        <v>Monitor</v>
      </c>
      <c r="R80">
        <v>0</v>
      </c>
      <c r="S80">
        <f t="shared" si="18"/>
        <v>0</v>
      </c>
      <c r="T80">
        <f t="shared" si="19"/>
        <v>0</v>
      </c>
      <c r="U80" t="str">
        <f t="shared" si="20"/>
        <v>Improved Enough</v>
      </c>
      <c r="V80" t="str">
        <f t="shared" si="21"/>
        <v>Far</v>
      </c>
      <c r="W80" t="str">
        <f t="shared" si="22"/>
        <v>Normal</v>
      </c>
      <c r="X80" t="str">
        <f t="shared" si="23"/>
        <v>Allowed</v>
      </c>
    </row>
    <row r="81" spans="1:24" x14ac:dyDescent="0.3">
      <c r="A81" t="s">
        <v>10</v>
      </c>
      <c r="B81" t="s">
        <v>11</v>
      </c>
      <c r="C81" t="s">
        <v>18</v>
      </c>
      <c r="D81" s="3">
        <v>45991</v>
      </c>
      <c r="E81" s="6">
        <v>0.1096605744125326</v>
      </c>
      <c r="F81">
        <v>0</v>
      </c>
      <c r="G81" t="s">
        <v>13</v>
      </c>
      <c r="H81" s="6">
        <v>0.104</v>
      </c>
      <c r="I81" s="8">
        <v>2.6109660574416159E-3</v>
      </c>
      <c r="J81" s="5">
        <f t="shared" si="12"/>
        <v>1.7244519882342341E-3</v>
      </c>
      <c r="K81" s="5" cm="1">
        <f t="array" ref="K81">_xlfn.STDEV.S(IF($C:$C=C81,$I:$I))</f>
        <v>8.3117651155014696E-2</v>
      </c>
      <c r="L81" s="7">
        <f t="shared" si="15"/>
        <v>1.06657738385079E-2</v>
      </c>
      <c r="M81">
        <f t="shared" si="13"/>
        <v>0</v>
      </c>
      <c r="N81" s="9">
        <f t="shared" si="16"/>
        <v>5.4428600120505835E-2</v>
      </c>
      <c r="O81">
        <f>COUNTIFS($B$2:B81,B81,$C$2:C81,C81,$D$2:D81,"&lt;"&amp;D81,$F$2:F81,1)</f>
        <v>4</v>
      </c>
      <c r="P81">
        <f t="shared" si="14"/>
        <v>0</v>
      </c>
      <c r="Q81" t="str">
        <f t="shared" si="17"/>
        <v>Monitor</v>
      </c>
      <c r="R81">
        <v>0</v>
      </c>
      <c r="S81">
        <f t="shared" si="18"/>
        <v>0</v>
      </c>
      <c r="T81">
        <f t="shared" si="19"/>
        <v>0</v>
      </c>
      <c r="U81" t="str">
        <f t="shared" si="20"/>
        <v>Not Improved Enough</v>
      </c>
      <c r="V81" t="str">
        <f t="shared" si="21"/>
        <v>Far</v>
      </c>
      <c r="W81" t="str">
        <f t="shared" si="22"/>
        <v>Normal</v>
      </c>
      <c r="X81" t="str">
        <f t="shared" si="23"/>
        <v>Allowed</v>
      </c>
    </row>
    <row r="82" spans="1:24" x14ac:dyDescent="0.3">
      <c r="A82" t="s">
        <v>10</v>
      </c>
      <c r="B82" t="s">
        <v>11</v>
      </c>
      <c r="C82" t="s">
        <v>19</v>
      </c>
      <c r="D82" s="3">
        <v>45535</v>
      </c>
      <c r="E82" s="6">
        <v>0.1384928716904277</v>
      </c>
      <c r="F82">
        <v>0</v>
      </c>
      <c r="G82" t="s">
        <v>13</v>
      </c>
      <c r="H82" s="6">
        <v>0.1</v>
      </c>
      <c r="I82" s="8">
        <v>1.3577732518669519E-2</v>
      </c>
      <c r="J82" s="5">
        <f t="shared" si="12"/>
        <v>-3.0570725046180952E-3</v>
      </c>
      <c r="K82" s="5" cm="1">
        <f t="array" ref="K82">_xlfn.STDEV.S(IF($C:$C=C82,$I:$I))</f>
        <v>0.17799866497296365</v>
      </c>
      <c r="L82" s="7">
        <f t="shared" si="15"/>
        <v>9.345466172914435E-2</v>
      </c>
      <c r="M82">
        <f t="shared" si="13"/>
        <v>0</v>
      </c>
      <c r="N82" s="9">
        <f t="shared" si="16"/>
        <v>0.38492871690427699</v>
      </c>
      <c r="O82">
        <f>COUNTIFS($B$2:B82,B82,$C$2:C82,C82,$D$2:D82,"&lt;"&amp;D82,$F$2:F82,1)</f>
        <v>0</v>
      </c>
      <c r="P82">
        <f t="shared" si="14"/>
        <v>0</v>
      </c>
      <c r="Q82" t="str">
        <f t="shared" si="17"/>
        <v>Monitor</v>
      </c>
      <c r="R82">
        <v>0</v>
      </c>
      <c r="S82">
        <f t="shared" si="18"/>
        <v>0</v>
      </c>
      <c r="T82">
        <f t="shared" si="19"/>
        <v>0</v>
      </c>
      <c r="U82" t="str">
        <f t="shared" si="20"/>
        <v>Improved Enough</v>
      </c>
      <c r="V82" t="str">
        <f t="shared" si="21"/>
        <v>Far</v>
      </c>
      <c r="W82" t="str">
        <f t="shared" si="22"/>
        <v>Normal</v>
      </c>
      <c r="X82" t="str">
        <f t="shared" si="23"/>
        <v>Allowed</v>
      </c>
    </row>
    <row r="83" spans="1:24" x14ac:dyDescent="0.3">
      <c r="A83" t="s">
        <v>10</v>
      </c>
      <c r="B83" t="s">
        <v>11</v>
      </c>
      <c r="C83" t="s">
        <v>19</v>
      </c>
      <c r="D83" s="3">
        <v>45565</v>
      </c>
      <c r="E83" s="6">
        <v>0.15240641711229949</v>
      </c>
      <c r="F83">
        <v>1</v>
      </c>
      <c r="G83" t="s">
        <v>13</v>
      </c>
      <c r="H83" s="6">
        <v>0.1</v>
      </c>
      <c r="I83" s="8">
        <v>-0.1004639823843978</v>
      </c>
      <c r="J83" s="5">
        <f t="shared" si="12"/>
        <v>-3.0570725046180952E-3</v>
      </c>
      <c r="K83" s="5" cm="1">
        <f t="array" ref="K83">_xlfn.STDEV.S(IF($C:$C=C83,$I:$I))</f>
        <v>0.17799866497296365</v>
      </c>
      <c r="L83" s="7">
        <f t="shared" si="15"/>
        <v>-0.54723393512291185</v>
      </c>
      <c r="M83">
        <f t="shared" si="13"/>
        <v>1</v>
      </c>
      <c r="N83" s="9">
        <f t="shared" si="16"/>
        <v>0.52406417112299486</v>
      </c>
      <c r="O83">
        <f>COUNTIFS($B$2:B83,B83,$C$2:C83,C83,$D$2:D83,"&lt;"&amp;D83,$F$2:F83,1)</f>
        <v>0</v>
      </c>
      <c r="P83">
        <f t="shared" si="14"/>
        <v>0</v>
      </c>
      <c r="Q83" t="str">
        <f t="shared" si="17"/>
        <v>Intervene</v>
      </c>
      <c r="R83">
        <v>0</v>
      </c>
      <c r="S83">
        <f t="shared" si="18"/>
        <v>1</v>
      </c>
      <c r="T83">
        <f t="shared" si="19"/>
        <v>1</v>
      </c>
      <c r="U83" t="str">
        <f t="shared" si="20"/>
        <v>Not Improved Enough</v>
      </c>
      <c r="V83" t="str">
        <f t="shared" si="21"/>
        <v>Far</v>
      </c>
      <c r="W83" t="str">
        <f t="shared" si="22"/>
        <v>Abnormal</v>
      </c>
      <c r="X83" t="str">
        <f t="shared" si="23"/>
        <v>Allowed</v>
      </c>
    </row>
    <row r="84" spans="1:24" x14ac:dyDescent="0.3">
      <c r="A84" t="s">
        <v>10</v>
      </c>
      <c r="B84" t="s">
        <v>11</v>
      </c>
      <c r="C84" t="s">
        <v>19</v>
      </c>
      <c r="D84" s="3">
        <v>45596</v>
      </c>
      <c r="E84" s="6">
        <v>0.15737704918032791</v>
      </c>
      <c r="F84">
        <v>1</v>
      </c>
      <c r="G84" t="s">
        <v>13</v>
      </c>
      <c r="H84" s="6">
        <v>0.1</v>
      </c>
      <c r="I84" s="8">
        <v>-3.2614322691975943E-2</v>
      </c>
      <c r="J84" s="5">
        <f t="shared" si="12"/>
        <v>-3.0570725046180952E-3</v>
      </c>
      <c r="K84" s="5" cm="1">
        <f t="array" ref="K84">_xlfn.STDEV.S(IF($C:$C=C84,$I:$I))</f>
        <v>0.17799866497296365</v>
      </c>
      <c r="L84" s="7">
        <f t="shared" si="15"/>
        <v>-0.16605321276902454</v>
      </c>
      <c r="M84">
        <f t="shared" si="13"/>
        <v>0</v>
      </c>
      <c r="N84" s="9">
        <f t="shared" si="16"/>
        <v>0.57377049180327899</v>
      </c>
      <c r="O84">
        <f>COUNTIFS($B$2:B84,B84,$C$2:C84,C84,$D$2:D84,"&lt;"&amp;D84,$F$2:F84,1)</f>
        <v>1</v>
      </c>
      <c r="P84">
        <f t="shared" si="14"/>
        <v>-1</v>
      </c>
      <c r="Q84" t="str">
        <f t="shared" si="17"/>
        <v>Monitor</v>
      </c>
      <c r="R84">
        <v>1</v>
      </c>
      <c r="S84">
        <f t="shared" si="18"/>
        <v>0</v>
      </c>
      <c r="T84">
        <f t="shared" si="19"/>
        <v>0</v>
      </c>
      <c r="U84" t="str">
        <f t="shared" si="20"/>
        <v>Not Improved Enough</v>
      </c>
      <c r="V84" t="str">
        <f t="shared" si="21"/>
        <v>Far</v>
      </c>
      <c r="W84" t="str">
        <f t="shared" si="22"/>
        <v>Normal</v>
      </c>
      <c r="X84" t="str">
        <f t="shared" si="23"/>
        <v>Allowed</v>
      </c>
    </row>
    <row r="85" spans="1:24" x14ac:dyDescent="0.3">
      <c r="A85" t="s">
        <v>10</v>
      </c>
      <c r="B85" t="s">
        <v>11</v>
      </c>
      <c r="C85" t="s">
        <v>19</v>
      </c>
      <c r="D85" s="3">
        <v>45626</v>
      </c>
      <c r="E85" s="6">
        <v>0.154440154</v>
      </c>
      <c r="F85">
        <v>0</v>
      </c>
      <c r="G85" t="s">
        <v>13</v>
      </c>
      <c r="H85" s="6">
        <v>0.1</v>
      </c>
      <c r="I85" s="8">
        <v>1.8661521458333621E-2</v>
      </c>
      <c r="J85" s="5">
        <f t="shared" si="12"/>
        <v>-3.0570725046180952E-3</v>
      </c>
      <c r="K85" s="5" cm="1">
        <f t="array" ref="K85">_xlfn.STDEV.S(IF($C:$C=C85,$I:$I))</f>
        <v>0.17799866497296365</v>
      </c>
      <c r="L85" s="7">
        <f t="shared" si="15"/>
        <v>0.12201548796026403</v>
      </c>
      <c r="M85">
        <f t="shared" si="13"/>
        <v>0</v>
      </c>
      <c r="N85" s="9">
        <f t="shared" si="16"/>
        <v>0.54440153999999985</v>
      </c>
      <c r="O85">
        <f>COUNTIFS($B$2:B85,B85,$C$2:C85,C85,$D$2:D85,"&lt;"&amp;D85,$F$2:F85,1)</f>
        <v>2</v>
      </c>
      <c r="P85">
        <f t="shared" si="14"/>
        <v>1</v>
      </c>
      <c r="Q85" t="str">
        <f t="shared" si="17"/>
        <v>Monitor</v>
      </c>
      <c r="R85">
        <v>1</v>
      </c>
      <c r="S85">
        <f t="shared" si="18"/>
        <v>0</v>
      </c>
      <c r="T85">
        <f t="shared" si="19"/>
        <v>0</v>
      </c>
      <c r="U85" t="str">
        <f t="shared" si="20"/>
        <v>Improved Enough</v>
      </c>
      <c r="V85" t="str">
        <f t="shared" si="21"/>
        <v>Far</v>
      </c>
      <c r="W85" t="str">
        <f t="shared" si="22"/>
        <v>Normal</v>
      </c>
      <c r="X85" t="str">
        <f t="shared" si="23"/>
        <v>Allowed</v>
      </c>
    </row>
    <row r="86" spans="1:24" x14ac:dyDescent="0.3">
      <c r="A86" t="s">
        <v>10</v>
      </c>
      <c r="B86" t="s">
        <v>11</v>
      </c>
      <c r="C86" t="s">
        <v>19</v>
      </c>
      <c r="D86" s="3">
        <v>45657</v>
      </c>
      <c r="E86" s="6">
        <v>0.12870662460567819</v>
      </c>
      <c r="F86">
        <v>0</v>
      </c>
      <c r="G86" t="s">
        <v>13</v>
      </c>
      <c r="H86" s="6">
        <v>0.1</v>
      </c>
      <c r="I86" s="8">
        <v>0.16662460330311379</v>
      </c>
      <c r="J86" s="5">
        <f t="shared" si="12"/>
        <v>-3.0570725046180952E-3</v>
      </c>
      <c r="K86" s="5" cm="1">
        <f t="array" ref="K86">_xlfn.STDEV.S(IF($C:$C=C86,$I:$I))</f>
        <v>0.17799866497296365</v>
      </c>
      <c r="L86" s="7">
        <f t="shared" si="15"/>
        <v>0.95327499132369875</v>
      </c>
      <c r="M86">
        <f t="shared" si="13"/>
        <v>-1</v>
      </c>
      <c r="N86" s="9">
        <f t="shared" si="16"/>
        <v>0.28706624605678188</v>
      </c>
      <c r="O86">
        <f>COUNTIFS($B$2:B86,B86,$C$2:C86,C86,$D$2:D86,"&lt;"&amp;D86,$F$2:F86,1)</f>
        <v>2</v>
      </c>
      <c r="P86">
        <f t="shared" si="14"/>
        <v>0</v>
      </c>
      <c r="Q86" t="str">
        <f t="shared" si="17"/>
        <v>Monitor</v>
      </c>
      <c r="R86">
        <v>0</v>
      </c>
      <c r="S86">
        <f t="shared" si="18"/>
        <v>0</v>
      </c>
      <c r="T86">
        <f t="shared" si="19"/>
        <v>0</v>
      </c>
      <c r="U86" t="str">
        <f t="shared" si="20"/>
        <v>Improved Enough</v>
      </c>
      <c r="V86" t="str">
        <f t="shared" si="21"/>
        <v>Far</v>
      </c>
      <c r="W86" t="str">
        <f t="shared" si="22"/>
        <v>Normal</v>
      </c>
      <c r="X86" t="str">
        <f t="shared" si="23"/>
        <v>Allowed</v>
      </c>
    </row>
    <row r="87" spans="1:24" x14ac:dyDescent="0.3">
      <c r="A87" t="s">
        <v>10</v>
      </c>
      <c r="B87" t="s">
        <v>11</v>
      </c>
      <c r="C87" t="s">
        <v>19</v>
      </c>
      <c r="D87" s="3">
        <v>45688</v>
      </c>
      <c r="E87" s="6">
        <v>0.1190328580285183</v>
      </c>
      <c r="F87">
        <v>0</v>
      </c>
      <c r="G87" t="s">
        <v>13</v>
      </c>
      <c r="H87" s="6">
        <v>0.1</v>
      </c>
      <c r="I87" s="8">
        <v>7.516137267058054E-2</v>
      </c>
      <c r="J87" s="5">
        <f t="shared" si="12"/>
        <v>-3.0570725046180952E-3</v>
      </c>
      <c r="K87" s="5" cm="1">
        <f t="array" ref="K87">_xlfn.STDEV.S(IF($C:$C=C87,$I:$I))</f>
        <v>0.17799866497296365</v>
      </c>
      <c r="L87" s="7">
        <f t="shared" si="15"/>
        <v>0.43943276308886525</v>
      </c>
      <c r="M87">
        <f t="shared" si="13"/>
        <v>0</v>
      </c>
      <c r="N87" s="9">
        <f t="shared" si="16"/>
        <v>0.19032858028518299</v>
      </c>
      <c r="O87">
        <f>COUNTIFS($B$2:B87,B87,$C$2:C87,C87,$D$2:D87,"&lt;"&amp;D87,$F$2:F87,1)</f>
        <v>2</v>
      </c>
      <c r="P87">
        <f t="shared" si="14"/>
        <v>0</v>
      </c>
      <c r="Q87" t="str">
        <f t="shared" si="17"/>
        <v>Monitor</v>
      </c>
      <c r="R87">
        <v>0</v>
      </c>
      <c r="S87">
        <f t="shared" si="18"/>
        <v>0</v>
      </c>
      <c r="T87">
        <f t="shared" si="19"/>
        <v>0</v>
      </c>
      <c r="U87" t="str">
        <f t="shared" si="20"/>
        <v>Improved Enough</v>
      </c>
      <c r="V87" t="str">
        <f t="shared" si="21"/>
        <v>Far</v>
      </c>
      <c r="W87" t="str">
        <f t="shared" si="22"/>
        <v>Normal</v>
      </c>
      <c r="X87" t="str">
        <f t="shared" si="23"/>
        <v>Allowed</v>
      </c>
    </row>
    <row r="88" spans="1:24" x14ac:dyDescent="0.3">
      <c r="A88" t="s">
        <v>10</v>
      </c>
      <c r="B88" t="s">
        <v>11</v>
      </c>
      <c r="C88" t="s">
        <v>19</v>
      </c>
      <c r="D88" s="3">
        <v>45716</v>
      </c>
      <c r="E88" s="6">
        <v>0.1099572388515577</v>
      </c>
      <c r="F88">
        <v>0</v>
      </c>
      <c r="G88" t="s">
        <v>13</v>
      </c>
      <c r="H88" s="6">
        <v>0.1</v>
      </c>
      <c r="I88" s="8">
        <v>7.6244654856445077E-2</v>
      </c>
      <c r="J88" s="5">
        <f t="shared" si="12"/>
        <v>-3.0570725046180952E-3</v>
      </c>
      <c r="K88" s="5" cm="1">
        <f t="array" ref="K88">_xlfn.STDEV.S(IF($C:$C=C88,$I:$I))</f>
        <v>0.17799866497296365</v>
      </c>
      <c r="L88" s="7">
        <f t="shared" si="15"/>
        <v>0.44551866371081134</v>
      </c>
      <c r="M88">
        <f t="shared" si="13"/>
        <v>0</v>
      </c>
      <c r="N88" s="9">
        <f t="shared" si="16"/>
        <v>9.9572388515576926E-2</v>
      </c>
      <c r="O88">
        <f>COUNTIFS($B$2:B88,B88,$C$2:C88,C88,$D$2:D88,"&lt;"&amp;D88,$F$2:F88,1)</f>
        <v>2</v>
      </c>
      <c r="P88">
        <f t="shared" si="14"/>
        <v>0</v>
      </c>
      <c r="Q88" t="str">
        <f t="shared" si="17"/>
        <v>Monitor</v>
      </c>
      <c r="R88">
        <v>0</v>
      </c>
      <c r="S88">
        <f t="shared" si="18"/>
        <v>0</v>
      </c>
      <c r="T88">
        <f t="shared" si="19"/>
        <v>0</v>
      </c>
      <c r="U88" t="str">
        <f t="shared" si="20"/>
        <v>Improved Enough</v>
      </c>
      <c r="V88" t="str">
        <f t="shared" si="21"/>
        <v>Far</v>
      </c>
      <c r="W88" t="str">
        <f t="shared" si="22"/>
        <v>Normal</v>
      </c>
      <c r="X88" t="str">
        <f t="shared" si="23"/>
        <v>Allowed</v>
      </c>
    </row>
    <row r="89" spans="1:24" x14ac:dyDescent="0.3">
      <c r="A89" t="s">
        <v>10</v>
      </c>
      <c r="B89" t="s">
        <v>11</v>
      </c>
      <c r="C89" t="s">
        <v>19</v>
      </c>
      <c r="D89" s="3">
        <v>45747</v>
      </c>
      <c r="E89" s="6">
        <v>0.10163339382940111</v>
      </c>
      <c r="F89">
        <v>0</v>
      </c>
      <c r="G89" t="s">
        <v>13</v>
      </c>
      <c r="H89" s="6">
        <v>0.1</v>
      </c>
      <c r="I89" s="8">
        <v>7.5700746118168585E-2</v>
      </c>
      <c r="J89" s="5">
        <f t="shared" si="12"/>
        <v>-3.0570725046180952E-3</v>
      </c>
      <c r="K89" s="5" cm="1">
        <f t="array" ref="K89">_xlfn.STDEV.S(IF($C:$C=C89,$I:$I))</f>
        <v>0.17799866497296365</v>
      </c>
      <c r="L89" s="7">
        <f t="shared" si="15"/>
        <v>0.44246297372370325</v>
      </c>
      <c r="M89">
        <f t="shared" si="13"/>
        <v>0</v>
      </c>
      <c r="N89" s="9">
        <f t="shared" si="16"/>
        <v>1.6333938294011002E-2</v>
      </c>
      <c r="O89">
        <f>COUNTIFS($B$2:B89,B89,$C$2:C89,C89,$D$2:D89,"&lt;"&amp;D89,$F$2:F89,1)</f>
        <v>2</v>
      </c>
      <c r="P89">
        <f t="shared" si="14"/>
        <v>0</v>
      </c>
      <c r="Q89" t="str">
        <f t="shared" si="17"/>
        <v>Monitor</v>
      </c>
      <c r="R89">
        <v>0</v>
      </c>
      <c r="S89">
        <f t="shared" si="18"/>
        <v>0</v>
      </c>
      <c r="T89">
        <f t="shared" si="19"/>
        <v>0</v>
      </c>
      <c r="U89" t="str">
        <f t="shared" si="20"/>
        <v>Improved Enough</v>
      </c>
      <c r="V89" t="str">
        <f t="shared" si="21"/>
        <v>Close</v>
      </c>
      <c r="W89" t="str">
        <f t="shared" si="22"/>
        <v>Normal</v>
      </c>
      <c r="X89" t="str">
        <f t="shared" si="23"/>
        <v>Allowed</v>
      </c>
    </row>
    <row r="90" spans="1:24" x14ac:dyDescent="0.3">
      <c r="A90" t="s">
        <v>10</v>
      </c>
      <c r="B90" t="s">
        <v>11</v>
      </c>
      <c r="C90" t="s">
        <v>19</v>
      </c>
      <c r="D90" s="3">
        <v>45777</v>
      </c>
      <c r="E90" s="6">
        <v>0.1083684527393137</v>
      </c>
      <c r="F90">
        <v>0</v>
      </c>
      <c r="G90" t="s">
        <v>13</v>
      </c>
      <c r="H90" s="6">
        <v>0.1</v>
      </c>
      <c r="I90" s="8">
        <v>-6.6268168917175671E-2</v>
      </c>
      <c r="J90" s="5">
        <f t="shared" si="12"/>
        <v>-3.0570725046180952E-3</v>
      </c>
      <c r="K90" s="5" cm="1">
        <f t="array" ref="K90">_xlfn.STDEV.S(IF($C:$C=C90,$I:$I))</f>
        <v>0.17799866497296365</v>
      </c>
      <c r="L90" s="7">
        <f t="shared" si="15"/>
        <v>-0.35512118263448078</v>
      </c>
      <c r="M90">
        <f t="shared" si="13"/>
        <v>0</v>
      </c>
      <c r="N90" s="9">
        <f t="shared" si="16"/>
        <v>8.368452739313692E-2</v>
      </c>
      <c r="O90">
        <f>COUNTIFS($B$2:B90,B90,$C$2:C90,C90,$D$2:D90,"&lt;"&amp;D90,$F$2:F90,1)</f>
        <v>2</v>
      </c>
      <c r="P90">
        <f t="shared" si="14"/>
        <v>0</v>
      </c>
      <c r="Q90" t="str">
        <f t="shared" si="17"/>
        <v>Monitor</v>
      </c>
      <c r="R90">
        <v>0</v>
      </c>
      <c r="S90">
        <f t="shared" si="18"/>
        <v>0</v>
      </c>
      <c r="T90">
        <f t="shared" si="19"/>
        <v>0</v>
      </c>
      <c r="U90" t="str">
        <f t="shared" si="20"/>
        <v>Not Improved Enough</v>
      </c>
      <c r="V90" t="str">
        <f t="shared" si="21"/>
        <v>Far</v>
      </c>
      <c r="W90" t="str">
        <f t="shared" si="22"/>
        <v>Normal</v>
      </c>
      <c r="X90" t="str">
        <f t="shared" si="23"/>
        <v>Allowed</v>
      </c>
    </row>
    <row r="91" spans="1:24" x14ac:dyDescent="0.3">
      <c r="A91" t="s">
        <v>10</v>
      </c>
      <c r="B91" t="s">
        <v>11</v>
      </c>
      <c r="C91" t="s">
        <v>19</v>
      </c>
      <c r="D91" s="3">
        <v>45808</v>
      </c>
      <c r="E91" s="6">
        <v>0.1003584229390681</v>
      </c>
      <c r="F91">
        <v>0</v>
      </c>
      <c r="G91" t="s">
        <v>13</v>
      </c>
      <c r="H91" s="6">
        <v>0.1</v>
      </c>
      <c r="I91" s="8">
        <v>7.3914774990044035E-2</v>
      </c>
      <c r="J91" s="5">
        <f t="shared" si="12"/>
        <v>-3.0570725046180952E-3</v>
      </c>
      <c r="K91" s="5" cm="1">
        <f t="array" ref="K91">_xlfn.STDEV.S(IF($C:$C=C91,$I:$I))</f>
        <v>0.17799866497296365</v>
      </c>
      <c r="L91" s="7">
        <f t="shared" si="15"/>
        <v>0.43242935280640132</v>
      </c>
      <c r="M91">
        <f t="shared" si="13"/>
        <v>0</v>
      </c>
      <c r="N91" s="9">
        <f t="shared" si="16"/>
        <v>3.5842293906809819E-3</v>
      </c>
      <c r="O91">
        <f>COUNTIFS($B$2:B91,B91,$C$2:C91,C91,$D$2:D91,"&lt;"&amp;D91,$F$2:F91,1)</f>
        <v>2</v>
      </c>
      <c r="P91">
        <f t="shared" si="14"/>
        <v>0</v>
      </c>
      <c r="Q91" t="str">
        <f t="shared" si="17"/>
        <v>Monitor</v>
      </c>
      <c r="R91">
        <v>0</v>
      </c>
      <c r="S91">
        <f t="shared" si="18"/>
        <v>0</v>
      </c>
      <c r="T91">
        <f t="shared" si="19"/>
        <v>0</v>
      </c>
      <c r="U91" t="str">
        <f t="shared" si="20"/>
        <v>Improved Enough</v>
      </c>
      <c r="V91" t="str">
        <f t="shared" si="21"/>
        <v>Close</v>
      </c>
      <c r="W91" t="str">
        <f t="shared" si="22"/>
        <v>Normal</v>
      </c>
      <c r="X91" t="str">
        <f t="shared" si="23"/>
        <v>Allowed</v>
      </c>
    </row>
    <row r="92" spans="1:24" x14ac:dyDescent="0.3">
      <c r="A92" t="s">
        <v>10</v>
      </c>
      <c r="B92" t="s">
        <v>11</v>
      </c>
      <c r="C92" t="s">
        <v>19</v>
      </c>
      <c r="D92" s="3">
        <v>45838</v>
      </c>
      <c r="E92" s="6">
        <v>0.1124586549062845</v>
      </c>
      <c r="F92">
        <v>0</v>
      </c>
      <c r="G92" t="s">
        <v>13</v>
      </c>
      <c r="H92" s="6">
        <v>0.1</v>
      </c>
      <c r="I92" s="8">
        <v>-0.1205701685304776</v>
      </c>
      <c r="J92" s="5">
        <f t="shared" si="12"/>
        <v>-3.0570725046180952E-3</v>
      </c>
      <c r="K92" s="5" cm="1">
        <f t="array" ref="K92">_xlfn.STDEV.S(IF($C:$C=C92,$I:$I))</f>
        <v>0.17799866497296365</v>
      </c>
      <c r="L92" s="7">
        <f t="shared" si="15"/>
        <v>-0.66019088426145589</v>
      </c>
      <c r="M92">
        <f t="shared" si="13"/>
        <v>1</v>
      </c>
      <c r="N92" s="9">
        <f t="shared" si="16"/>
        <v>0.12458654906284491</v>
      </c>
      <c r="O92">
        <f>COUNTIFS($B$2:B92,B92,$C$2:C92,C92,$D$2:D92,"&lt;"&amp;D92,$F$2:F92,1)</f>
        <v>2</v>
      </c>
      <c r="P92">
        <f t="shared" si="14"/>
        <v>0</v>
      </c>
      <c r="Q92" t="str">
        <f t="shared" si="17"/>
        <v>Intervene</v>
      </c>
      <c r="R92">
        <v>0</v>
      </c>
      <c r="S92">
        <f t="shared" si="18"/>
        <v>1</v>
      </c>
      <c r="T92">
        <f t="shared" si="19"/>
        <v>1</v>
      </c>
      <c r="U92" t="str">
        <f t="shared" si="20"/>
        <v>Not Improved Enough</v>
      </c>
      <c r="V92" t="str">
        <f t="shared" si="21"/>
        <v>Far</v>
      </c>
      <c r="W92" t="str">
        <f t="shared" si="22"/>
        <v>Abnormal</v>
      </c>
      <c r="X92" t="str">
        <f t="shared" si="23"/>
        <v>Allowed</v>
      </c>
    </row>
    <row r="93" spans="1:24" x14ac:dyDescent="0.3">
      <c r="A93" t="s">
        <v>10</v>
      </c>
      <c r="B93" t="s">
        <v>11</v>
      </c>
      <c r="C93" t="s">
        <v>19</v>
      </c>
      <c r="D93" s="3">
        <v>45869</v>
      </c>
      <c r="E93" s="6">
        <v>0.1097932904100305</v>
      </c>
      <c r="F93">
        <v>0</v>
      </c>
      <c r="G93" t="s">
        <v>13</v>
      </c>
      <c r="H93" s="6">
        <v>0.1</v>
      </c>
      <c r="I93" s="8">
        <v>2.370083919708213E-2</v>
      </c>
      <c r="J93" s="5">
        <f t="shared" si="12"/>
        <v>-3.0570725046180952E-3</v>
      </c>
      <c r="K93" s="5" cm="1">
        <f t="array" ref="K93">_xlfn.STDEV.S(IF($C:$C=C93,$I:$I))</f>
        <v>0.17799866497296365</v>
      </c>
      <c r="L93" s="7">
        <f t="shared" si="15"/>
        <v>0.15032647411015415</v>
      </c>
      <c r="M93">
        <f t="shared" si="13"/>
        <v>0</v>
      </c>
      <c r="N93" s="9">
        <f t="shared" si="16"/>
        <v>9.7932904100304918E-2</v>
      </c>
      <c r="O93">
        <f>COUNTIFS($B$2:B93,B93,$C$2:C93,C93,$D$2:D93,"&lt;"&amp;D93,$F$2:F93,1)</f>
        <v>2</v>
      </c>
      <c r="P93">
        <f t="shared" si="14"/>
        <v>0</v>
      </c>
      <c r="Q93" t="str">
        <f t="shared" si="17"/>
        <v>Monitor</v>
      </c>
      <c r="R93">
        <v>0</v>
      </c>
      <c r="S93">
        <f t="shared" si="18"/>
        <v>0</v>
      </c>
      <c r="T93">
        <f t="shared" si="19"/>
        <v>0</v>
      </c>
      <c r="U93" t="str">
        <f t="shared" si="20"/>
        <v>Improved Enough</v>
      </c>
      <c r="V93" t="str">
        <f t="shared" si="21"/>
        <v>Far</v>
      </c>
      <c r="W93" t="str">
        <f t="shared" si="22"/>
        <v>Normal</v>
      </c>
      <c r="X93" t="str">
        <f t="shared" si="23"/>
        <v>Allowed</v>
      </c>
    </row>
    <row r="94" spans="1:24" x14ac:dyDescent="0.3">
      <c r="A94" t="s">
        <v>10</v>
      </c>
      <c r="B94" t="s">
        <v>11</v>
      </c>
      <c r="C94" t="s">
        <v>19</v>
      </c>
      <c r="D94" s="3">
        <v>45900</v>
      </c>
      <c r="E94" s="6">
        <v>0.1174089068825911</v>
      </c>
      <c r="F94">
        <v>0</v>
      </c>
      <c r="G94" t="s">
        <v>13</v>
      </c>
      <c r="H94" s="6">
        <v>0.1</v>
      </c>
      <c r="I94" s="8">
        <v>-6.9363222871994909E-2</v>
      </c>
      <c r="J94" s="5">
        <f t="shared" si="12"/>
        <v>-3.0570725046180952E-3</v>
      </c>
      <c r="K94" s="5" cm="1">
        <f t="array" ref="K94">_xlfn.STDEV.S(IF($C:$C=C94,$I:$I))</f>
        <v>0.17799866497296365</v>
      </c>
      <c r="L94" s="7">
        <f t="shared" si="15"/>
        <v>-0.37250925661407691</v>
      </c>
      <c r="M94">
        <f t="shared" si="13"/>
        <v>0</v>
      </c>
      <c r="N94" s="9">
        <f t="shared" si="16"/>
        <v>0.17408906882591099</v>
      </c>
      <c r="O94">
        <f>COUNTIFS($B$2:B94,B94,$C$2:C94,C94,$D$2:D94,"&lt;"&amp;D94,$F$2:F94,1)</f>
        <v>2</v>
      </c>
      <c r="P94">
        <f t="shared" si="14"/>
        <v>0</v>
      </c>
      <c r="Q94" t="str">
        <f t="shared" si="17"/>
        <v>Monitor</v>
      </c>
      <c r="R94">
        <v>0</v>
      </c>
      <c r="S94">
        <f t="shared" si="18"/>
        <v>0</v>
      </c>
      <c r="T94">
        <f t="shared" si="19"/>
        <v>0</v>
      </c>
      <c r="U94" t="str">
        <f t="shared" si="20"/>
        <v>Not Improved Enough</v>
      </c>
      <c r="V94" t="str">
        <f t="shared" si="21"/>
        <v>Far</v>
      </c>
      <c r="W94" t="str">
        <f t="shared" si="22"/>
        <v>Normal</v>
      </c>
      <c r="X94" t="str">
        <f t="shared" si="23"/>
        <v>Allowed</v>
      </c>
    </row>
    <row r="95" spans="1:24" x14ac:dyDescent="0.3">
      <c r="A95" t="s">
        <v>10</v>
      </c>
      <c r="B95" t="s">
        <v>11</v>
      </c>
      <c r="C95" t="s">
        <v>19</v>
      </c>
      <c r="D95" s="3">
        <v>45930</v>
      </c>
      <c r="E95" s="6">
        <v>0.1086883596108688</v>
      </c>
      <c r="F95">
        <v>0</v>
      </c>
      <c r="G95" t="s">
        <v>13</v>
      </c>
      <c r="H95" s="6">
        <v>0.1</v>
      </c>
      <c r="I95" s="8">
        <v>7.4275006072945154E-2</v>
      </c>
      <c r="J95" s="5">
        <f t="shared" si="12"/>
        <v>-3.0570725046180952E-3</v>
      </c>
      <c r="K95" s="5" cm="1">
        <f t="array" ref="K95">_xlfn.STDEV.S(IF($C:$C=C95,$I:$I))</f>
        <v>0.17799866497296365</v>
      </c>
      <c r="L95" s="7">
        <f t="shared" si="15"/>
        <v>0.43445313811375647</v>
      </c>
      <c r="M95">
        <f t="shared" si="13"/>
        <v>0</v>
      </c>
      <c r="N95" s="9">
        <f t="shared" si="16"/>
        <v>8.6883596108687927E-2</v>
      </c>
      <c r="O95">
        <f>COUNTIFS($B$2:B95,B95,$C$2:C95,C95,$D$2:D95,"&lt;"&amp;D95,$F$2:F95,1)</f>
        <v>2</v>
      </c>
      <c r="P95">
        <f t="shared" si="14"/>
        <v>0</v>
      </c>
      <c r="Q95" t="str">
        <f t="shared" si="17"/>
        <v>Monitor</v>
      </c>
      <c r="R95">
        <v>0</v>
      </c>
      <c r="S95">
        <f t="shared" si="18"/>
        <v>0</v>
      </c>
      <c r="T95">
        <f t="shared" si="19"/>
        <v>0</v>
      </c>
      <c r="U95" t="str">
        <f t="shared" si="20"/>
        <v>Improved Enough</v>
      </c>
      <c r="V95" t="str">
        <f t="shared" si="21"/>
        <v>Far</v>
      </c>
      <c r="W95" t="str">
        <f t="shared" si="22"/>
        <v>Normal</v>
      </c>
      <c r="X95" t="str">
        <f t="shared" si="23"/>
        <v>Allowed</v>
      </c>
    </row>
    <row r="96" spans="1:24" x14ac:dyDescent="0.3">
      <c r="A96" t="s">
        <v>10</v>
      </c>
      <c r="B96" t="s">
        <v>11</v>
      </c>
      <c r="C96" t="s">
        <v>19</v>
      </c>
      <c r="D96" s="3">
        <v>45961</v>
      </c>
      <c r="E96" s="6">
        <v>9.5744680851063829E-2</v>
      </c>
      <c r="F96">
        <v>0</v>
      </c>
      <c r="G96" t="s">
        <v>13</v>
      </c>
      <c r="H96" s="6">
        <v>0.1</v>
      </c>
      <c r="I96" s="8">
        <v>0.1190898345153661</v>
      </c>
      <c r="J96" s="5">
        <f t="shared" si="12"/>
        <v>-3.0570725046180952E-3</v>
      </c>
      <c r="K96" s="5" cm="1">
        <f t="array" ref="K96">_xlfn.STDEV.S(IF($C:$C=C96,$I:$I))</f>
        <v>0.17799866497296365</v>
      </c>
      <c r="L96" s="7">
        <f t="shared" si="15"/>
        <v>0.68622372554612798</v>
      </c>
      <c r="M96">
        <f t="shared" si="13"/>
        <v>-1</v>
      </c>
      <c r="N96" s="9">
        <f t="shared" si="16"/>
        <v>-4.2553191489361764E-2</v>
      </c>
      <c r="O96">
        <f>COUNTIFS($B$2:B96,B96,$C$2:C96,C96,$D$2:D96,"&lt;"&amp;D96,$F$2:F96,1)</f>
        <v>2</v>
      </c>
      <c r="P96">
        <f t="shared" si="14"/>
        <v>0</v>
      </c>
      <c r="Q96" t="str">
        <f t="shared" si="17"/>
        <v>Monitor</v>
      </c>
      <c r="R96">
        <v>0</v>
      </c>
      <c r="S96">
        <f t="shared" si="18"/>
        <v>0</v>
      </c>
      <c r="T96">
        <f t="shared" si="19"/>
        <v>0</v>
      </c>
      <c r="U96" t="str">
        <f t="shared" si="20"/>
        <v>Improved Enough</v>
      </c>
      <c r="V96" t="str">
        <f t="shared" si="21"/>
        <v>Close</v>
      </c>
      <c r="W96" t="str">
        <f t="shared" si="22"/>
        <v>Normal</v>
      </c>
      <c r="X96" t="str">
        <f t="shared" si="23"/>
        <v>Allowed</v>
      </c>
    </row>
    <row r="97" spans="1:24" x14ac:dyDescent="0.3">
      <c r="A97" t="s">
        <v>10</v>
      </c>
      <c r="B97" t="s">
        <v>11</v>
      </c>
      <c r="C97" t="s">
        <v>19</v>
      </c>
      <c r="D97" s="3">
        <v>45991</v>
      </c>
      <c r="E97" s="6">
        <v>9.3859211183225169E-2</v>
      </c>
      <c r="F97">
        <v>0</v>
      </c>
      <c r="G97" t="s">
        <v>13</v>
      </c>
      <c r="H97" s="6">
        <v>0.1</v>
      </c>
      <c r="I97" s="8">
        <v>1.9692683197426009E-2</v>
      </c>
      <c r="J97" s="5">
        <f t="shared" si="12"/>
        <v>-3.0570725046180952E-3</v>
      </c>
      <c r="K97" s="5" cm="1">
        <f t="array" ref="K97">_xlfn.STDEV.S(IF($C:$C=C97,$I:$I))</f>
        <v>0.17799866497296365</v>
      </c>
      <c r="L97" s="7">
        <f t="shared" si="15"/>
        <v>0.12780857488734301</v>
      </c>
      <c r="M97">
        <f t="shared" si="13"/>
        <v>0</v>
      </c>
      <c r="N97" s="9">
        <f t="shared" si="16"/>
        <v>-6.1407888167748365E-2</v>
      </c>
      <c r="O97">
        <f>COUNTIFS($B$2:B97,B97,$C$2:C97,C97,$D$2:D97,"&lt;"&amp;D97,$F$2:F97,1)</f>
        <v>2</v>
      </c>
      <c r="P97">
        <f t="shared" si="14"/>
        <v>0</v>
      </c>
      <c r="Q97" t="str">
        <f t="shared" si="17"/>
        <v>Monitor</v>
      </c>
      <c r="R97">
        <v>0</v>
      </c>
      <c r="S97">
        <f t="shared" si="18"/>
        <v>0</v>
      </c>
      <c r="T97">
        <f t="shared" si="19"/>
        <v>0</v>
      </c>
      <c r="U97" t="str">
        <f t="shared" si="20"/>
        <v>Improved Enough</v>
      </c>
      <c r="V97" t="str">
        <f t="shared" si="21"/>
        <v>Close</v>
      </c>
      <c r="W97" t="str">
        <f t="shared" si="22"/>
        <v>Normal</v>
      </c>
      <c r="X97" t="str">
        <f t="shared" si="23"/>
        <v>Allowed</v>
      </c>
    </row>
    <row r="98" spans="1:24" x14ac:dyDescent="0.3">
      <c r="A98" t="s">
        <v>20</v>
      </c>
      <c r="B98" t="s">
        <v>11</v>
      </c>
      <c r="C98" t="s">
        <v>21</v>
      </c>
      <c r="D98" s="3">
        <v>45535</v>
      </c>
      <c r="E98" s="6">
        <v>0.45800000000000002</v>
      </c>
      <c r="F98">
        <v>0</v>
      </c>
      <c r="G98" t="s">
        <v>13</v>
      </c>
      <c r="H98" s="6">
        <v>0.59</v>
      </c>
      <c r="I98" s="8">
        <v>4.9792531120331877E-2</v>
      </c>
      <c r="J98" s="5">
        <f t="shared" si="12"/>
        <v>-4.8849805534298088E-2</v>
      </c>
      <c r="K98" s="5" cm="1">
        <f t="array" ref="K98">_xlfn.STDEV.S(IF($C:$C=C98,$I:$I))</f>
        <v>0.44966933193859487</v>
      </c>
      <c r="L98" s="7">
        <f t="shared" si="15"/>
        <v>0.21936638691673147</v>
      </c>
      <c r="M98">
        <f t="shared" si="13"/>
        <v>0</v>
      </c>
      <c r="N98" s="9">
        <f t="shared" si="16"/>
        <v>-0.22372881355932195</v>
      </c>
      <c r="O98">
        <f>COUNTIFS($B$2:B98,B98,$C$2:C98,C98,$D$2:D98,"&lt;"&amp;D98,$F$2:F98,1)</f>
        <v>0</v>
      </c>
      <c r="P98">
        <f t="shared" si="14"/>
        <v>0</v>
      </c>
      <c r="Q98" t="str">
        <f t="shared" si="17"/>
        <v>Monitor</v>
      </c>
      <c r="R98">
        <v>0</v>
      </c>
      <c r="S98">
        <f t="shared" si="18"/>
        <v>0</v>
      </c>
      <c r="T98">
        <f t="shared" si="19"/>
        <v>0</v>
      </c>
      <c r="U98" t="str">
        <f t="shared" si="20"/>
        <v>Improved Enough</v>
      </c>
      <c r="V98" t="str">
        <f t="shared" si="21"/>
        <v>Close</v>
      </c>
      <c r="W98" t="str">
        <f t="shared" si="22"/>
        <v>Normal</v>
      </c>
      <c r="X98" t="str">
        <f t="shared" si="23"/>
        <v>Allowed</v>
      </c>
    </row>
    <row r="99" spans="1:24" x14ac:dyDescent="0.3">
      <c r="A99" t="s">
        <v>20</v>
      </c>
      <c r="B99" t="s">
        <v>11</v>
      </c>
      <c r="C99" t="s">
        <v>21</v>
      </c>
      <c r="D99" s="3">
        <v>45565</v>
      </c>
      <c r="E99" s="6">
        <v>0.57299999999999995</v>
      </c>
      <c r="F99">
        <v>0</v>
      </c>
      <c r="G99" t="s">
        <v>13</v>
      </c>
      <c r="H99" s="6">
        <v>0.59</v>
      </c>
      <c r="I99" s="8">
        <v>-0.25109170305676842</v>
      </c>
      <c r="J99" s="5">
        <f t="shared" si="12"/>
        <v>-4.8849805534298088E-2</v>
      </c>
      <c r="K99" s="5" cm="1">
        <f t="array" ref="K99">_xlfn.STDEV.S(IF($C:$C=C99,$I:$I))</f>
        <v>0.44966933193859487</v>
      </c>
      <c r="L99" s="7">
        <f t="shared" si="15"/>
        <v>-0.44975692838685233</v>
      </c>
      <c r="M99">
        <f t="shared" si="13"/>
        <v>0</v>
      </c>
      <c r="N99" s="9">
        <f t="shared" si="16"/>
        <v>-2.8813559322033926E-2</v>
      </c>
      <c r="O99">
        <f>COUNTIFS($B$2:B99,B99,$C$2:C99,C99,$D$2:D99,"&lt;"&amp;D99,$F$2:F99,1)</f>
        <v>0</v>
      </c>
      <c r="P99">
        <f t="shared" si="14"/>
        <v>0</v>
      </c>
      <c r="Q99" t="str">
        <f t="shared" si="17"/>
        <v>Monitor</v>
      </c>
      <c r="R99">
        <v>0</v>
      </c>
      <c r="S99">
        <f t="shared" si="18"/>
        <v>0</v>
      </c>
      <c r="T99">
        <f t="shared" si="19"/>
        <v>0</v>
      </c>
      <c r="U99" t="str">
        <f t="shared" si="20"/>
        <v>Not Improved Enough</v>
      </c>
      <c r="V99" t="str">
        <f t="shared" si="21"/>
        <v>Close</v>
      </c>
      <c r="W99" t="str">
        <f t="shared" si="22"/>
        <v>Normal</v>
      </c>
      <c r="X99" t="str">
        <f t="shared" si="23"/>
        <v>Allowed</v>
      </c>
    </row>
    <row r="100" spans="1:24" x14ac:dyDescent="0.3">
      <c r="A100" t="s">
        <v>20</v>
      </c>
      <c r="B100" t="s">
        <v>11</v>
      </c>
      <c r="C100" t="s">
        <v>21</v>
      </c>
      <c r="D100" s="3">
        <v>45596</v>
      </c>
      <c r="E100" s="6">
        <v>0.63</v>
      </c>
      <c r="F100">
        <v>0</v>
      </c>
      <c r="G100" t="s">
        <v>13</v>
      </c>
      <c r="H100" s="6">
        <v>0.59</v>
      </c>
      <c r="I100" s="8">
        <v>-9.9476439790576007E-2</v>
      </c>
      <c r="J100" s="5">
        <f t="shared" si="12"/>
        <v>-4.8849805534298088E-2</v>
      </c>
      <c r="K100" s="5" cm="1">
        <f t="array" ref="K100">_xlfn.STDEV.S(IF($C:$C=C100,$I:$I))</f>
        <v>0.44966933193859487</v>
      </c>
      <c r="L100" s="7">
        <f t="shared" si="15"/>
        <v>-0.11258636215642853</v>
      </c>
      <c r="M100">
        <f t="shared" si="13"/>
        <v>0</v>
      </c>
      <c r="N100" s="9">
        <f t="shared" si="16"/>
        <v>6.7796610169491595E-2</v>
      </c>
      <c r="O100">
        <f>COUNTIFS($B$2:B100,B100,$C$2:C100,C100,$D$2:D100,"&lt;"&amp;D100,$F$2:F100,1)</f>
        <v>0</v>
      </c>
      <c r="P100">
        <f t="shared" si="14"/>
        <v>0</v>
      </c>
      <c r="Q100" t="str">
        <f t="shared" si="17"/>
        <v>Monitor</v>
      </c>
      <c r="R100">
        <v>0</v>
      </c>
      <c r="S100">
        <f t="shared" si="18"/>
        <v>0</v>
      </c>
      <c r="T100">
        <f t="shared" si="19"/>
        <v>0</v>
      </c>
      <c r="U100" t="str">
        <f t="shared" si="20"/>
        <v>Not Improved Enough</v>
      </c>
      <c r="V100" t="str">
        <f t="shared" si="21"/>
        <v>Far</v>
      </c>
      <c r="W100" t="str">
        <f t="shared" si="22"/>
        <v>Normal</v>
      </c>
      <c r="X100" t="str">
        <f t="shared" si="23"/>
        <v>Allowed</v>
      </c>
    </row>
    <row r="101" spans="1:24" x14ac:dyDescent="0.3">
      <c r="A101" t="s">
        <v>20</v>
      </c>
      <c r="B101" t="s">
        <v>11</v>
      </c>
      <c r="C101" t="s">
        <v>21</v>
      </c>
      <c r="D101" s="3">
        <v>45626</v>
      </c>
      <c r="E101" s="6">
        <v>0.61</v>
      </c>
      <c r="F101">
        <v>0</v>
      </c>
      <c r="G101" t="s">
        <v>13</v>
      </c>
      <c r="H101" s="6">
        <v>0.59</v>
      </c>
      <c r="I101" s="8">
        <v>3.1746031746031772E-2</v>
      </c>
      <c r="J101" s="5">
        <f t="shared" si="12"/>
        <v>-4.8849805534298088E-2</v>
      </c>
      <c r="K101" s="5" cm="1">
        <f t="array" ref="K101">_xlfn.STDEV.S(IF($C:$C=C101,$I:$I))</f>
        <v>0.44966933193859487</v>
      </c>
      <c r="L101" s="7">
        <f t="shared" si="15"/>
        <v>0.17923356465709722</v>
      </c>
      <c r="M101">
        <f t="shared" si="13"/>
        <v>0</v>
      </c>
      <c r="N101" s="9">
        <f t="shared" si="16"/>
        <v>3.3898305084745797E-2</v>
      </c>
      <c r="O101">
        <f>COUNTIFS($B$2:B101,B101,$C$2:C101,C101,$D$2:D101,"&lt;"&amp;D101,$F$2:F101,1)</f>
        <v>0</v>
      </c>
      <c r="P101">
        <f t="shared" si="14"/>
        <v>0</v>
      </c>
      <c r="Q101" t="str">
        <f t="shared" si="17"/>
        <v>Monitor</v>
      </c>
      <c r="R101">
        <v>0</v>
      </c>
      <c r="S101">
        <f t="shared" si="18"/>
        <v>0</v>
      </c>
      <c r="T101">
        <f t="shared" si="19"/>
        <v>0</v>
      </c>
      <c r="U101" t="str">
        <f t="shared" si="20"/>
        <v>Improved Enough</v>
      </c>
      <c r="V101" t="str">
        <f t="shared" si="21"/>
        <v>Far</v>
      </c>
      <c r="W101" t="str">
        <f t="shared" si="22"/>
        <v>Normal</v>
      </c>
      <c r="X101" t="str">
        <f t="shared" si="23"/>
        <v>Allowed</v>
      </c>
    </row>
    <row r="102" spans="1:24" x14ac:dyDescent="0.3">
      <c r="A102" t="s">
        <v>20</v>
      </c>
      <c r="B102" t="s">
        <v>11</v>
      </c>
      <c r="C102" t="s">
        <v>21</v>
      </c>
      <c r="D102" s="3">
        <v>45657</v>
      </c>
      <c r="E102" s="6">
        <v>0.59</v>
      </c>
      <c r="F102">
        <v>0</v>
      </c>
      <c r="G102" t="s">
        <v>13</v>
      </c>
      <c r="H102" s="6">
        <v>0.59</v>
      </c>
      <c r="I102" s="8">
        <v>3.2786885245901669E-2</v>
      </c>
      <c r="J102" s="5">
        <f t="shared" si="12"/>
        <v>-4.8849805534298088E-2</v>
      </c>
      <c r="K102" s="5" cm="1">
        <f t="array" ref="K102">_xlfn.STDEV.S(IF($C:$C=C102,$I:$I))</f>
        <v>0.44966933193859487</v>
      </c>
      <c r="L102" s="7">
        <f t="shared" si="15"/>
        <v>0.18154827332398052</v>
      </c>
      <c r="M102">
        <f t="shared" si="13"/>
        <v>0</v>
      </c>
      <c r="N102" s="9">
        <f t="shared" si="16"/>
        <v>0</v>
      </c>
      <c r="O102">
        <f>COUNTIFS($B$2:B102,B102,$C$2:C102,C102,$D$2:D102,"&lt;"&amp;D102,$F$2:F102,1)</f>
        <v>0</v>
      </c>
      <c r="P102">
        <f t="shared" si="14"/>
        <v>0</v>
      </c>
      <c r="Q102" t="str">
        <f t="shared" si="17"/>
        <v>Monitor</v>
      </c>
      <c r="R102">
        <v>0</v>
      </c>
      <c r="S102">
        <f t="shared" si="18"/>
        <v>0</v>
      </c>
      <c r="T102">
        <f t="shared" si="19"/>
        <v>0</v>
      </c>
      <c r="U102" t="str">
        <f t="shared" si="20"/>
        <v>Improved Enough</v>
      </c>
      <c r="V102" t="str">
        <f t="shared" si="21"/>
        <v>Close</v>
      </c>
      <c r="W102" t="str">
        <f t="shared" si="22"/>
        <v>Normal</v>
      </c>
      <c r="X102" t="str">
        <f t="shared" si="23"/>
        <v>Allowed</v>
      </c>
    </row>
    <row r="103" spans="1:24" x14ac:dyDescent="0.3">
      <c r="A103" t="s">
        <v>20</v>
      </c>
      <c r="B103" t="s">
        <v>11</v>
      </c>
      <c r="C103" t="s">
        <v>21</v>
      </c>
      <c r="D103" s="3">
        <v>45688</v>
      </c>
      <c r="E103" s="6">
        <v>0.62</v>
      </c>
      <c r="F103">
        <v>0</v>
      </c>
      <c r="G103" t="s">
        <v>13</v>
      </c>
      <c r="H103" s="6">
        <v>0.59</v>
      </c>
      <c r="I103" s="8">
        <v>-5.0847457627118689E-2</v>
      </c>
      <c r="J103" s="5">
        <f t="shared" si="12"/>
        <v>-4.8849805534298088E-2</v>
      </c>
      <c r="K103" s="5" cm="1">
        <f t="array" ref="K103">_xlfn.STDEV.S(IF($C:$C=C103,$I:$I))</f>
        <v>0.44966933193859487</v>
      </c>
      <c r="L103" s="7">
        <f t="shared" si="15"/>
        <v>-4.4424912951221513E-3</v>
      </c>
      <c r="M103">
        <f t="shared" si="13"/>
        <v>0</v>
      </c>
      <c r="N103" s="9">
        <f t="shared" si="16"/>
        <v>5.0847457627118689E-2</v>
      </c>
      <c r="O103">
        <f>COUNTIFS($B$2:B103,B103,$C$2:C103,C103,$D$2:D103,"&lt;"&amp;D103,$F$2:F103,1)</f>
        <v>0</v>
      </c>
      <c r="P103">
        <f t="shared" si="14"/>
        <v>0</v>
      </c>
      <c r="Q103" t="str">
        <f t="shared" si="17"/>
        <v>Monitor</v>
      </c>
      <c r="R103">
        <v>0</v>
      </c>
      <c r="S103">
        <f t="shared" si="18"/>
        <v>0</v>
      </c>
      <c r="T103">
        <f t="shared" si="19"/>
        <v>0</v>
      </c>
      <c r="U103" t="str">
        <f t="shared" si="20"/>
        <v>Not Improved Enough</v>
      </c>
      <c r="V103" t="str">
        <f t="shared" si="21"/>
        <v>Far</v>
      </c>
      <c r="W103" t="str">
        <f t="shared" si="22"/>
        <v>Normal</v>
      </c>
      <c r="X103" t="str">
        <f t="shared" si="23"/>
        <v>Allowed</v>
      </c>
    </row>
    <row r="104" spans="1:24" x14ac:dyDescent="0.3">
      <c r="A104" t="s">
        <v>20</v>
      </c>
      <c r="B104" t="s">
        <v>11</v>
      </c>
      <c r="C104" t="s">
        <v>21</v>
      </c>
      <c r="D104" s="3">
        <v>45716</v>
      </c>
      <c r="E104" s="6">
        <v>0.61</v>
      </c>
      <c r="F104">
        <v>0</v>
      </c>
      <c r="G104" t="s">
        <v>13</v>
      </c>
      <c r="H104" s="6">
        <v>0.59</v>
      </c>
      <c r="I104" s="8">
        <v>1.612903225806453E-2</v>
      </c>
      <c r="J104" s="5">
        <f t="shared" si="12"/>
        <v>-4.8849805534298088E-2</v>
      </c>
      <c r="K104" s="5" cm="1">
        <f t="array" ref="K104">_xlfn.STDEV.S(IF($C:$C=C104,$I:$I))</f>
        <v>0.44966933193859487</v>
      </c>
      <c r="L104" s="7">
        <f t="shared" si="15"/>
        <v>0.14450360115115851</v>
      </c>
      <c r="M104">
        <f t="shared" si="13"/>
        <v>0</v>
      </c>
      <c r="N104" s="9">
        <f t="shared" si="16"/>
        <v>3.3898305084745797E-2</v>
      </c>
      <c r="O104">
        <f>COUNTIFS($B$2:B104,B104,$C$2:C104,C104,$D$2:D104,"&lt;"&amp;D104,$F$2:F104,1)</f>
        <v>0</v>
      </c>
      <c r="P104">
        <f t="shared" si="14"/>
        <v>0</v>
      </c>
      <c r="Q104" t="str">
        <f t="shared" si="17"/>
        <v>Monitor</v>
      </c>
      <c r="R104">
        <v>0</v>
      </c>
      <c r="S104">
        <f t="shared" si="18"/>
        <v>0</v>
      </c>
      <c r="T104">
        <f t="shared" si="19"/>
        <v>0</v>
      </c>
      <c r="U104" t="str">
        <f t="shared" si="20"/>
        <v>Improved Enough</v>
      </c>
      <c r="V104" t="str">
        <f t="shared" si="21"/>
        <v>Far</v>
      </c>
      <c r="W104" t="str">
        <f t="shared" si="22"/>
        <v>Normal</v>
      </c>
      <c r="X104" t="str">
        <f t="shared" si="23"/>
        <v>Allowed</v>
      </c>
    </row>
    <row r="105" spans="1:24" x14ac:dyDescent="0.3">
      <c r="A105" t="s">
        <v>20</v>
      </c>
      <c r="B105" t="s">
        <v>11</v>
      </c>
      <c r="C105" t="s">
        <v>21</v>
      </c>
      <c r="D105" s="3">
        <v>45747</v>
      </c>
      <c r="E105" s="6">
        <v>0.5</v>
      </c>
      <c r="F105">
        <v>0</v>
      </c>
      <c r="G105" t="s">
        <v>13</v>
      </c>
      <c r="H105" s="6">
        <v>0.59</v>
      </c>
      <c r="I105" s="8">
        <v>0.18032786885245899</v>
      </c>
      <c r="J105" s="5">
        <f t="shared" si="12"/>
        <v>-4.8849805534298088E-2</v>
      </c>
      <c r="K105" s="5" cm="1">
        <f t="array" ref="K105">_xlfn.STDEV.S(IF($C:$C=C105,$I:$I))</f>
        <v>0.44966933193859487</v>
      </c>
      <c r="L105" s="7">
        <f t="shared" si="15"/>
        <v>0.50965822685468953</v>
      </c>
      <c r="M105">
        <f t="shared" si="13"/>
        <v>-1</v>
      </c>
      <c r="N105" s="9">
        <f t="shared" si="16"/>
        <v>-0.15254237288135589</v>
      </c>
      <c r="O105">
        <f>COUNTIFS($B$2:B105,B105,$C$2:C105,C105,$D$2:D105,"&lt;"&amp;D105,$F$2:F105,1)</f>
        <v>0</v>
      </c>
      <c r="P105">
        <f t="shared" si="14"/>
        <v>0</v>
      </c>
      <c r="Q105" t="str">
        <f t="shared" si="17"/>
        <v>Monitor</v>
      </c>
      <c r="R105">
        <v>0</v>
      </c>
      <c r="S105">
        <f t="shared" si="18"/>
        <v>0</v>
      </c>
      <c r="T105">
        <f t="shared" si="19"/>
        <v>0</v>
      </c>
      <c r="U105" t="str">
        <f t="shared" si="20"/>
        <v>Improved Enough</v>
      </c>
      <c r="V105" t="str">
        <f t="shared" si="21"/>
        <v>Close</v>
      </c>
      <c r="W105" t="str">
        <f t="shared" si="22"/>
        <v>Normal</v>
      </c>
      <c r="X105" t="str">
        <f t="shared" si="23"/>
        <v>Allowed</v>
      </c>
    </row>
    <row r="106" spans="1:24" x14ac:dyDescent="0.3">
      <c r="A106" t="s">
        <v>20</v>
      </c>
      <c r="B106" t="s">
        <v>11</v>
      </c>
      <c r="C106" t="s">
        <v>21</v>
      </c>
      <c r="D106" s="3">
        <v>45777</v>
      </c>
      <c r="E106" s="6">
        <v>0.56000000000000005</v>
      </c>
      <c r="F106">
        <v>0</v>
      </c>
      <c r="G106" t="s">
        <v>13</v>
      </c>
      <c r="H106" s="6">
        <v>0.59</v>
      </c>
      <c r="I106" s="8">
        <v>-0.12000000000000011</v>
      </c>
      <c r="J106" s="5">
        <f t="shared" si="12"/>
        <v>-4.8849805534298088E-2</v>
      </c>
      <c r="K106" s="5" cm="1">
        <f t="array" ref="K106">_xlfn.STDEV.S(IF($C:$C=C106,$I:$I))</f>
        <v>0.44966933193859487</v>
      </c>
      <c r="L106" s="7">
        <f t="shared" si="15"/>
        <v>-0.15822781188782076</v>
      </c>
      <c r="M106">
        <f t="shared" si="13"/>
        <v>0</v>
      </c>
      <c r="N106" s="9">
        <f t="shared" si="16"/>
        <v>-5.0847457627118502E-2</v>
      </c>
      <c r="O106">
        <f>COUNTIFS($B$2:B106,B106,$C$2:C106,C106,$D$2:D106,"&lt;"&amp;D106,$F$2:F106,1)</f>
        <v>0</v>
      </c>
      <c r="P106">
        <f t="shared" si="14"/>
        <v>0</v>
      </c>
      <c r="Q106" t="str">
        <f t="shared" si="17"/>
        <v>Monitor</v>
      </c>
      <c r="R106">
        <v>0</v>
      </c>
      <c r="S106">
        <f t="shared" si="18"/>
        <v>0</v>
      </c>
      <c r="T106">
        <f t="shared" si="19"/>
        <v>0</v>
      </c>
      <c r="U106" t="str">
        <f t="shared" si="20"/>
        <v>Not Improved Enough</v>
      </c>
      <c r="V106" t="str">
        <f t="shared" si="21"/>
        <v>Close</v>
      </c>
      <c r="W106" t="str">
        <f t="shared" si="22"/>
        <v>Normal</v>
      </c>
      <c r="X106" t="str">
        <f t="shared" si="23"/>
        <v>Allowed</v>
      </c>
    </row>
    <row r="107" spans="1:24" x14ac:dyDescent="0.3">
      <c r="A107" t="s">
        <v>20</v>
      </c>
      <c r="B107" t="s">
        <v>11</v>
      </c>
      <c r="C107" t="s">
        <v>21</v>
      </c>
      <c r="D107" s="3">
        <v>45808</v>
      </c>
      <c r="E107" s="6">
        <v>0.57999999999999996</v>
      </c>
      <c r="F107">
        <v>0</v>
      </c>
      <c r="G107" t="s">
        <v>13</v>
      </c>
      <c r="H107" s="6">
        <v>0.59</v>
      </c>
      <c r="I107" s="8">
        <v>-3.5714285714285553E-2</v>
      </c>
      <c r="J107" s="5">
        <f t="shared" si="12"/>
        <v>-4.8849805534298088E-2</v>
      </c>
      <c r="K107" s="5" cm="1">
        <f t="array" ref="K107">_xlfn.STDEV.S(IF($C:$C=C107,$I:$I))</f>
        <v>0.44966933193859487</v>
      </c>
      <c r="L107" s="7">
        <f t="shared" si="15"/>
        <v>2.9211509184723036E-2</v>
      </c>
      <c r="M107">
        <f t="shared" si="13"/>
        <v>0</v>
      </c>
      <c r="N107" s="9">
        <f t="shared" si="16"/>
        <v>-1.6949152542372899E-2</v>
      </c>
      <c r="O107">
        <f>COUNTIFS($B$2:B107,B107,$C$2:C107,C107,$D$2:D107,"&lt;"&amp;D107,$F$2:F107,1)</f>
        <v>0</v>
      </c>
      <c r="P107">
        <f t="shared" si="14"/>
        <v>0</v>
      </c>
      <c r="Q107" t="str">
        <f t="shared" si="17"/>
        <v>Monitor</v>
      </c>
      <c r="R107">
        <v>0</v>
      </c>
      <c r="S107">
        <f t="shared" si="18"/>
        <v>0</v>
      </c>
      <c r="T107">
        <f t="shared" si="19"/>
        <v>0</v>
      </c>
      <c r="U107" t="str">
        <f t="shared" si="20"/>
        <v>Not Improved Enough</v>
      </c>
      <c r="V107" t="str">
        <f t="shared" si="21"/>
        <v>Close</v>
      </c>
      <c r="W107" t="str">
        <f t="shared" si="22"/>
        <v>Normal</v>
      </c>
      <c r="X107" t="str">
        <f t="shared" si="23"/>
        <v>Allowed</v>
      </c>
    </row>
    <row r="108" spans="1:24" x14ac:dyDescent="0.3">
      <c r="A108" t="s">
        <v>20</v>
      </c>
      <c r="B108" t="s">
        <v>11</v>
      </c>
      <c r="C108" t="s">
        <v>21</v>
      </c>
      <c r="D108" s="3">
        <v>45838</v>
      </c>
      <c r="E108" s="6">
        <v>0.56999999999999995</v>
      </c>
      <c r="F108">
        <v>0</v>
      </c>
      <c r="G108" t="s">
        <v>13</v>
      </c>
      <c r="H108" s="6">
        <v>0.59</v>
      </c>
      <c r="I108" s="8">
        <v>1.7241379310344841E-2</v>
      </c>
      <c r="J108" s="5">
        <f t="shared" si="12"/>
        <v>-4.8849805534298088E-2</v>
      </c>
      <c r="K108" s="5" cm="1">
        <f t="array" ref="K108">_xlfn.STDEV.S(IF($C:$C=C108,$I:$I))</f>
        <v>0.44966933193859487</v>
      </c>
      <c r="L108" s="7">
        <f t="shared" si="15"/>
        <v>0.14697730120867591</v>
      </c>
      <c r="M108">
        <f t="shared" si="13"/>
        <v>0</v>
      </c>
      <c r="N108" s="9">
        <f t="shared" si="16"/>
        <v>-3.3898305084745797E-2</v>
      </c>
      <c r="O108">
        <f>COUNTIFS($B$2:B108,B108,$C$2:C108,C108,$D$2:D108,"&lt;"&amp;D108,$F$2:F108,1)</f>
        <v>0</v>
      </c>
      <c r="P108">
        <f t="shared" si="14"/>
        <v>0</v>
      </c>
      <c r="Q108" t="str">
        <f t="shared" si="17"/>
        <v>Monitor</v>
      </c>
      <c r="R108">
        <v>0</v>
      </c>
      <c r="S108">
        <f t="shared" si="18"/>
        <v>0</v>
      </c>
      <c r="T108">
        <f t="shared" si="19"/>
        <v>0</v>
      </c>
      <c r="U108" t="str">
        <f t="shared" si="20"/>
        <v>Improved Enough</v>
      </c>
      <c r="V108" t="str">
        <f t="shared" si="21"/>
        <v>Close</v>
      </c>
      <c r="W108" t="str">
        <f t="shared" si="22"/>
        <v>Normal</v>
      </c>
      <c r="X108" t="str">
        <f t="shared" si="23"/>
        <v>Allowed</v>
      </c>
    </row>
    <row r="109" spans="1:24" x14ac:dyDescent="0.3">
      <c r="A109" t="s">
        <v>20</v>
      </c>
      <c r="B109" t="s">
        <v>11</v>
      </c>
      <c r="C109" t="s">
        <v>21</v>
      </c>
      <c r="D109" s="3">
        <v>45869</v>
      </c>
      <c r="E109" s="6">
        <v>0.51</v>
      </c>
      <c r="F109">
        <v>0</v>
      </c>
      <c r="G109" t="s">
        <v>13</v>
      </c>
      <c r="H109" s="6">
        <v>0.59</v>
      </c>
      <c r="I109" s="8">
        <v>0.10526315789473679</v>
      </c>
      <c r="J109" s="5">
        <f t="shared" si="12"/>
        <v>-4.8849805534298088E-2</v>
      </c>
      <c r="K109" s="5" cm="1">
        <f t="array" ref="K109">_xlfn.STDEV.S(IF($C:$C=C109,$I:$I))</f>
        <v>0.44966933193859487</v>
      </c>
      <c r="L109" s="7">
        <f t="shared" si="15"/>
        <v>0.34272509260222345</v>
      </c>
      <c r="M109">
        <f t="shared" si="13"/>
        <v>0</v>
      </c>
      <c r="N109" s="9">
        <f t="shared" si="16"/>
        <v>-0.13559322033898299</v>
      </c>
      <c r="O109">
        <f>COUNTIFS($B$2:B109,B109,$C$2:C109,C109,$D$2:D109,"&lt;"&amp;D109,$F$2:F109,1)</f>
        <v>0</v>
      </c>
      <c r="P109">
        <f t="shared" si="14"/>
        <v>0</v>
      </c>
      <c r="Q109" t="str">
        <f t="shared" si="17"/>
        <v>Monitor</v>
      </c>
      <c r="R109">
        <v>0</v>
      </c>
      <c r="S109">
        <f t="shared" si="18"/>
        <v>0</v>
      </c>
      <c r="T109">
        <f t="shared" si="19"/>
        <v>0</v>
      </c>
      <c r="U109" t="str">
        <f t="shared" si="20"/>
        <v>Improved Enough</v>
      </c>
      <c r="V109" t="str">
        <f t="shared" si="21"/>
        <v>Close</v>
      </c>
      <c r="W109" t="str">
        <f t="shared" si="22"/>
        <v>Normal</v>
      </c>
      <c r="X109" t="str">
        <f t="shared" si="23"/>
        <v>Allowed</v>
      </c>
    </row>
    <row r="110" spans="1:24" x14ac:dyDescent="0.3">
      <c r="A110" t="s">
        <v>20</v>
      </c>
      <c r="B110" t="s">
        <v>11</v>
      </c>
      <c r="C110" t="s">
        <v>21</v>
      </c>
      <c r="D110" s="3">
        <v>45900</v>
      </c>
      <c r="E110" s="6">
        <v>0.48</v>
      </c>
      <c r="F110">
        <v>0</v>
      </c>
      <c r="G110" t="s">
        <v>13</v>
      </c>
      <c r="H110" s="6">
        <v>0.59</v>
      </c>
      <c r="I110" s="8">
        <v>5.8823529411764747E-2</v>
      </c>
      <c r="J110" s="5">
        <f t="shared" si="12"/>
        <v>-4.8849805534298088E-2</v>
      </c>
      <c r="K110" s="5" cm="1">
        <f t="array" ref="K110">_xlfn.STDEV.S(IF($C:$C=C110,$I:$I))</f>
        <v>0.44966933193859487</v>
      </c>
      <c r="L110" s="7">
        <f t="shared" si="15"/>
        <v>0.23945002982939984</v>
      </c>
      <c r="M110">
        <f t="shared" si="13"/>
        <v>0</v>
      </c>
      <c r="N110" s="9">
        <f t="shared" si="16"/>
        <v>-0.18644067796610167</v>
      </c>
      <c r="O110">
        <f>COUNTIFS($B$2:B110,B110,$C$2:C110,C110,$D$2:D110,"&lt;"&amp;D110,$F$2:F110,1)</f>
        <v>0</v>
      </c>
      <c r="P110">
        <f t="shared" si="14"/>
        <v>0</v>
      </c>
      <c r="Q110" t="str">
        <f t="shared" si="17"/>
        <v>Monitor</v>
      </c>
      <c r="R110">
        <v>0</v>
      </c>
      <c r="S110">
        <f t="shared" si="18"/>
        <v>0</v>
      </c>
      <c r="T110">
        <f t="shared" si="19"/>
        <v>0</v>
      </c>
      <c r="U110" t="str">
        <f t="shared" si="20"/>
        <v>Improved Enough</v>
      </c>
      <c r="V110" t="str">
        <f t="shared" si="21"/>
        <v>Close</v>
      </c>
      <c r="W110" t="str">
        <f t="shared" si="22"/>
        <v>Normal</v>
      </c>
      <c r="X110" t="str">
        <f t="shared" si="23"/>
        <v>Allowed</v>
      </c>
    </row>
    <row r="111" spans="1:24" x14ac:dyDescent="0.3">
      <c r="A111" t="s">
        <v>20</v>
      </c>
      <c r="B111" t="s">
        <v>11</v>
      </c>
      <c r="C111" t="s">
        <v>21</v>
      </c>
      <c r="D111" s="3">
        <v>45930</v>
      </c>
      <c r="E111" s="6">
        <v>0.51</v>
      </c>
      <c r="F111">
        <v>0</v>
      </c>
      <c r="G111" t="s">
        <v>13</v>
      </c>
      <c r="H111" s="6">
        <v>0.59</v>
      </c>
      <c r="I111" s="8">
        <v>-6.2500000000000056E-2</v>
      </c>
      <c r="J111" s="5">
        <f t="shared" si="12"/>
        <v>-4.8849805534298088E-2</v>
      </c>
      <c r="K111" s="5" cm="1">
        <f t="array" ref="K111">_xlfn.STDEV.S(IF($C:$C=C111,$I:$I))</f>
        <v>0.44966933193859487</v>
      </c>
      <c r="L111" s="7">
        <f t="shared" si="15"/>
        <v>-3.0356071664602614E-2</v>
      </c>
      <c r="M111">
        <f t="shared" si="13"/>
        <v>0</v>
      </c>
      <c r="N111" s="9">
        <f t="shared" si="16"/>
        <v>-0.13559322033898299</v>
      </c>
      <c r="O111">
        <f>COUNTIFS($B$2:B111,B111,$C$2:C111,C111,$D$2:D111,"&lt;"&amp;D111,$F$2:F111,1)</f>
        <v>0</v>
      </c>
      <c r="P111">
        <f t="shared" si="14"/>
        <v>0</v>
      </c>
      <c r="Q111" t="str">
        <f t="shared" si="17"/>
        <v>Monitor</v>
      </c>
      <c r="R111">
        <v>0</v>
      </c>
      <c r="S111">
        <f t="shared" si="18"/>
        <v>0</v>
      </c>
      <c r="T111">
        <f t="shared" si="19"/>
        <v>0</v>
      </c>
      <c r="U111" t="str">
        <f t="shared" si="20"/>
        <v>Not Improved Enough</v>
      </c>
      <c r="V111" t="str">
        <f t="shared" si="21"/>
        <v>Close</v>
      </c>
      <c r="W111" t="str">
        <f t="shared" si="22"/>
        <v>Normal</v>
      </c>
      <c r="X111" t="str">
        <f t="shared" si="23"/>
        <v>Allowed</v>
      </c>
    </row>
    <row r="112" spans="1:24" x14ac:dyDescent="0.3">
      <c r="A112" t="s">
        <v>20</v>
      </c>
      <c r="B112" t="s">
        <v>11</v>
      </c>
      <c r="C112" t="s">
        <v>21</v>
      </c>
      <c r="D112" s="3">
        <v>45961</v>
      </c>
      <c r="E112" s="6">
        <v>0.47</v>
      </c>
      <c r="F112">
        <v>0</v>
      </c>
      <c r="G112" t="s">
        <v>13</v>
      </c>
      <c r="H112" s="6">
        <v>0.59</v>
      </c>
      <c r="I112" s="8">
        <v>7.8431372549019676E-2</v>
      </c>
      <c r="J112" s="5">
        <f t="shared" si="12"/>
        <v>-4.8849805534298088E-2</v>
      </c>
      <c r="K112" s="5" cm="1">
        <f t="array" ref="K112">_xlfn.STDEV.S(IF($C:$C=C112,$I:$I))</f>
        <v>0.44966933193859487</v>
      </c>
      <c r="L112" s="7">
        <f t="shared" si="15"/>
        <v>0.28305505633348105</v>
      </c>
      <c r="M112">
        <f t="shared" si="13"/>
        <v>0</v>
      </c>
      <c r="N112" s="9">
        <f t="shared" si="16"/>
        <v>-0.20338983050847459</v>
      </c>
      <c r="O112">
        <f>COUNTIFS($B$2:B112,B112,$C$2:C112,C112,$D$2:D112,"&lt;"&amp;D112,$F$2:F112,1)</f>
        <v>0</v>
      </c>
      <c r="P112">
        <f t="shared" si="14"/>
        <v>0</v>
      </c>
      <c r="Q112" t="str">
        <f t="shared" si="17"/>
        <v>Monitor</v>
      </c>
      <c r="R112">
        <v>0</v>
      </c>
      <c r="S112">
        <f t="shared" si="18"/>
        <v>0</v>
      </c>
      <c r="T112">
        <f t="shared" si="19"/>
        <v>0</v>
      </c>
      <c r="U112" t="str">
        <f t="shared" si="20"/>
        <v>Improved Enough</v>
      </c>
      <c r="V112" t="str">
        <f t="shared" si="21"/>
        <v>Close</v>
      </c>
      <c r="W112" t="str">
        <f t="shared" si="22"/>
        <v>Normal</v>
      </c>
      <c r="X112" t="str">
        <f t="shared" si="23"/>
        <v>Allowed</v>
      </c>
    </row>
    <row r="113" spans="1:24" x14ac:dyDescent="0.3">
      <c r="A113" t="s">
        <v>20</v>
      </c>
      <c r="B113" t="s">
        <v>11</v>
      </c>
      <c r="C113" t="s">
        <v>22</v>
      </c>
      <c r="D113" s="3">
        <v>45535</v>
      </c>
      <c r="E113" s="6">
        <v>0.65200000000000002</v>
      </c>
      <c r="F113">
        <v>0</v>
      </c>
      <c r="G113" t="s">
        <v>13</v>
      </c>
      <c r="H113" s="6">
        <v>0.56999999999999995</v>
      </c>
      <c r="I113" s="8">
        <v>-0.13194444444444459</v>
      </c>
      <c r="J113" s="5">
        <f t="shared" si="12"/>
        <v>-2.6703176088529658E-2</v>
      </c>
      <c r="K113" s="5" cm="1">
        <f t="array" ref="K113">_xlfn.STDEV.S(IF($C:$C=C113,$I:$I))</f>
        <v>0.34089784338901952</v>
      </c>
      <c r="L113" s="7">
        <f t="shared" si="15"/>
        <v>-0.30871790595582516</v>
      </c>
      <c r="M113">
        <f t="shared" si="13"/>
        <v>0</v>
      </c>
      <c r="N113" s="9">
        <f t="shared" si="16"/>
        <v>0.14385964912280716</v>
      </c>
      <c r="O113">
        <f>COUNTIFS($B$2:B113,B113,$C$2:C113,C113,$D$2:D113,"&lt;"&amp;D113,$F$2:F113,1)</f>
        <v>0</v>
      </c>
      <c r="P113">
        <f t="shared" si="14"/>
        <v>0</v>
      </c>
      <c r="Q113" t="str">
        <f t="shared" si="17"/>
        <v>Monitor</v>
      </c>
      <c r="R113">
        <v>0</v>
      </c>
      <c r="S113">
        <f t="shared" si="18"/>
        <v>0</v>
      </c>
      <c r="T113">
        <f t="shared" si="19"/>
        <v>0</v>
      </c>
      <c r="U113" t="str">
        <f t="shared" si="20"/>
        <v>Not Improved Enough</v>
      </c>
      <c r="V113" t="str">
        <f t="shared" si="21"/>
        <v>Far</v>
      </c>
      <c r="W113" t="str">
        <f t="shared" si="22"/>
        <v>Normal</v>
      </c>
      <c r="X113" t="str">
        <f t="shared" si="23"/>
        <v>Allowed</v>
      </c>
    </row>
    <row r="114" spans="1:24" x14ac:dyDescent="0.3">
      <c r="A114" t="s">
        <v>20</v>
      </c>
      <c r="B114" t="s">
        <v>11</v>
      </c>
      <c r="C114" t="s">
        <v>22</v>
      </c>
      <c r="D114" s="3">
        <v>45565</v>
      </c>
      <c r="E114" s="6">
        <v>0.69599999999999995</v>
      </c>
      <c r="F114">
        <v>0</v>
      </c>
      <c r="G114" t="s">
        <v>13</v>
      </c>
      <c r="H114" s="6">
        <v>0.56999999999999995</v>
      </c>
      <c r="I114" s="8">
        <v>-6.7484662576687005E-2</v>
      </c>
      <c r="J114" s="5">
        <f t="shared" si="12"/>
        <v>-2.6703176088529658E-2</v>
      </c>
      <c r="K114" s="5" cm="1">
        <f t="array" ref="K114">_xlfn.STDEV.S(IF($C:$C=C114,$I:$I))</f>
        <v>0.34089784338901952</v>
      </c>
      <c r="L114" s="7">
        <f t="shared" si="15"/>
        <v>-0.1196296406064942</v>
      </c>
      <c r="M114">
        <f t="shared" si="13"/>
        <v>0</v>
      </c>
      <c r="N114" s="9">
        <f t="shared" si="16"/>
        <v>0.22105263157894739</v>
      </c>
      <c r="O114">
        <f>COUNTIFS($B$2:B114,B114,$C$2:C114,C114,$D$2:D114,"&lt;"&amp;D114,$F$2:F114,1)</f>
        <v>0</v>
      </c>
      <c r="P114">
        <f t="shared" si="14"/>
        <v>0</v>
      </c>
      <c r="Q114" t="str">
        <f t="shared" si="17"/>
        <v>Monitor</v>
      </c>
      <c r="R114">
        <v>0</v>
      </c>
      <c r="S114">
        <f t="shared" si="18"/>
        <v>0</v>
      </c>
      <c r="T114">
        <f t="shared" si="19"/>
        <v>0</v>
      </c>
      <c r="U114" t="str">
        <f t="shared" si="20"/>
        <v>Not Improved Enough</v>
      </c>
      <c r="V114" t="str">
        <f t="shared" si="21"/>
        <v>Far</v>
      </c>
      <c r="W114" t="str">
        <f t="shared" si="22"/>
        <v>Normal</v>
      </c>
      <c r="X114" t="str">
        <f t="shared" si="23"/>
        <v>Allowed</v>
      </c>
    </row>
    <row r="115" spans="1:24" x14ac:dyDescent="0.3">
      <c r="A115" t="s">
        <v>20</v>
      </c>
      <c r="B115" t="s">
        <v>11</v>
      </c>
      <c r="C115" t="s">
        <v>22</v>
      </c>
      <c r="D115" s="3">
        <v>45596</v>
      </c>
      <c r="E115" s="6">
        <v>0.82399999999999995</v>
      </c>
      <c r="F115">
        <v>0</v>
      </c>
      <c r="G115" t="s">
        <v>13</v>
      </c>
      <c r="H115" s="6">
        <v>0.56999999999999995</v>
      </c>
      <c r="I115" s="8">
        <v>-0.18390804597701149</v>
      </c>
      <c r="J115" s="5">
        <f t="shared" si="12"/>
        <v>-2.6703176088529658E-2</v>
      </c>
      <c r="K115" s="5" cm="1">
        <f t="array" ref="K115">_xlfn.STDEV.S(IF($C:$C=C115,$I:$I))</f>
        <v>0.34089784338901952</v>
      </c>
      <c r="L115" s="7">
        <f t="shared" si="15"/>
        <v>-0.46114949958508739</v>
      </c>
      <c r="M115">
        <f t="shared" si="13"/>
        <v>0</v>
      </c>
      <c r="N115" s="9">
        <f t="shared" si="16"/>
        <v>0.44561403508771935</v>
      </c>
      <c r="O115">
        <f>COUNTIFS($B$2:B115,B115,$C$2:C115,C115,$D$2:D115,"&lt;"&amp;D115,$F$2:F115,1)</f>
        <v>0</v>
      </c>
      <c r="P115">
        <f t="shared" si="14"/>
        <v>0</v>
      </c>
      <c r="Q115" t="str">
        <f t="shared" si="17"/>
        <v>Monitor</v>
      </c>
      <c r="R115">
        <v>0</v>
      </c>
      <c r="S115">
        <f t="shared" si="18"/>
        <v>0</v>
      </c>
      <c r="T115">
        <f t="shared" si="19"/>
        <v>0</v>
      </c>
      <c r="U115" t="str">
        <f t="shared" si="20"/>
        <v>Not Improved Enough</v>
      </c>
      <c r="V115" t="str">
        <f t="shared" si="21"/>
        <v>Far</v>
      </c>
      <c r="W115" t="str">
        <f t="shared" si="22"/>
        <v>Normal</v>
      </c>
      <c r="X115" t="str">
        <f t="shared" si="23"/>
        <v>Allowed</v>
      </c>
    </row>
    <row r="116" spans="1:24" x14ac:dyDescent="0.3">
      <c r="A116" t="s">
        <v>20</v>
      </c>
      <c r="B116" t="s">
        <v>11</v>
      </c>
      <c r="C116" t="s">
        <v>22</v>
      </c>
      <c r="D116" s="3">
        <v>45626</v>
      </c>
      <c r="E116" s="6">
        <v>0.41399999999999998</v>
      </c>
      <c r="F116">
        <v>0</v>
      </c>
      <c r="G116" t="s">
        <v>13</v>
      </c>
      <c r="H116" s="6">
        <v>0.56999999999999995</v>
      </c>
      <c r="I116" s="8">
        <v>0.49757281553398058</v>
      </c>
      <c r="J116" s="5">
        <f t="shared" si="12"/>
        <v>-2.6703176088529658E-2</v>
      </c>
      <c r="K116" s="5" cm="1">
        <f t="array" ref="K116">_xlfn.STDEV.S(IF($C:$C=C116,$I:$I))</f>
        <v>0.34089784338901952</v>
      </c>
      <c r="L116" s="7">
        <f t="shared" si="15"/>
        <v>1.5379269824955351</v>
      </c>
      <c r="M116">
        <f t="shared" si="13"/>
        <v>-1</v>
      </c>
      <c r="N116" s="9">
        <f t="shared" si="16"/>
        <v>-0.27368421052631575</v>
      </c>
      <c r="O116">
        <f>COUNTIFS($B$2:B116,B116,$C$2:C116,C116,$D$2:D116,"&lt;"&amp;D116,$F$2:F116,1)</f>
        <v>0</v>
      </c>
      <c r="P116">
        <f t="shared" si="14"/>
        <v>0</v>
      </c>
      <c r="Q116" t="str">
        <f t="shared" si="17"/>
        <v>Monitor</v>
      </c>
      <c r="R116">
        <v>0</v>
      </c>
      <c r="S116">
        <f t="shared" si="18"/>
        <v>0</v>
      </c>
      <c r="T116">
        <f t="shared" si="19"/>
        <v>0</v>
      </c>
      <c r="U116" t="str">
        <f t="shared" si="20"/>
        <v>Improved Enough</v>
      </c>
      <c r="V116" t="str">
        <f t="shared" si="21"/>
        <v>Close</v>
      </c>
      <c r="W116" t="str">
        <f t="shared" si="22"/>
        <v>Normal</v>
      </c>
      <c r="X116" t="str">
        <f t="shared" si="23"/>
        <v>Allowed</v>
      </c>
    </row>
    <row r="117" spans="1:24" x14ac:dyDescent="0.3">
      <c r="A117" t="s">
        <v>20</v>
      </c>
      <c r="B117" t="s">
        <v>11</v>
      </c>
      <c r="C117" t="s">
        <v>22</v>
      </c>
      <c r="D117" s="3">
        <v>45657</v>
      </c>
      <c r="E117" s="6">
        <v>0.75</v>
      </c>
      <c r="F117">
        <v>1</v>
      </c>
      <c r="G117" t="s">
        <v>13</v>
      </c>
      <c r="H117" s="6">
        <v>0.56999999999999995</v>
      </c>
      <c r="I117" s="8">
        <v>-0.81159420289855078</v>
      </c>
      <c r="J117" s="5">
        <f t="shared" si="12"/>
        <v>-2.6703176088529658E-2</v>
      </c>
      <c r="K117" s="5" cm="1">
        <f t="array" ref="K117">_xlfn.STDEV.S(IF($C:$C=C117,$I:$I))</f>
        <v>0.34089784338901952</v>
      </c>
      <c r="L117" s="7">
        <f t="shared" si="15"/>
        <v>-2.3024229751853653</v>
      </c>
      <c r="M117">
        <f t="shared" si="13"/>
        <v>1</v>
      </c>
      <c r="N117" s="9">
        <f t="shared" si="16"/>
        <v>0.31578947368421062</v>
      </c>
      <c r="O117">
        <f>COUNTIFS($B$2:B117,B117,$C$2:C117,C117,$D$2:D117,"&lt;"&amp;D117,$F$2:F117,1)</f>
        <v>0</v>
      </c>
      <c r="P117">
        <f t="shared" si="14"/>
        <v>0</v>
      </c>
      <c r="Q117" t="str">
        <f t="shared" si="17"/>
        <v>Intervene</v>
      </c>
      <c r="R117">
        <v>0</v>
      </c>
      <c r="S117">
        <f t="shared" si="18"/>
        <v>1</v>
      </c>
      <c r="T117">
        <f t="shared" si="19"/>
        <v>1</v>
      </c>
      <c r="U117" t="str">
        <f t="shared" si="20"/>
        <v>Not Improved Enough</v>
      </c>
      <c r="V117" t="str">
        <f t="shared" si="21"/>
        <v>Far</v>
      </c>
      <c r="W117" t="str">
        <f t="shared" si="22"/>
        <v>Abnormal</v>
      </c>
      <c r="X117" t="str">
        <f t="shared" si="23"/>
        <v>Allowed</v>
      </c>
    </row>
    <row r="118" spans="1:24" x14ac:dyDescent="0.3">
      <c r="A118" t="s">
        <v>20</v>
      </c>
      <c r="B118" t="s">
        <v>11</v>
      </c>
      <c r="C118" t="s">
        <v>22</v>
      </c>
      <c r="D118" s="3">
        <v>45688</v>
      </c>
      <c r="E118" s="6">
        <v>0.621</v>
      </c>
      <c r="F118">
        <v>0</v>
      </c>
      <c r="G118" t="s">
        <v>13</v>
      </c>
      <c r="H118" s="6">
        <v>0.56999999999999995</v>
      </c>
      <c r="I118" s="8">
        <v>0.17199999999999999</v>
      </c>
      <c r="J118" s="5">
        <f t="shared" si="12"/>
        <v>-2.6703176088529658E-2</v>
      </c>
      <c r="K118" s="5" cm="1">
        <f t="array" ref="K118">_xlfn.STDEV.S(IF($C:$C=C118,$I:$I))</f>
        <v>0.34089784338901952</v>
      </c>
      <c r="L118" s="7">
        <f t="shared" si="15"/>
        <v>0.58288188072160141</v>
      </c>
      <c r="M118">
        <f t="shared" si="13"/>
        <v>-1</v>
      </c>
      <c r="N118" s="9">
        <f t="shared" si="16"/>
        <v>8.94736842105264E-2</v>
      </c>
      <c r="O118">
        <f>COUNTIFS($B$2:B118,B118,$C$2:C118,C118,$D$2:D118,"&lt;"&amp;D118,$F$2:F118,1)</f>
        <v>1</v>
      </c>
      <c r="P118">
        <f t="shared" si="14"/>
        <v>1</v>
      </c>
      <c r="Q118" t="str">
        <f t="shared" si="17"/>
        <v>Monitor</v>
      </c>
      <c r="R118">
        <v>1</v>
      </c>
      <c r="S118">
        <f t="shared" si="18"/>
        <v>0</v>
      </c>
      <c r="T118">
        <f t="shared" si="19"/>
        <v>0</v>
      </c>
      <c r="U118" t="str">
        <f t="shared" si="20"/>
        <v>Improved Enough</v>
      </c>
      <c r="V118" t="str">
        <f t="shared" si="21"/>
        <v>Far</v>
      </c>
      <c r="W118" t="str">
        <f t="shared" si="22"/>
        <v>Normal</v>
      </c>
      <c r="X118" t="str">
        <f t="shared" si="23"/>
        <v>Allowed</v>
      </c>
    </row>
    <row r="119" spans="1:24" x14ac:dyDescent="0.3">
      <c r="A119" t="s">
        <v>20</v>
      </c>
      <c r="B119" t="s">
        <v>11</v>
      </c>
      <c r="C119" t="s">
        <v>22</v>
      </c>
      <c r="D119" s="3">
        <v>45716</v>
      </c>
      <c r="E119" s="6">
        <v>0.72699999999999998</v>
      </c>
      <c r="F119">
        <v>1</v>
      </c>
      <c r="G119" t="s">
        <v>13</v>
      </c>
      <c r="H119" s="6">
        <v>0.56999999999999995</v>
      </c>
      <c r="I119" s="8">
        <v>-0.17069243156199679</v>
      </c>
      <c r="J119" s="5">
        <f t="shared" si="12"/>
        <v>-2.6703176088529658E-2</v>
      </c>
      <c r="K119" s="5" cm="1">
        <f t="array" ref="K119">_xlfn.STDEV.S(IF($C:$C=C119,$I:$I))</f>
        <v>0.34089784338901952</v>
      </c>
      <c r="L119" s="7">
        <f t="shared" si="15"/>
        <v>-0.42238241826937029</v>
      </c>
      <c r="M119">
        <f t="shared" si="13"/>
        <v>0</v>
      </c>
      <c r="N119" s="9">
        <f t="shared" si="16"/>
        <v>0.27543859649122815</v>
      </c>
      <c r="O119">
        <f>COUNTIFS($B$2:B119,B119,$C$2:C119,C119,$D$2:D119,"&lt;"&amp;D119,$F$2:F119,1)</f>
        <v>1</v>
      </c>
      <c r="P119">
        <f t="shared" si="14"/>
        <v>0</v>
      </c>
      <c r="Q119" t="str">
        <f t="shared" si="17"/>
        <v>Monitor</v>
      </c>
      <c r="R119">
        <v>0</v>
      </c>
      <c r="S119">
        <f t="shared" si="18"/>
        <v>0</v>
      </c>
      <c r="T119">
        <f t="shared" si="19"/>
        <v>0</v>
      </c>
      <c r="U119" t="str">
        <f t="shared" si="20"/>
        <v>Not Improved Enough</v>
      </c>
      <c r="V119" t="str">
        <f t="shared" si="21"/>
        <v>Far</v>
      </c>
      <c r="W119" t="str">
        <f t="shared" si="22"/>
        <v>Normal</v>
      </c>
      <c r="X119" t="str">
        <f t="shared" si="23"/>
        <v>Allowed</v>
      </c>
    </row>
    <row r="120" spans="1:24" x14ac:dyDescent="0.3">
      <c r="A120" t="s">
        <v>20</v>
      </c>
      <c r="B120" t="s">
        <v>11</v>
      </c>
      <c r="C120" t="s">
        <v>22</v>
      </c>
      <c r="D120" s="3">
        <v>45747</v>
      </c>
      <c r="E120" s="6">
        <v>0.54500000000000004</v>
      </c>
      <c r="F120">
        <v>1</v>
      </c>
      <c r="G120" t="s">
        <v>13</v>
      </c>
      <c r="H120" s="6">
        <v>0.56999999999999995</v>
      </c>
      <c r="I120" s="8">
        <v>0.25034387895460791</v>
      </c>
      <c r="J120" s="5">
        <f t="shared" si="12"/>
        <v>-2.6703176088529658E-2</v>
      </c>
      <c r="K120" s="5" cm="1">
        <f t="array" ref="K120">_xlfn.STDEV.S(IF($C:$C=C120,$I:$I))</f>
        <v>0.34089784338901952</v>
      </c>
      <c r="L120" s="7">
        <f t="shared" si="15"/>
        <v>0.81269817458769356</v>
      </c>
      <c r="M120">
        <f t="shared" si="13"/>
        <v>-1</v>
      </c>
      <c r="N120" s="9">
        <f t="shared" si="16"/>
        <v>-4.3859649122806862E-2</v>
      </c>
      <c r="O120">
        <f>COUNTIFS($B$2:B120,B120,$C$2:C120,C120,$D$2:D120,"&lt;"&amp;D120,$F$2:F120,1)</f>
        <v>2</v>
      </c>
      <c r="P120">
        <f t="shared" si="14"/>
        <v>1</v>
      </c>
      <c r="Q120" t="str">
        <f t="shared" si="17"/>
        <v>Monitor</v>
      </c>
      <c r="R120">
        <v>1</v>
      </c>
      <c r="S120">
        <f t="shared" si="18"/>
        <v>0</v>
      </c>
      <c r="T120">
        <f t="shared" si="19"/>
        <v>0</v>
      </c>
      <c r="U120" t="str">
        <f t="shared" si="20"/>
        <v>Improved Enough</v>
      </c>
      <c r="V120" t="str">
        <f t="shared" si="21"/>
        <v>Close</v>
      </c>
      <c r="W120" t="str">
        <f t="shared" si="22"/>
        <v>Normal</v>
      </c>
      <c r="X120" t="str">
        <f t="shared" si="23"/>
        <v>Allowed</v>
      </c>
    </row>
    <row r="121" spans="1:24" x14ac:dyDescent="0.3">
      <c r="A121" t="s">
        <v>20</v>
      </c>
      <c r="B121" t="s">
        <v>11</v>
      </c>
      <c r="C121" t="s">
        <v>22</v>
      </c>
      <c r="D121" s="3">
        <v>45777</v>
      </c>
      <c r="E121" s="6">
        <v>0.76700000000000002</v>
      </c>
      <c r="F121">
        <v>0</v>
      </c>
      <c r="G121" t="s">
        <v>13</v>
      </c>
      <c r="H121" s="6">
        <v>0.56999999999999995</v>
      </c>
      <c r="I121" s="8">
        <v>-0.40733944954128432</v>
      </c>
      <c r="J121" s="5">
        <f t="shared" si="12"/>
        <v>-2.6703176088529658E-2</v>
      </c>
      <c r="K121" s="5" cm="1">
        <f t="array" ref="K121">_xlfn.STDEV.S(IF($C:$C=C121,$I:$I))</f>
        <v>0.34089784338901952</v>
      </c>
      <c r="L121" s="7">
        <f t="shared" si="15"/>
        <v>-1.1165699074792537</v>
      </c>
      <c r="M121">
        <f t="shared" si="13"/>
        <v>1</v>
      </c>
      <c r="N121" s="9">
        <f t="shared" si="16"/>
        <v>0.34561403508771943</v>
      </c>
      <c r="O121">
        <f>COUNTIFS($B$2:B121,B121,$C$2:C121,C121,$D$2:D121,"&lt;"&amp;D121,$F$2:F121,1)</f>
        <v>3</v>
      </c>
      <c r="P121">
        <f t="shared" si="14"/>
        <v>-1</v>
      </c>
      <c r="Q121" t="str">
        <f t="shared" si="17"/>
        <v>Intervene</v>
      </c>
      <c r="R121">
        <v>1</v>
      </c>
      <c r="S121">
        <f t="shared" si="18"/>
        <v>1</v>
      </c>
      <c r="T121">
        <f t="shared" si="19"/>
        <v>1</v>
      </c>
      <c r="U121" t="str">
        <f t="shared" si="20"/>
        <v>Not Improved Enough</v>
      </c>
      <c r="V121" t="str">
        <f t="shared" si="21"/>
        <v>Far</v>
      </c>
      <c r="W121" t="str">
        <f t="shared" si="22"/>
        <v>Abnormal</v>
      </c>
      <c r="X121" t="str">
        <f t="shared" si="23"/>
        <v>Allowed</v>
      </c>
    </row>
    <row r="122" spans="1:24" x14ac:dyDescent="0.3">
      <c r="A122" t="s">
        <v>20</v>
      </c>
      <c r="B122" t="s">
        <v>11</v>
      </c>
      <c r="C122" t="s">
        <v>22</v>
      </c>
      <c r="D122" s="3">
        <v>45808</v>
      </c>
      <c r="E122" s="6">
        <v>0.72699999999999998</v>
      </c>
      <c r="F122">
        <v>0</v>
      </c>
      <c r="G122" t="s">
        <v>13</v>
      </c>
      <c r="H122" s="6">
        <v>0.56999999999999995</v>
      </c>
      <c r="I122" s="8">
        <v>5.2151238591916602E-2</v>
      </c>
      <c r="J122" s="5">
        <f t="shared" si="12"/>
        <v>-2.6703176088529658E-2</v>
      </c>
      <c r="K122" s="5" cm="1">
        <f t="array" ref="K122">_xlfn.STDEV.S(IF($C:$C=C122,$I:$I))</f>
        <v>0.34089784338901952</v>
      </c>
      <c r="L122" s="7">
        <f t="shared" si="15"/>
        <v>0.23131391473914559</v>
      </c>
      <c r="M122">
        <f t="shared" si="13"/>
        <v>0</v>
      </c>
      <c r="N122" s="9">
        <f t="shared" si="16"/>
        <v>0.27543859649122815</v>
      </c>
      <c r="O122">
        <f>COUNTIFS($B$2:B122,B122,$C$2:C122,C122,$D$2:D122,"&lt;"&amp;D122,$F$2:F122,1)</f>
        <v>3</v>
      </c>
      <c r="P122">
        <f t="shared" si="14"/>
        <v>0</v>
      </c>
      <c r="Q122" t="str">
        <f t="shared" si="17"/>
        <v>Monitor</v>
      </c>
      <c r="R122">
        <v>0</v>
      </c>
      <c r="S122">
        <f t="shared" si="18"/>
        <v>0</v>
      </c>
      <c r="T122">
        <f t="shared" si="19"/>
        <v>0</v>
      </c>
      <c r="U122" t="str">
        <f t="shared" si="20"/>
        <v>Improved Enough</v>
      </c>
      <c r="V122" t="str">
        <f t="shared" si="21"/>
        <v>Far</v>
      </c>
      <c r="W122" t="str">
        <f t="shared" si="22"/>
        <v>Normal</v>
      </c>
      <c r="X122" t="str">
        <f t="shared" si="23"/>
        <v>Allowed</v>
      </c>
    </row>
    <row r="123" spans="1:24" x14ac:dyDescent="0.3">
      <c r="A123" t="s">
        <v>20</v>
      </c>
      <c r="B123" t="s">
        <v>11</v>
      </c>
      <c r="C123" t="s">
        <v>22</v>
      </c>
      <c r="D123" s="3">
        <v>45838</v>
      </c>
      <c r="E123" s="6">
        <v>0.86699999999999999</v>
      </c>
      <c r="F123">
        <v>1</v>
      </c>
      <c r="G123" t="s">
        <v>13</v>
      </c>
      <c r="H123" s="6">
        <v>0.56999999999999995</v>
      </c>
      <c r="I123" s="8">
        <v>-0.19257221458046769</v>
      </c>
      <c r="J123" s="5">
        <f t="shared" si="12"/>
        <v>-2.6703176088529658E-2</v>
      </c>
      <c r="K123" s="5" cm="1">
        <f t="array" ref="K123">_xlfn.STDEV.S(IF($C:$C=C123,$I:$I))</f>
        <v>0.34089784338901952</v>
      </c>
      <c r="L123" s="7">
        <f t="shared" si="15"/>
        <v>-0.48656523268953233</v>
      </c>
      <c r="M123">
        <f t="shared" si="13"/>
        <v>0</v>
      </c>
      <c r="N123" s="9">
        <f t="shared" si="16"/>
        <v>0.52105263157894743</v>
      </c>
      <c r="O123">
        <f>COUNTIFS($B$2:B123,B123,$C$2:C123,C123,$D$2:D123,"&lt;"&amp;D123,$F$2:F123,1)</f>
        <v>3</v>
      </c>
      <c r="P123">
        <f t="shared" si="14"/>
        <v>0</v>
      </c>
      <c r="Q123" t="str">
        <f t="shared" si="17"/>
        <v>Monitor</v>
      </c>
      <c r="R123">
        <v>0</v>
      </c>
      <c r="S123">
        <f t="shared" si="18"/>
        <v>0</v>
      </c>
      <c r="T123">
        <f t="shared" si="19"/>
        <v>0</v>
      </c>
      <c r="U123" t="str">
        <f t="shared" si="20"/>
        <v>Not Improved Enough</v>
      </c>
      <c r="V123" t="str">
        <f t="shared" si="21"/>
        <v>Far</v>
      </c>
      <c r="W123" t="str">
        <f t="shared" si="22"/>
        <v>Normal</v>
      </c>
      <c r="X123" t="str">
        <f t="shared" si="23"/>
        <v>Allowed</v>
      </c>
    </row>
    <row r="124" spans="1:24" x14ac:dyDescent="0.3">
      <c r="A124" t="s">
        <v>20</v>
      </c>
      <c r="B124" t="s">
        <v>11</v>
      </c>
      <c r="C124" t="s">
        <v>22</v>
      </c>
      <c r="D124" s="3">
        <v>45869</v>
      </c>
      <c r="E124" s="6">
        <v>0.62</v>
      </c>
      <c r="F124">
        <v>1</v>
      </c>
      <c r="G124" t="s">
        <v>13</v>
      </c>
      <c r="H124" s="6">
        <v>0.56999999999999995</v>
      </c>
      <c r="I124" s="8">
        <v>0.28489042675893889</v>
      </c>
      <c r="J124" s="5">
        <f t="shared" si="12"/>
        <v>-2.6703176088529658E-2</v>
      </c>
      <c r="K124" s="5" cm="1">
        <f t="array" ref="K124">_xlfn.STDEV.S(IF($C:$C=C124,$I:$I))</f>
        <v>0.34089784338901952</v>
      </c>
      <c r="L124" s="7">
        <f t="shared" si="15"/>
        <v>0.91403805829270068</v>
      </c>
      <c r="M124">
        <f t="shared" si="13"/>
        <v>-1</v>
      </c>
      <c r="N124" s="9">
        <f t="shared" si="16"/>
        <v>8.7719298245614127E-2</v>
      </c>
      <c r="O124">
        <f>COUNTIFS($B$2:B124,B124,$C$2:C124,C124,$D$2:D124,"&lt;"&amp;D124,$F$2:F124,1)</f>
        <v>4</v>
      </c>
      <c r="P124">
        <f t="shared" si="14"/>
        <v>1</v>
      </c>
      <c r="Q124" t="str">
        <f t="shared" si="17"/>
        <v>Monitor</v>
      </c>
      <c r="R124">
        <v>1</v>
      </c>
      <c r="S124">
        <f t="shared" si="18"/>
        <v>0</v>
      </c>
      <c r="T124">
        <f t="shared" si="19"/>
        <v>0</v>
      </c>
      <c r="U124" t="str">
        <f t="shared" si="20"/>
        <v>Improved Enough</v>
      </c>
      <c r="V124" t="str">
        <f t="shared" si="21"/>
        <v>Far</v>
      </c>
      <c r="W124" t="str">
        <f t="shared" si="22"/>
        <v>Normal</v>
      </c>
      <c r="X124" t="str">
        <f t="shared" si="23"/>
        <v>Allowed</v>
      </c>
    </row>
    <row r="125" spans="1:24" x14ac:dyDescent="0.3">
      <c r="A125" t="s">
        <v>20</v>
      </c>
      <c r="B125" t="s">
        <v>11</v>
      </c>
      <c r="C125" t="s">
        <v>22</v>
      </c>
      <c r="D125" s="3">
        <v>45900</v>
      </c>
      <c r="E125" s="6">
        <v>0.66</v>
      </c>
      <c r="F125">
        <v>0</v>
      </c>
      <c r="G125" t="s">
        <v>13</v>
      </c>
      <c r="H125" s="6">
        <v>0.56999999999999995</v>
      </c>
      <c r="I125" s="8">
        <v>-6.4516129032258118E-2</v>
      </c>
      <c r="J125" s="5">
        <f t="shared" si="12"/>
        <v>-2.6703176088529658E-2</v>
      </c>
      <c r="K125" s="5" cm="1">
        <f t="array" ref="K125">_xlfn.STDEV.S(IF($C:$C=C125,$I:$I))</f>
        <v>0.34089784338901952</v>
      </c>
      <c r="L125" s="7">
        <f t="shared" si="15"/>
        <v>-0.11092165490932065</v>
      </c>
      <c r="M125">
        <f t="shared" si="13"/>
        <v>0</v>
      </c>
      <c r="N125" s="9">
        <f t="shared" si="16"/>
        <v>0.15789473684210542</v>
      </c>
      <c r="O125">
        <f>COUNTIFS($B$2:B125,B125,$C$2:C125,C125,$D$2:D125,"&lt;"&amp;D125,$F$2:F125,1)</f>
        <v>5</v>
      </c>
      <c r="P125">
        <f t="shared" si="14"/>
        <v>-1</v>
      </c>
      <c r="Q125" t="str">
        <f t="shared" si="17"/>
        <v>Monitor</v>
      </c>
      <c r="R125">
        <v>1</v>
      </c>
      <c r="S125">
        <f t="shared" si="18"/>
        <v>0</v>
      </c>
      <c r="T125">
        <f t="shared" si="19"/>
        <v>0</v>
      </c>
      <c r="U125" t="str">
        <f t="shared" si="20"/>
        <v>Not Improved Enough</v>
      </c>
      <c r="V125" t="str">
        <f t="shared" si="21"/>
        <v>Far</v>
      </c>
      <c r="W125" t="str">
        <f t="shared" si="22"/>
        <v>Normal</v>
      </c>
      <c r="X125" t="str">
        <f t="shared" si="23"/>
        <v>Maxed Out</v>
      </c>
    </row>
    <row r="126" spans="1:24" x14ac:dyDescent="0.3">
      <c r="A126" t="s">
        <v>20</v>
      </c>
      <c r="B126" t="s">
        <v>11</v>
      </c>
      <c r="C126" t="s">
        <v>22</v>
      </c>
      <c r="D126" s="3">
        <v>45930</v>
      </c>
      <c r="E126" s="6">
        <v>0.67</v>
      </c>
      <c r="F126">
        <v>1</v>
      </c>
      <c r="G126" t="s">
        <v>13</v>
      </c>
      <c r="H126" s="6">
        <v>0.56999999999999995</v>
      </c>
      <c r="I126" s="8">
        <v>-1.5151515151515161E-2</v>
      </c>
      <c r="J126" s="5">
        <f t="shared" si="12"/>
        <v>-2.6703176088529658E-2</v>
      </c>
      <c r="K126" s="5" cm="1">
        <f t="array" ref="K126">_xlfn.STDEV.S(IF($C:$C=C126,$I:$I))</f>
        <v>0.34089784338901952</v>
      </c>
      <c r="L126" s="7">
        <f t="shared" si="15"/>
        <v>3.3885990073079415E-2</v>
      </c>
      <c r="M126">
        <f t="shared" si="13"/>
        <v>0</v>
      </c>
      <c r="N126" s="9">
        <f t="shared" si="16"/>
        <v>0.17543859649122825</v>
      </c>
      <c r="O126">
        <f>COUNTIFS($B$2:B126,B126,$C$2:C126,C126,$D$2:D126,"&lt;"&amp;D126,$F$2:F126,1)</f>
        <v>5</v>
      </c>
      <c r="P126">
        <f t="shared" si="14"/>
        <v>0</v>
      </c>
      <c r="Q126" t="str">
        <f t="shared" si="17"/>
        <v>Monitor</v>
      </c>
      <c r="R126">
        <v>0</v>
      </c>
      <c r="S126">
        <f t="shared" si="18"/>
        <v>0</v>
      </c>
      <c r="T126">
        <f t="shared" si="19"/>
        <v>0</v>
      </c>
      <c r="U126" t="str">
        <f t="shared" si="20"/>
        <v>Not Improved Enough</v>
      </c>
      <c r="V126" t="str">
        <f t="shared" si="21"/>
        <v>Far</v>
      </c>
      <c r="W126" t="str">
        <f t="shared" si="22"/>
        <v>Normal</v>
      </c>
      <c r="X126" t="str">
        <f t="shared" si="23"/>
        <v>Maxed Out</v>
      </c>
    </row>
    <row r="127" spans="1:24" x14ac:dyDescent="0.3">
      <c r="A127" t="s">
        <v>20</v>
      </c>
      <c r="B127" t="s">
        <v>11</v>
      </c>
      <c r="C127" t="s">
        <v>22</v>
      </c>
      <c r="D127" s="3">
        <v>45961</v>
      </c>
      <c r="E127" s="6">
        <v>0.61</v>
      </c>
      <c r="F127">
        <v>0</v>
      </c>
      <c r="G127" t="s">
        <v>13</v>
      </c>
      <c r="H127" s="6">
        <v>0.56999999999999995</v>
      </c>
      <c r="I127" s="8">
        <v>8.9552238805970227E-2</v>
      </c>
      <c r="J127" s="5">
        <f t="shared" si="12"/>
        <v>-2.6703176088529658E-2</v>
      </c>
      <c r="K127" s="5" cm="1">
        <f t="array" ref="K127">_xlfn.STDEV.S(IF($C:$C=C127,$I:$I))</f>
        <v>0.34089784338901952</v>
      </c>
      <c r="L127" s="7">
        <f t="shared" si="15"/>
        <v>0.34102713510520416</v>
      </c>
      <c r="M127">
        <f t="shared" si="13"/>
        <v>0</v>
      </c>
      <c r="N127" s="9">
        <f t="shared" si="16"/>
        <v>7.0175438596491294E-2</v>
      </c>
      <c r="O127">
        <f>COUNTIFS($B$2:B127,B127,$C$2:C127,C127,$D$2:D127,"&lt;"&amp;D127,$F$2:F127,1)</f>
        <v>6</v>
      </c>
      <c r="P127">
        <f t="shared" si="14"/>
        <v>1</v>
      </c>
      <c r="Q127" t="str">
        <f t="shared" si="17"/>
        <v>Monitor</v>
      </c>
      <c r="R127">
        <v>1</v>
      </c>
      <c r="S127">
        <f t="shared" si="18"/>
        <v>0</v>
      </c>
      <c r="T127">
        <f t="shared" si="19"/>
        <v>0</v>
      </c>
      <c r="U127" t="str">
        <f t="shared" si="20"/>
        <v>Improved Enough</v>
      </c>
      <c r="V127" t="str">
        <f t="shared" si="21"/>
        <v>Far</v>
      </c>
      <c r="W127" t="str">
        <f t="shared" si="22"/>
        <v>Normal</v>
      </c>
      <c r="X127" t="str">
        <f t="shared" si="23"/>
        <v>Maxed Out</v>
      </c>
    </row>
    <row r="128" spans="1:24" x14ac:dyDescent="0.3">
      <c r="A128" t="s">
        <v>23</v>
      </c>
      <c r="B128" t="s">
        <v>11</v>
      </c>
      <c r="C128" t="s">
        <v>24</v>
      </c>
      <c r="D128" s="3">
        <v>45535</v>
      </c>
      <c r="E128" s="6">
        <v>0.77049999999999996</v>
      </c>
      <c r="F128">
        <v>1</v>
      </c>
      <c r="G128" t="s">
        <v>17</v>
      </c>
      <c r="H128" s="6">
        <v>0.85</v>
      </c>
      <c r="I128" s="8">
        <v>-1.3696876600102459E-2</v>
      </c>
      <c r="J128" s="5">
        <f t="shared" si="12"/>
        <v>4.5902054585511267E-3</v>
      </c>
      <c r="K128" s="5" cm="1">
        <f t="array" ref="K128">_xlfn.STDEV.S(IF($C:$C=C128,$I:$I))</f>
        <v>7.1528610508022367E-2</v>
      </c>
      <c r="L128" s="7">
        <f t="shared" si="15"/>
        <v>-0.25566108342902283</v>
      </c>
      <c r="M128">
        <f t="shared" si="13"/>
        <v>0</v>
      </c>
      <c r="N128" s="9">
        <f t="shared" si="16"/>
        <v>9.3529411764705903E-2</v>
      </c>
      <c r="O128">
        <f>COUNTIFS($B$2:B128,B128,$C$2:C128,C128,$D$2:D128,"&lt;"&amp;D128,$F$2:F128,1)</f>
        <v>0</v>
      </c>
      <c r="P128">
        <f t="shared" si="14"/>
        <v>0</v>
      </c>
      <c r="Q128" t="str">
        <f t="shared" si="17"/>
        <v>Monitor</v>
      </c>
      <c r="R128">
        <v>0</v>
      </c>
      <c r="S128">
        <f t="shared" si="18"/>
        <v>0</v>
      </c>
      <c r="T128">
        <f t="shared" si="19"/>
        <v>0</v>
      </c>
      <c r="U128" t="str">
        <f t="shared" si="20"/>
        <v>Not Improved Enough</v>
      </c>
      <c r="V128" t="str">
        <f t="shared" si="21"/>
        <v>Far</v>
      </c>
      <c r="W128" t="str">
        <f t="shared" si="22"/>
        <v>Normal</v>
      </c>
      <c r="X128" t="str">
        <f t="shared" si="23"/>
        <v>Allowed</v>
      </c>
    </row>
    <row r="129" spans="1:24" x14ac:dyDescent="0.3">
      <c r="A129" t="s">
        <v>23</v>
      </c>
      <c r="B129" t="s">
        <v>11</v>
      </c>
      <c r="C129" t="s">
        <v>24</v>
      </c>
      <c r="D129" s="3">
        <v>45565</v>
      </c>
      <c r="E129" s="6">
        <v>0.82979999999999998</v>
      </c>
      <c r="F129">
        <v>0</v>
      </c>
      <c r="G129" t="s">
        <v>17</v>
      </c>
      <c r="H129" s="6">
        <v>0.85</v>
      </c>
      <c r="I129" s="8">
        <v>7.6963011031797562E-2</v>
      </c>
      <c r="J129" s="5">
        <f t="shared" si="12"/>
        <v>4.5902054585511267E-3</v>
      </c>
      <c r="K129" s="5" cm="1">
        <f t="array" ref="K129">_xlfn.STDEV.S(IF($C:$C=C129,$I:$I))</f>
        <v>7.1528610508022367E-2</v>
      </c>
      <c r="L129" s="7">
        <f t="shared" si="15"/>
        <v>1.0118022013740835</v>
      </c>
      <c r="M129">
        <f t="shared" si="13"/>
        <v>-1</v>
      </c>
      <c r="N129" s="9">
        <f t="shared" si="16"/>
        <v>2.3764705882352938E-2</v>
      </c>
      <c r="O129">
        <f>COUNTIFS($B$2:B129,B129,$C$2:C129,C129,$D$2:D129,"&lt;"&amp;D129,$F$2:F129,1)</f>
        <v>1</v>
      </c>
      <c r="P129">
        <f t="shared" si="14"/>
        <v>1</v>
      </c>
      <c r="Q129" t="str">
        <f t="shared" si="17"/>
        <v>Monitor</v>
      </c>
      <c r="R129">
        <v>1</v>
      </c>
      <c r="S129">
        <f t="shared" si="18"/>
        <v>0</v>
      </c>
      <c r="T129">
        <f t="shared" si="19"/>
        <v>0</v>
      </c>
      <c r="U129" t="str">
        <f t="shared" si="20"/>
        <v>Improved Enough</v>
      </c>
      <c r="V129" t="str">
        <f t="shared" si="21"/>
        <v>Far</v>
      </c>
      <c r="W129" t="str">
        <f t="shared" si="22"/>
        <v>Normal</v>
      </c>
      <c r="X129" t="str">
        <f t="shared" si="23"/>
        <v>Allowed</v>
      </c>
    </row>
    <row r="130" spans="1:24" x14ac:dyDescent="0.3">
      <c r="A130" t="s">
        <v>23</v>
      </c>
      <c r="B130" t="s">
        <v>11</v>
      </c>
      <c r="C130" t="s">
        <v>24</v>
      </c>
      <c r="D130" s="3">
        <v>45596</v>
      </c>
      <c r="E130" s="6">
        <v>0.84730000000000005</v>
      </c>
      <c r="F130">
        <v>0</v>
      </c>
      <c r="G130" t="s">
        <v>17</v>
      </c>
      <c r="H130" s="6">
        <v>0.85</v>
      </c>
      <c r="I130" s="8">
        <v>2.1089419137141571E-2</v>
      </c>
      <c r="J130" s="5">
        <f t="shared" ref="J130:J193" si="24">AVERAGEIF($C:$C,C130,$I:$I)</f>
        <v>4.5902054585511267E-3</v>
      </c>
      <c r="K130" s="5" cm="1">
        <f t="array" ref="K130">_xlfn.STDEV.S(IF($C:$C=C130,$I:$I))</f>
        <v>7.1528610508022367E-2</v>
      </c>
      <c r="L130" s="7">
        <f t="shared" si="15"/>
        <v>0.23066593299390259</v>
      </c>
      <c r="M130">
        <f t="shared" ref="M130:M193" si="25">IF(L130&lt;=-$Z$4,1,IF(L130&gt;=$Z$4,-1,0))</f>
        <v>0</v>
      </c>
      <c r="N130" s="9">
        <f t="shared" si="16"/>
        <v>3.1764705882352056E-3</v>
      </c>
      <c r="O130">
        <f>COUNTIFS($B$2:B130,B130,$C$2:C130,C130,$D$2:D130,"&lt;"&amp;D130,$F$2:F130,1)</f>
        <v>1</v>
      </c>
      <c r="P130">
        <f t="shared" ref="P130:P193" si="26">IF(AND(R130=1,I130&gt;0),1,IF(R130=1,-1,0))</f>
        <v>0</v>
      </c>
      <c r="Q130" t="str">
        <f t="shared" si="17"/>
        <v>Monitor</v>
      </c>
      <c r="R130">
        <v>0</v>
      </c>
      <c r="S130">
        <f t="shared" si="18"/>
        <v>0</v>
      </c>
      <c r="T130">
        <f t="shared" si="19"/>
        <v>0</v>
      </c>
      <c r="U130" t="str">
        <f t="shared" si="20"/>
        <v>Improved Enough</v>
      </c>
      <c r="V130" t="str">
        <f t="shared" si="21"/>
        <v>Close</v>
      </c>
      <c r="W130" t="str">
        <f t="shared" si="22"/>
        <v>Normal</v>
      </c>
      <c r="X130" t="str">
        <f t="shared" si="23"/>
        <v>Allowed</v>
      </c>
    </row>
    <row r="131" spans="1:24" x14ac:dyDescent="0.3">
      <c r="A131" t="s">
        <v>23</v>
      </c>
      <c r="B131" t="s">
        <v>11</v>
      </c>
      <c r="C131" t="s">
        <v>24</v>
      </c>
      <c r="D131" s="3">
        <v>45626</v>
      </c>
      <c r="E131" s="6">
        <v>0.80420000000000003</v>
      </c>
      <c r="F131">
        <v>1</v>
      </c>
      <c r="G131" t="s">
        <v>17</v>
      </c>
      <c r="H131" s="6">
        <v>0.85</v>
      </c>
      <c r="I131" s="8">
        <v>-5.086746134781072E-2</v>
      </c>
      <c r="J131" s="5">
        <f t="shared" si="24"/>
        <v>4.5902054585511267E-3</v>
      </c>
      <c r="K131" s="5" cm="1">
        <f t="array" ref="K131">_xlfn.STDEV.S(IF($C:$C=C131,$I:$I))</f>
        <v>7.1528610508022367E-2</v>
      </c>
      <c r="L131" s="7">
        <f t="shared" ref="L131:L194" si="27">IFERROR((I131-J131)/K131,0)</f>
        <v>-0.7753214610556699</v>
      </c>
      <c r="M131">
        <f t="shared" si="25"/>
        <v>1</v>
      </c>
      <c r="N131" s="9">
        <f t="shared" ref="N131:N194" si="28">IFERROR(IF(G131="DOWN",(E131-H131)/H131,(H131-E131)/H131),0)</f>
        <v>5.3882352941176416E-2</v>
      </c>
      <c r="O131">
        <f>COUNTIFS($B$2:B131,B131,$C$2:C131,C131,$D$2:D131,"&lt;"&amp;D131,$F$2:F131,1)</f>
        <v>1</v>
      </c>
      <c r="P131">
        <f t="shared" si="26"/>
        <v>0</v>
      </c>
      <c r="Q131" t="str">
        <f t="shared" ref="Q131:Q194" si="29">IF(I131&gt;=$Z$1,"Monitor",IF(AND(N131&gt;=$Z$2,L131&lt;=-$Z$4),IF(O131&lt;$Z$3,"Intervene","Escalate / Bigger Fix"),"Monitor"))</f>
        <v>Intervene</v>
      </c>
      <c r="R131">
        <v>0</v>
      </c>
      <c r="S131">
        <f t="shared" ref="S131:S194" si="30">IF(Q131="Intervene",1,IF(Q131="Escalate / Bigger Fix",-1,0))</f>
        <v>1</v>
      </c>
      <c r="T131">
        <f t="shared" ref="T131:T194" si="31">IF(Q131="Intervene",1,0)</f>
        <v>1</v>
      </c>
      <c r="U131" t="str">
        <f t="shared" ref="U131:U194" si="32">IF(I131&gt;=$Z$1,"Improved Enough","Not Improved Enough")</f>
        <v>Not Improved Enough</v>
      </c>
      <c r="V131" t="str">
        <f t="shared" ref="V131:V194" si="33">IF(N131&gt;=$Z$2,"Far","Close")</f>
        <v>Far</v>
      </c>
      <c r="W131" t="str">
        <f t="shared" ref="W131:W194" si="34">IF(L131&lt;=-$Z$4,"Abnormal","Normal")</f>
        <v>Abnormal</v>
      </c>
      <c r="X131" t="str">
        <f t="shared" ref="X131:X194" si="35">IF(O131&lt;$Z$3,"Allowed","Maxed Out")</f>
        <v>Allowed</v>
      </c>
    </row>
    <row r="132" spans="1:24" x14ac:dyDescent="0.3">
      <c r="A132" t="s">
        <v>23</v>
      </c>
      <c r="B132" t="s">
        <v>11</v>
      </c>
      <c r="C132" t="s">
        <v>24</v>
      </c>
      <c r="D132" s="3">
        <v>45657</v>
      </c>
      <c r="E132" s="6">
        <v>0.74780000000000002</v>
      </c>
      <c r="F132">
        <v>1</v>
      </c>
      <c r="G132" t="s">
        <v>17</v>
      </c>
      <c r="H132" s="6">
        <v>0.85</v>
      </c>
      <c r="I132" s="8">
        <v>-7.0131808007958221E-2</v>
      </c>
      <c r="J132" s="5">
        <f t="shared" si="24"/>
        <v>4.5902054585511267E-3</v>
      </c>
      <c r="K132" s="5" cm="1">
        <f t="array" ref="K132">_xlfn.STDEV.S(IF($C:$C=C132,$I:$I))</f>
        <v>7.1528610508022367E-2</v>
      </c>
      <c r="L132" s="7">
        <f t="shared" si="27"/>
        <v>-1.0446451138335593</v>
      </c>
      <c r="M132">
        <f t="shared" si="25"/>
        <v>1</v>
      </c>
      <c r="N132" s="9">
        <f t="shared" si="28"/>
        <v>0.12023529411764701</v>
      </c>
      <c r="O132">
        <f>COUNTIFS($B$2:B132,B132,$C$2:C132,C132,$D$2:D132,"&lt;"&amp;D132,$F$2:F132,1)</f>
        <v>2</v>
      </c>
      <c r="P132">
        <f t="shared" si="26"/>
        <v>-1</v>
      </c>
      <c r="Q132" t="str">
        <f t="shared" si="29"/>
        <v>Intervene</v>
      </c>
      <c r="R132">
        <v>1</v>
      </c>
      <c r="S132">
        <f t="shared" si="30"/>
        <v>1</v>
      </c>
      <c r="T132">
        <f t="shared" si="31"/>
        <v>1</v>
      </c>
      <c r="U132" t="str">
        <f t="shared" si="32"/>
        <v>Not Improved Enough</v>
      </c>
      <c r="V132" t="str">
        <f t="shared" si="33"/>
        <v>Far</v>
      </c>
      <c r="W132" t="str">
        <f t="shared" si="34"/>
        <v>Abnormal</v>
      </c>
      <c r="X132" t="str">
        <f t="shared" si="35"/>
        <v>Allowed</v>
      </c>
    </row>
    <row r="133" spans="1:24" x14ac:dyDescent="0.3">
      <c r="A133" t="s">
        <v>23</v>
      </c>
      <c r="B133" t="s">
        <v>11</v>
      </c>
      <c r="C133" t="s">
        <v>24</v>
      </c>
      <c r="D133" s="3">
        <v>45688</v>
      </c>
      <c r="E133" s="6">
        <v>0.77939999999999998</v>
      </c>
      <c r="F133">
        <v>0</v>
      </c>
      <c r="G133" t="s">
        <v>17</v>
      </c>
      <c r="H133" s="6">
        <v>0.85</v>
      </c>
      <c r="I133" s="8">
        <v>4.225728804493175E-2</v>
      </c>
      <c r="J133" s="5">
        <f t="shared" si="24"/>
        <v>4.5902054585511267E-3</v>
      </c>
      <c r="K133" s="5" cm="1">
        <f t="array" ref="K133">_xlfn.STDEV.S(IF($C:$C=C133,$I:$I))</f>
        <v>7.1528610508022367E-2</v>
      </c>
      <c r="L133" s="7">
        <f t="shared" si="27"/>
        <v>0.52660162582294301</v>
      </c>
      <c r="M133">
        <f t="shared" si="25"/>
        <v>-1</v>
      </c>
      <c r="N133" s="9">
        <f t="shared" si="28"/>
        <v>8.3058823529411768E-2</v>
      </c>
      <c r="O133">
        <f>COUNTIFS($B$2:B133,B133,$C$2:C133,C133,$D$2:D133,"&lt;"&amp;D133,$F$2:F133,1)</f>
        <v>3</v>
      </c>
      <c r="P133">
        <f t="shared" si="26"/>
        <v>1</v>
      </c>
      <c r="Q133" t="str">
        <f t="shared" si="29"/>
        <v>Monitor</v>
      </c>
      <c r="R133">
        <v>1</v>
      </c>
      <c r="S133">
        <f t="shared" si="30"/>
        <v>0</v>
      </c>
      <c r="T133">
        <f t="shared" si="31"/>
        <v>0</v>
      </c>
      <c r="U133" t="str">
        <f t="shared" si="32"/>
        <v>Improved Enough</v>
      </c>
      <c r="V133" t="str">
        <f t="shared" si="33"/>
        <v>Far</v>
      </c>
      <c r="W133" t="str">
        <f t="shared" si="34"/>
        <v>Normal</v>
      </c>
      <c r="X133" t="str">
        <f t="shared" si="35"/>
        <v>Allowed</v>
      </c>
    </row>
    <row r="134" spans="1:24" x14ac:dyDescent="0.3">
      <c r="A134" t="s">
        <v>23</v>
      </c>
      <c r="B134" t="s">
        <v>11</v>
      </c>
      <c r="C134" t="s">
        <v>24</v>
      </c>
      <c r="D134" s="3">
        <v>45716</v>
      </c>
      <c r="E134" s="6">
        <v>0.80989999999999995</v>
      </c>
      <c r="F134">
        <v>0</v>
      </c>
      <c r="G134" t="s">
        <v>17</v>
      </c>
      <c r="H134" s="6">
        <v>0.85</v>
      </c>
      <c r="I134" s="8">
        <v>3.9132666153451338E-2</v>
      </c>
      <c r="J134" s="5">
        <f t="shared" si="24"/>
        <v>4.5902054585511267E-3</v>
      </c>
      <c r="K134" s="5" cm="1">
        <f t="array" ref="K134">_xlfn.STDEV.S(IF($C:$C=C134,$I:$I))</f>
        <v>7.1528610508022367E-2</v>
      </c>
      <c r="L134" s="7">
        <f t="shared" si="27"/>
        <v>0.48291810017791503</v>
      </c>
      <c r="M134">
        <f t="shared" si="25"/>
        <v>0</v>
      </c>
      <c r="N134" s="9">
        <f t="shared" si="28"/>
        <v>4.7176470588235327E-2</v>
      </c>
      <c r="O134">
        <f>COUNTIFS($B$2:B134,B134,$C$2:C134,C134,$D$2:D134,"&lt;"&amp;D134,$F$2:F134,1)</f>
        <v>3</v>
      </c>
      <c r="P134">
        <f t="shared" si="26"/>
        <v>0</v>
      </c>
      <c r="Q134" t="str">
        <f t="shared" si="29"/>
        <v>Monitor</v>
      </c>
      <c r="R134">
        <v>0</v>
      </c>
      <c r="S134">
        <f t="shared" si="30"/>
        <v>0</v>
      </c>
      <c r="T134">
        <f t="shared" si="31"/>
        <v>0</v>
      </c>
      <c r="U134" t="str">
        <f t="shared" si="32"/>
        <v>Improved Enough</v>
      </c>
      <c r="V134" t="str">
        <f t="shared" si="33"/>
        <v>Far</v>
      </c>
      <c r="W134" t="str">
        <f t="shared" si="34"/>
        <v>Normal</v>
      </c>
      <c r="X134" t="str">
        <f t="shared" si="35"/>
        <v>Allowed</v>
      </c>
    </row>
    <row r="135" spans="1:24" x14ac:dyDescent="0.3">
      <c r="A135" t="s">
        <v>23</v>
      </c>
      <c r="B135" t="s">
        <v>11</v>
      </c>
      <c r="C135" t="s">
        <v>24</v>
      </c>
      <c r="D135" s="3">
        <v>45747</v>
      </c>
      <c r="E135" s="6">
        <v>0.80469999999999997</v>
      </c>
      <c r="F135">
        <v>1</v>
      </c>
      <c r="G135" t="s">
        <v>17</v>
      </c>
      <c r="H135" s="6">
        <v>0.85</v>
      </c>
      <c r="I135" s="8">
        <v>-6.4205457463884213E-3</v>
      </c>
      <c r="J135" s="5">
        <f t="shared" si="24"/>
        <v>4.5902054585511267E-3</v>
      </c>
      <c r="K135" s="5" cm="1">
        <f t="array" ref="K135">_xlfn.STDEV.S(IF($C:$C=C135,$I:$I))</f>
        <v>7.1528610508022367E-2</v>
      </c>
      <c r="L135" s="7">
        <f t="shared" si="27"/>
        <v>-0.15393492375620277</v>
      </c>
      <c r="M135">
        <f t="shared" si="25"/>
        <v>0</v>
      </c>
      <c r="N135" s="9">
        <f t="shared" si="28"/>
        <v>5.3294117647058832E-2</v>
      </c>
      <c r="O135">
        <f>COUNTIFS($B$2:B135,B135,$C$2:C135,C135,$D$2:D135,"&lt;"&amp;D135,$F$2:F135,1)</f>
        <v>3</v>
      </c>
      <c r="P135">
        <f t="shared" si="26"/>
        <v>0</v>
      </c>
      <c r="Q135" t="str">
        <f t="shared" si="29"/>
        <v>Monitor</v>
      </c>
      <c r="R135">
        <v>0</v>
      </c>
      <c r="S135">
        <f t="shared" si="30"/>
        <v>0</v>
      </c>
      <c r="T135">
        <f t="shared" si="31"/>
        <v>0</v>
      </c>
      <c r="U135" t="str">
        <f t="shared" si="32"/>
        <v>Not Improved Enough</v>
      </c>
      <c r="V135" t="str">
        <f t="shared" si="33"/>
        <v>Far</v>
      </c>
      <c r="W135" t="str">
        <f t="shared" si="34"/>
        <v>Normal</v>
      </c>
      <c r="X135" t="str">
        <f t="shared" si="35"/>
        <v>Allowed</v>
      </c>
    </row>
    <row r="136" spans="1:24" x14ac:dyDescent="0.3">
      <c r="A136" t="s">
        <v>23</v>
      </c>
      <c r="B136" t="s">
        <v>11</v>
      </c>
      <c r="C136" t="s">
        <v>24</v>
      </c>
      <c r="D136" s="3">
        <v>45777</v>
      </c>
      <c r="E136" s="6">
        <v>0.80159999999999998</v>
      </c>
      <c r="F136">
        <v>1</v>
      </c>
      <c r="G136" t="s">
        <v>17</v>
      </c>
      <c r="H136" s="6">
        <v>0.85</v>
      </c>
      <c r="I136" s="8">
        <v>-3.852367341866524E-3</v>
      </c>
      <c r="J136" s="5">
        <f t="shared" si="24"/>
        <v>4.5902054585511267E-3</v>
      </c>
      <c r="K136" s="5" cm="1">
        <f t="array" ref="K136">_xlfn.STDEV.S(IF($C:$C=C136,$I:$I))</f>
        <v>7.1528610508022367E-2</v>
      </c>
      <c r="L136" s="7">
        <f t="shared" si="27"/>
        <v>-0.11803071163350455</v>
      </c>
      <c r="M136">
        <f t="shared" si="25"/>
        <v>0</v>
      </c>
      <c r="N136" s="9">
        <f t="shared" si="28"/>
        <v>5.6941176470588238E-2</v>
      </c>
      <c r="O136">
        <f>COUNTIFS($B$2:B136,B136,$C$2:C136,C136,$D$2:D136,"&lt;"&amp;D136,$F$2:F136,1)</f>
        <v>4</v>
      </c>
      <c r="P136">
        <f t="shared" si="26"/>
        <v>-1</v>
      </c>
      <c r="Q136" t="str">
        <f t="shared" si="29"/>
        <v>Monitor</v>
      </c>
      <c r="R136">
        <v>1</v>
      </c>
      <c r="S136">
        <f t="shared" si="30"/>
        <v>0</v>
      </c>
      <c r="T136">
        <f t="shared" si="31"/>
        <v>0</v>
      </c>
      <c r="U136" t="str">
        <f t="shared" si="32"/>
        <v>Not Improved Enough</v>
      </c>
      <c r="V136" t="str">
        <f t="shared" si="33"/>
        <v>Far</v>
      </c>
      <c r="W136" t="str">
        <f t="shared" si="34"/>
        <v>Normal</v>
      </c>
      <c r="X136" t="str">
        <f t="shared" si="35"/>
        <v>Allowed</v>
      </c>
    </row>
    <row r="137" spans="1:24" x14ac:dyDescent="0.3">
      <c r="A137" t="s">
        <v>23</v>
      </c>
      <c r="B137" t="s">
        <v>11</v>
      </c>
      <c r="C137" t="s">
        <v>24</v>
      </c>
      <c r="D137" s="3">
        <v>45808</v>
      </c>
      <c r="E137" s="6">
        <v>0.79610000000000003</v>
      </c>
      <c r="F137">
        <v>1</v>
      </c>
      <c r="G137" t="s">
        <v>17</v>
      </c>
      <c r="H137" s="6">
        <v>0.85</v>
      </c>
      <c r="I137" s="8">
        <v>-6.8612774451097171E-3</v>
      </c>
      <c r="J137" s="5">
        <f t="shared" si="24"/>
        <v>4.5902054585511267E-3</v>
      </c>
      <c r="K137" s="5" cm="1">
        <f t="array" ref="K137">_xlfn.STDEV.S(IF($C:$C=C137,$I:$I))</f>
        <v>7.1528610508022367E-2</v>
      </c>
      <c r="L137" s="7">
        <f t="shared" si="27"/>
        <v>-0.16009653790739428</v>
      </c>
      <c r="M137">
        <f t="shared" si="25"/>
        <v>0</v>
      </c>
      <c r="N137" s="9">
        <f t="shared" si="28"/>
        <v>6.3411764705882293E-2</v>
      </c>
      <c r="O137">
        <f>COUNTIFS($B$2:B137,B137,$C$2:C137,C137,$D$2:D137,"&lt;"&amp;D137,$F$2:F137,1)</f>
        <v>5</v>
      </c>
      <c r="P137">
        <f t="shared" si="26"/>
        <v>-1</v>
      </c>
      <c r="Q137" t="str">
        <f t="shared" si="29"/>
        <v>Monitor</v>
      </c>
      <c r="R137">
        <v>1</v>
      </c>
      <c r="S137">
        <f t="shared" si="30"/>
        <v>0</v>
      </c>
      <c r="T137">
        <f t="shared" si="31"/>
        <v>0</v>
      </c>
      <c r="U137" t="str">
        <f t="shared" si="32"/>
        <v>Not Improved Enough</v>
      </c>
      <c r="V137" t="str">
        <f t="shared" si="33"/>
        <v>Far</v>
      </c>
      <c r="W137" t="str">
        <f t="shared" si="34"/>
        <v>Normal</v>
      </c>
      <c r="X137" t="str">
        <f t="shared" si="35"/>
        <v>Maxed Out</v>
      </c>
    </row>
    <row r="138" spans="1:24" x14ac:dyDescent="0.3">
      <c r="A138" t="s">
        <v>23</v>
      </c>
      <c r="B138" t="s">
        <v>11</v>
      </c>
      <c r="C138" t="s">
        <v>24</v>
      </c>
      <c r="D138" s="3">
        <v>45838</v>
      </c>
      <c r="E138" s="6">
        <v>0.87180000000000002</v>
      </c>
      <c r="F138">
        <v>0</v>
      </c>
      <c r="G138" t="s">
        <v>17</v>
      </c>
      <c r="H138" s="6">
        <v>0.85</v>
      </c>
      <c r="I138" s="8">
        <v>9.5088556713980643E-2</v>
      </c>
      <c r="J138" s="5">
        <f t="shared" si="24"/>
        <v>4.5902054585511267E-3</v>
      </c>
      <c r="K138" s="5" cm="1">
        <f t="array" ref="K138">_xlfn.STDEV.S(IF($C:$C=C138,$I:$I))</f>
        <v>7.1528610508022367E-2</v>
      </c>
      <c r="L138" s="7">
        <f t="shared" si="27"/>
        <v>1.2652049384529787</v>
      </c>
      <c r="M138">
        <f t="shared" si="25"/>
        <v>-1</v>
      </c>
      <c r="N138" s="9">
        <f t="shared" si="28"/>
        <v>-2.564705882352946E-2</v>
      </c>
      <c r="O138">
        <f>COUNTIFS($B$2:B138,B138,$C$2:C138,C138,$D$2:D138,"&lt;"&amp;D138,$F$2:F138,1)</f>
        <v>6</v>
      </c>
      <c r="P138">
        <f t="shared" si="26"/>
        <v>1</v>
      </c>
      <c r="Q138" t="str">
        <f t="shared" si="29"/>
        <v>Monitor</v>
      </c>
      <c r="R138">
        <v>1</v>
      </c>
      <c r="S138">
        <f t="shared" si="30"/>
        <v>0</v>
      </c>
      <c r="T138">
        <f t="shared" si="31"/>
        <v>0</v>
      </c>
      <c r="U138" t="str">
        <f t="shared" si="32"/>
        <v>Improved Enough</v>
      </c>
      <c r="V138" t="str">
        <f t="shared" si="33"/>
        <v>Close</v>
      </c>
      <c r="W138" t="str">
        <f t="shared" si="34"/>
        <v>Normal</v>
      </c>
      <c r="X138" t="str">
        <f t="shared" si="35"/>
        <v>Maxed Out</v>
      </c>
    </row>
    <row r="139" spans="1:24" x14ac:dyDescent="0.3">
      <c r="A139" t="s">
        <v>23</v>
      </c>
      <c r="B139" t="s">
        <v>11</v>
      </c>
      <c r="C139" t="s">
        <v>24</v>
      </c>
      <c r="D139" s="3">
        <v>45869</v>
      </c>
      <c r="E139" s="6">
        <v>0.82699999999999996</v>
      </c>
      <c r="F139">
        <v>0</v>
      </c>
      <c r="G139" t="s">
        <v>17</v>
      </c>
      <c r="H139" s="6">
        <v>0.85</v>
      </c>
      <c r="I139" s="8">
        <v>-5.1387933012158819E-2</v>
      </c>
      <c r="J139" s="5">
        <f t="shared" si="24"/>
        <v>4.5902054585511267E-3</v>
      </c>
      <c r="K139" s="5" cm="1">
        <f t="array" ref="K139">_xlfn.STDEV.S(IF($C:$C=C139,$I:$I))</f>
        <v>7.1528610508022367E-2</v>
      </c>
      <c r="L139" s="7">
        <f t="shared" si="27"/>
        <v>-0.78259787339824893</v>
      </c>
      <c r="M139">
        <f t="shared" si="25"/>
        <v>1</v>
      </c>
      <c r="N139" s="9">
        <f t="shared" si="28"/>
        <v>2.7058823529411788E-2</v>
      </c>
      <c r="O139">
        <f>COUNTIFS($B$2:B139,B139,$C$2:C139,C139,$D$2:D139,"&lt;"&amp;D139,$F$2:F139,1)</f>
        <v>6</v>
      </c>
      <c r="P139">
        <f t="shared" si="26"/>
        <v>0</v>
      </c>
      <c r="Q139" t="str">
        <f t="shared" si="29"/>
        <v>Escalate / Bigger Fix</v>
      </c>
      <c r="R139">
        <v>0</v>
      </c>
      <c r="S139">
        <f t="shared" si="30"/>
        <v>-1</v>
      </c>
      <c r="T139">
        <f t="shared" si="31"/>
        <v>0</v>
      </c>
      <c r="U139" t="str">
        <f t="shared" si="32"/>
        <v>Not Improved Enough</v>
      </c>
      <c r="V139" t="str">
        <f t="shared" si="33"/>
        <v>Far</v>
      </c>
      <c r="W139" t="str">
        <f t="shared" si="34"/>
        <v>Abnormal</v>
      </c>
      <c r="X139" t="str">
        <f t="shared" si="35"/>
        <v>Maxed Out</v>
      </c>
    </row>
    <row r="140" spans="1:24" x14ac:dyDescent="0.3">
      <c r="A140" t="s">
        <v>23</v>
      </c>
      <c r="B140" t="s">
        <v>11</v>
      </c>
      <c r="C140" t="s">
        <v>24</v>
      </c>
      <c r="D140" s="3">
        <v>45900</v>
      </c>
      <c r="E140" s="6">
        <v>0.76900000000000002</v>
      </c>
      <c r="F140">
        <v>1</v>
      </c>
      <c r="G140" t="s">
        <v>17</v>
      </c>
      <c r="H140" s="6">
        <v>0.85</v>
      </c>
      <c r="I140" s="8">
        <v>-7.0133010882708513E-2</v>
      </c>
      <c r="J140" s="5">
        <f t="shared" si="24"/>
        <v>4.5902054585511267E-3</v>
      </c>
      <c r="K140" s="5" cm="1">
        <f t="array" ref="K140">_xlfn.STDEV.S(IF($C:$C=C140,$I:$I))</f>
        <v>7.1528610508022367E-2</v>
      </c>
      <c r="L140" s="7">
        <f t="shared" si="27"/>
        <v>-1.0446619305274911</v>
      </c>
      <c r="M140">
        <f t="shared" si="25"/>
        <v>1</v>
      </c>
      <c r="N140" s="9">
        <f t="shared" si="28"/>
        <v>9.5294117647058779E-2</v>
      </c>
      <c r="O140">
        <f>COUNTIFS($B$2:B140,B140,$C$2:C140,C140,$D$2:D140,"&lt;"&amp;D140,$F$2:F140,1)</f>
        <v>6</v>
      </c>
      <c r="P140">
        <f t="shared" si="26"/>
        <v>0</v>
      </c>
      <c r="Q140" t="str">
        <f t="shared" si="29"/>
        <v>Escalate / Bigger Fix</v>
      </c>
      <c r="R140">
        <v>0</v>
      </c>
      <c r="S140">
        <f t="shared" si="30"/>
        <v>-1</v>
      </c>
      <c r="T140">
        <f t="shared" si="31"/>
        <v>0</v>
      </c>
      <c r="U140" t="str">
        <f t="shared" si="32"/>
        <v>Not Improved Enough</v>
      </c>
      <c r="V140" t="str">
        <f t="shared" si="33"/>
        <v>Far</v>
      </c>
      <c r="W140" t="str">
        <f t="shared" si="34"/>
        <v>Abnormal</v>
      </c>
      <c r="X140" t="str">
        <f t="shared" si="35"/>
        <v>Maxed Out</v>
      </c>
    </row>
    <row r="141" spans="1:24" x14ac:dyDescent="0.3">
      <c r="A141" t="s">
        <v>23</v>
      </c>
      <c r="B141" t="s">
        <v>11</v>
      </c>
      <c r="C141" t="s">
        <v>24</v>
      </c>
      <c r="D141" s="3">
        <v>45930</v>
      </c>
      <c r="E141" s="6">
        <v>0.878</v>
      </c>
      <c r="F141">
        <v>0</v>
      </c>
      <c r="G141" t="s">
        <v>17</v>
      </c>
      <c r="H141" s="6">
        <v>0.85</v>
      </c>
      <c r="I141" s="8">
        <v>0.141742522756827</v>
      </c>
      <c r="J141" s="5">
        <f t="shared" si="24"/>
        <v>4.5902054585511267E-3</v>
      </c>
      <c r="K141" s="5" cm="1">
        <f t="array" ref="K141">_xlfn.STDEV.S(IF($C:$C=C141,$I:$I))</f>
        <v>7.1528610508022367E-2</v>
      </c>
      <c r="L141" s="7">
        <f t="shared" si="27"/>
        <v>1.9174469673627088</v>
      </c>
      <c r="M141">
        <f t="shared" si="25"/>
        <v>-1</v>
      </c>
      <c r="N141" s="9">
        <f t="shared" si="28"/>
        <v>-3.2941176470588265E-2</v>
      </c>
      <c r="O141">
        <f>COUNTIFS($B$2:B141,B141,$C$2:C141,C141,$D$2:D141,"&lt;"&amp;D141,$F$2:F141,1)</f>
        <v>7</v>
      </c>
      <c r="P141">
        <f t="shared" si="26"/>
        <v>1</v>
      </c>
      <c r="Q141" t="str">
        <f t="shared" si="29"/>
        <v>Monitor</v>
      </c>
      <c r="R141">
        <v>1</v>
      </c>
      <c r="S141">
        <f t="shared" si="30"/>
        <v>0</v>
      </c>
      <c r="T141">
        <f t="shared" si="31"/>
        <v>0</v>
      </c>
      <c r="U141" t="str">
        <f t="shared" si="32"/>
        <v>Improved Enough</v>
      </c>
      <c r="V141" t="str">
        <f t="shared" si="33"/>
        <v>Close</v>
      </c>
      <c r="W141" t="str">
        <f t="shared" si="34"/>
        <v>Normal</v>
      </c>
      <c r="X141" t="str">
        <f t="shared" si="35"/>
        <v>Maxed Out</v>
      </c>
    </row>
    <row r="142" spans="1:24" x14ac:dyDescent="0.3">
      <c r="A142" t="s">
        <v>23</v>
      </c>
      <c r="B142" t="s">
        <v>11</v>
      </c>
      <c r="C142" t="s">
        <v>24</v>
      </c>
      <c r="D142" s="3">
        <v>45961</v>
      </c>
      <c r="E142" s="6">
        <v>0.79400000000000004</v>
      </c>
      <c r="F142">
        <v>0</v>
      </c>
      <c r="G142" t="s">
        <v>17</v>
      </c>
      <c r="H142" s="6">
        <v>0.85</v>
      </c>
      <c r="I142" s="8">
        <v>-9.5671981776765336E-2</v>
      </c>
      <c r="J142" s="5">
        <f t="shared" si="24"/>
        <v>4.5902054585511267E-3</v>
      </c>
      <c r="K142" s="5" cm="1">
        <f t="array" ref="K142">_xlfn.STDEV.S(IF($C:$C=C142,$I:$I))</f>
        <v>7.1528610508022367E-2</v>
      </c>
      <c r="L142" s="7">
        <f t="shared" si="27"/>
        <v>-1.4017074639534828</v>
      </c>
      <c r="M142">
        <f t="shared" si="25"/>
        <v>1</v>
      </c>
      <c r="N142" s="9">
        <f t="shared" si="28"/>
        <v>6.5882352941176406E-2</v>
      </c>
      <c r="O142">
        <f>COUNTIFS($B$2:B142,B142,$C$2:C142,C142,$D$2:D142,"&lt;"&amp;D142,$F$2:F142,1)</f>
        <v>7</v>
      </c>
      <c r="P142">
        <f t="shared" si="26"/>
        <v>0</v>
      </c>
      <c r="Q142" t="str">
        <f t="shared" si="29"/>
        <v>Escalate / Bigger Fix</v>
      </c>
      <c r="R142">
        <v>0</v>
      </c>
      <c r="S142">
        <f t="shared" si="30"/>
        <v>-1</v>
      </c>
      <c r="T142">
        <f t="shared" si="31"/>
        <v>0</v>
      </c>
      <c r="U142" t="str">
        <f t="shared" si="32"/>
        <v>Not Improved Enough</v>
      </c>
      <c r="V142" t="str">
        <f t="shared" si="33"/>
        <v>Far</v>
      </c>
      <c r="W142" t="str">
        <f t="shared" si="34"/>
        <v>Abnormal</v>
      </c>
      <c r="X142" t="str">
        <f t="shared" si="35"/>
        <v>Maxed Out</v>
      </c>
    </row>
    <row r="143" spans="1:24" x14ac:dyDescent="0.3">
      <c r="A143" t="s">
        <v>23</v>
      </c>
      <c r="B143" t="s">
        <v>11</v>
      </c>
      <c r="C143" t="s">
        <v>24</v>
      </c>
      <c r="D143" s="3">
        <v>45991</v>
      </c>
      <c r="E143" s="6">
        <v>0.84399999999999997</v>
      </c>
      <c r="F143">
        <v>0</v>
      </c>
      <c r="G143" t="s">
        <v>17</v>
      </c>
      <c r="H143" s="6">
        <v>0.85</v>
      </c>
      <c r="I143" s="8">
        <v>6.2972292191435686E-2</v>
      </c>
      <c r="J143" s="5">
        <f t="shared" si="24"/>
        <v>4.5902054585511267E-3</v>
      </c>
      <c r="K143" s="5" cm="1">
        <f t="array" ref="K143">_xlfn.STDEV.S(IF($C:$C=C143,$I:$I))</f>
        <v>7.1528610508022367E-2</v>
      </c>
      <c r="L143" s="7">
        <f t="shared" si="27"/>
        <v>0.8162060791931175</v>
      </c>
      <c r="M143">
        <f t="shared" si="25"/>
        <v>-1</v>
      </c>
      <c r="N143" s="9">
        <f t="shared" si="28"/>
        <v>7.058823529411771E-3</v>
      </c>
      <c r="O143">
        <f>COUNTIFS($B$2:B143,B143,$C$2:C143,C143,$D$2:D143,"&lt;"&amp;D143,$F$2:F143,1)</f>
        <v>7</v>
      </c>
      <c r="P143">
        <f t="shared" si="26"/>
        <v>0</v>
      </c>
      <c r="Q143" t="str">
        <f t="shared" si="29"/>
        <v>Monitor</v>
      </c>
      <c r="R143">
        <v>0</v>
      </c>
      <c r="S143">
        <f t="shared" si="30"/>
        <v>0</v>
      </c>
      <c r="T143">
        <f t="shared" si="31"/>
        <v>0</v>
      </c>
      <c r="U143" t="str">
        <f t="shared" si="32"/>
        <v>Improved Enough</v>
      </c>
      <c r="V143" t="str">
        <f t="shared" si="33"/>
        <v>Close</v>
      </c>
      <c r="W143" t="str">
        <f t="shared" si="34"/>
        <v>Normal</v>
      </c>
      <c r="X143" t="str">
        <f t="shared" si="35"/>
        <v>Maxed Out</v>
      </c>
    </row>
    <row r="144" spans="1:24" x14ac:dyDescent="0.3">
      <c r="A144" t="s">
        <v>23</v>
      </c>
      <c r="B144" t="s">
        <v>11</v>
      </c>
      <c r="C144" t="s">
        <v>25</v>
      </c>
      <c r="D144" s="3">
        <v>45535</v>
      </c>
      <c r="E144" s="6">
        <v>0.68</v>
      </c>
      <c r="F144">
        <v>0</v>
      </c>
      <c r="G144" t="s">
        <v>17</v>
      </c>
      <c r="H144" s="6">
        <v>0.65</v>
      </c>
      <c r="I144" s="8">
        <v>-0.1257392645924402</v>
      </c>
      <c r="J144" s="5">
        <f t="shared" si="24"/>
        <v>1.2057533289701232E-2</v>
      </c>
      <c r="K144" s="5" cm="1">
        <f t="array" ref="K144">_xlfn.STDEV.S(IF($C:$C=C144,$I:$I))</f>
        <v>0.17981498891186962</v>
      </c>
      <c r="L144" s="7">
        <f t="shared" si="27"/>
        <v>-0.76632542546093307</v>
      </c>
      <c r="M144">
        <f t="shared" si="25"/>
        <v>1</v>
      </c>
      <c r="N144" s="9">
        <f t="shared" si="28"/>
        <v>-4.6153846153846191E-2</v>
      </c>
      <c r="O144">
        <f>COUNTIFS($B$2:B144,B144,$C$2:C144,C144,$D$2:D144,"&lt;"&amp;D144,$F$2:F144,1)</f>
        <v>0</v>
      </c>
      <c r="P144">
        <f t="shared" si="26"/>
        <v>0</v>
      </c>
      <c r="Q144" t="str">
        <f t="shared" si="29"/>
        <v>Monitor</v>
      </c>
      <c r="R144">
        <v>0</v>
      </c>
      <c r="S144">
        <f t="shared" si="30"/>
        <v>0</v>
      </c>
      <c r="T144">
        <f t="shared" si="31"/>
        <v>0</v>
      </c>
      <c r="U144" t="str">
        <f t="shared" si="32"/>
        <v>Not Improved Enough</v>
      </c>
      <c r="V144" t="str">
        <f t="shared" si="33"/>
        <v>Close</v>
      </c>
      <c r="W144" t="str">
        <f t="shared" si="34"/>
        <v>Abnormal</v>
      </c>
      <c r="X144" t="str">
        <f t="shared" si="35"/>
        <v>Allowed</v>
      </c>
    </row>
    <row r="145" spans="1:24" x14ac:dyDescent="0.3">
      <c r="A145" t="s">
        <v>23</v>
      </c>
      <c r="B145" t="s">
        <v>11</v>
      </c>
      <c r="C145" t="s">
        <v>25</v>
      </c>
      <c r="D145" s="3">
        <v>45565</v>
      </c>
      <c r="E145" s="6">
        <v>0.7238</v>
      </c>
      <c r="F145">
        <v>0</v>
      </c>
      <c r="G145" t="s">
        <v>17</v>
      </c>
      <c r="H145" s="6">
        <v>0.65</v>
      </c>
      <c r="I145" s="8">
        <v>6.441176470588228E-2</v>
      </c>
      <c r="J145" s="5">
        <f t="shared" si="24"/>
        <v>1.2057533289701232E-2</v>
      </c>
      <c r="K145" s="5" cm="1">
        <f t="array" ref="K145">_xlfn.STDEV.S(IF($C:$C=C145,$I:$I))</f>
        <v>0.17981498891186962</v>
      </c>
      <c r="L145" s="7">
        <f t="shared" si="27"/>
        <v>0.29115610290886679</v>
      </c>
      <c r="M145">
        <f t="shared" si="25"/>
        <v>0</v>
      </c>
      <c r="N145" s="9">
        <f t="shared" si="28"/>
        <v>-0.1135384615384615</v>
      </c>
      <c r="O145">
        <f>COUNTIFS($B$2:B145,B145,$C$2:C145,C145,$D$2:D145,"&lt;"&amp;D145,$F$2:F145,1)</f>
        <v>0</v>
      </c>
      <c r="P145">
        <f t="shared" si="26"/>
        <v>0</v>
      </c>
      <c r="Q145" t="str">
        <f t="shared" si="29"/>
        <v>Monitor</v>
      </c>
      <c r="R145">
        <v>0</v>
      </c>
      <c r="S145">
        <f t="shared" si="30"/>
        <v>0</v>
      </c>
      <c r="T145">
        <f t="shared" si="31"/>
        <v>0</v>
      </c>
      <c r="U145" t="str">
        <f t="shared" si="32"/>
        <v>Improved Enough</v>
      </c>
      <c r="V145" t="str">
        <f t="shared" si="33"/>
        <v>Close</v>
      </c>
      <c r="W145" t="str">
        <f t="shared" si="34"/>
        <v>Normal</v>
      </c>
      <c r="X145" t="str">
        <f t="shared" si="35"/>
        <v>Allowed</v>
      </c>
    </row>
    <row r="146" spans="1:24" x14ac:dyDescent="0.3">
      <c r="A146" t="s">
        <v>23</v>
      </c>
      <c r="B146" t="s">
        <v>11</v>
      </c>
      <c r="C146" t="s">
        <v>25</v>
      </c>
      <c r="D146" s="3">
        <v>45596</v>
      </c>
      <c r="E146" s="6">
        <v>0.7</v>
      </c>
      <c r="F146">
        <v>0</v>
      </c>
      <c r="G146" t="s">
        <v>17</v>
      </c>
      <c r="H146" s="6">
        <v>0.65</v>
      </c>
      <c r="I146" s="8">
        <v>-3.2882011605415921E-2</v>
      </c>
      <c r="J146" s="5">
        <f t="shared" si="24"/>
        <v>1.2057533289701232E-2</v>
      </c>
      <c r="K146" s="5" cm="1">
        <f t="array" ref="K146">_xlfn.STDEV.S(IF($C:$C=C146,$I:$I))</f>
        <v>0.17981498891186962</v>
      </c>
      <c r="L146" s="7">
        <f t="shared" si="27"/>
        <v>-0.24992101696896241</v>
      </c>
      <c r="M146">
        <f t="shared" si="25"/>
        <v>0</v>
      </c>
      <c r="N146" s="9">
        <f t="shared" si="28"/>
        <v>-7.6923076923076816E-2</v>
      </c>
      <c r="O146">
        <f>COUNTIFS($B$2:B146,B146,$C$2:C146,C146,$D$2:D146,"&lt;"&amp;D146,$F$2:F146,1)</f>
        <v>0</v>
      </c>
      <c r="P146">
        <f t="shared" si="26"/>
        <v>0</v>
      </c>
      <c r="Q146" t="str">
        <f t="shared" si="29"/>
        <v>Monitor</v>
      </c>
      <c r="R146">
        <v>0</v>
      </c>
      <c r="S146">
        <f t="shared" si="30"/>
        <v>0</v>
      </c>
      <c r="T146">
        <f t="shared" si="31"/>
        <v>0</v>
      </c>
      <c r="U146" t="str">
        <f t="shared" si="32"/>
        <v>Not Improved Enough</v>
      </c>
      <c r="V146" t="str">
        <f t="shared" si="33"/>
        <v>Close</v>
      </c>
      <c r="W146" t="str">
        <f t="shared" si="34"/>
        <v>Normal</v>
      </c>
      <c r="X146" t="str">
        <f t="shared" si="35"/>
        <v>Allowed</v>
      </c>
    </row>
    <row r="147" spans="1:24" x14ac:dyDescent="0.3">
      <c r="A147" t="s">
        <v>23</v>
      </c>
      <c r="B147" t="s">
        <v>11</v>
      </c>
      <c r="C147" t="s">
        <v>25</v>
      </c>
      <c r="D147" s="3">
        <v>45626</v>
      </c>
      <c r="E147" s="6">
        <v>0.68420000000000003</v>
      </c>
      <c r="F147">
        <v>0</v>
      </c>
      <c r="G147" t="s">
        <v>17</v>
      </c>
      <c r="H147" s="6">
        <v>0.65</v>
      </c>
      <c r="I147" s="8">
        <v>-2.2571428571428461E-2</v>
      </c>
      <c r="J147" s="5">
        <f t="shared" si="24"/>
        <v>1.2057533289701232E-2</v>
      </c>
      <c r="K147" s="5" cm="1">
        <f t="array" ref="K147">_xlfn.STDEV.S(IF($C:$C=C147,$I:$I))</f>
        <v>0.17981498891186962</v>
      </c>
      <c r="L147" s="7">
        <f t="shared" si="27"/>
        <v>-0.19258106385170115</v>
      </c>
      <c r="M147">
        <f t="shared" si="25"/>
        <v>0</v>
      </c>
      <c r="N147" s="9">
        <f t="shared" si="28"/>
        <v>-5.2615384615384626E-2</v>
      </c>
      <c r="O147">
        <f>COUNTIFS($B$2:B147,B147,$C$2:C147,C147,$D$2:D147,"&lt;"&amp;D147,$F$2:F147,1)</f>
        <v>0</v>
      </c>
      <c r="P147">
        <f t="shared" si="26"/>
        <v>0</v>
      </c>
      <c r="Q147" t="str">
        <f t="shared" si="29"/>
        <v>Monitor</v>
      </c>
      <c r="R147">
        <v>0</v>
      </c>
      <c r="S147">
        <f t="shared" si="30"/>
        <v>0</v>
      </c>
      <c r="T147">
        <f t="shared" si="31"/>
        <v>0</v>
      </c>
      <c r="U147" t="str">
        <f t="shared" si="32"/>
        <v>Not Improved Enough</v>
      </c>
      <c r="V147" t="str">
        <f t="shared" si="33"/>
        <v>Close</v>
      </c>
      <c r="W147" t="str">
        <f t="shared" si="34"/>
        <v>Normal</v>
      </c>
      <c r="X147" t="str">
        <f t="shared" si="35"/>
        <v>Allowed</v>
      </c>
    </row>
    <row r="148" spans="1:24" x14ac:dyDescent="0.3">
      <c r="A148" t="s">
        <v>23</v>
      </c>
      <c r="B148" t="s">
        <v>11</v>
      </c>
      <c r="C148" t="s">
        <v>25</v>
      </c>
      <c r="D148" s="3">
        <v>45657</v>
      </c>
      <c r="E148" s="6">
        <v>0.71</v>
      </c>
      <c r="F148">
        <v>0</v>
      </c>
      <c r="G148" t="s">
        <v>17</v>
      </c>
      <c r="H148" s="6">
        <v>0.65</v>
      </c>
      <c r="I148" s="8">
        <v>3.7708272434960437E-2</v>
      </c>
      <c r="J148" s="5">
        <f t="shared" si="24"/>
        <v>1.2057533289701232E-2</v>
      </c>
      <c r="K148" s="5" cm="1">
        <f t="array" ref="K148">_xlfn.STDEV.S(IF($C:$C=C148,$I:$I))</f>
        <v>0.17981498891186962</v>
      </c>
      <c r="L148" s="7">
        <f t="shared" si="27"/>
        <v>0.14265072839857121</v>
      </c>
      <c r="M148">
        <f t="shared" si="25"/>
        <v>0</v>
      </c>
      <c r="N148" s="9">
        <f t="shared" si="28"/>
        <v>-9.2307692307692216E-2</v>
      </c>
      <c r="O148">
        <f>COUNTIFS($B$2:B148,B148,$C$2:C148,C148,$D$2:D148,"&lt;"&amp;D148,$F$2:F148,1)</f>
        <v>0</v>
      </c>
      <c r="P148">
        <f t="shared" si="26"/>
        <v>0</v>
      </c>
      <c r="Q148" t="str">
        <f t="shared" si="29"/>
        <v>Monitor</v>
      </c>
      <c r="R148">
        <v>0</v>
      </c>
      <c r="S148">
        <f t="shared" si="30"/>
        <v>0</v>
      </c>
      <c r="T148">
        <f t="shared" si="31"/>
        <v>0</v>
      </c>
      <c r="U148" t="str">
        <f t="shared" si="32"/>
        <v>Improved Enough</v>
      </c>
      <c r="V148" t="str">
        <f t="shared" si="33"/>
        <v>Close</v>
      </c>
      <c r="W148" t="str">
        <f t="shared" si="34"/>
        <v>Normal</v>
      </c>
      <c r="X148" t="str">
        <f t="shared" si="35"/>
        <v>Allowed</v>
      </c>
    </row>
    <row r="149" spans="1:24" x14ac:dyDescent="0.3">
      <c r="A149" t="s">
        <v>23</v>
      </c>
      <c r="B149" t="s">
        <v>11</v>
      </c>
      <c r="C149" t="s">
        <v>25</v>
      </c>
      <c r="D149" s="3">
        <v>45688</v>
      </c>
      <c r="E149" s="6">
        <v>0.65</v>
      </c>
      <c r="F149">
        <v>0</v>
      </c>
      <c r="G149" t="s">
        <v>17</v>
      </c>
      <c r="H149" s="6">
        <v>0.65</v>
      </c>
      <c r="I149" s="8">
        <v>-8.4507042253521056E-2</v>
      </c>
      <c r="J149" s="5">
        <f t="shared" si="24"/>
        <v>1.2057533289701232E-2</v>
      </c>
      <c r="K149" s="5" cm="1">
        <f t="array" ref="K149">_xlfn.STDEV.S(IF($C:$C=C149,$I:$I))</f>
        <v>0.17981498891186962</v>
      </c>
      <c r="L149" s="7">
        <f t="shared" si="27"/>
        <v>-0.5370218363194974</v>
      </c>
      <c r="M149">
        <f t="shared" si="25"/>
        <v>1</v>
      </c>
      <c r="N149" s="9">
        <f t="shared" si="28"/>
        <v>0</v>
      </c>
      <c r="O149">
        <f>COUNTIFS($B$2:B149,B149,$C$2:C149,C149,$D$2:D149,"&lt;"&amp;D149,$F$2:F149,1)</f>
        <v>0</v>
      </c>
      <c r="P149">
        <f t="shared" si="26"/>
        <v>0</v>
      </c>
      <c r="Q149" t="str">
        <f t="shared" si="29"/>
        <v>Monitor</v>
      </c>
      <c r="R149">
        <v>0</v>
      </c>
      <c r="S149">
        <f t="shared" si="30"/>
        <v>0</v>
      </c>
      <c r="T149">
        <f t="shared" si="31"/>
        <v>0</v>
      </c>
      <c r="U149" t="str">
        <f t="shared" si="32"/>
        <v>Not Improved Enough</v>
      </c>
      <c r="V149" t="str">
        <f t="shared" si="33"/>
        <v>Close</v>
      </c>
      <c r="W149" t="str">
        <f t="shared" si="34"/>
        <v>Abnormal</v>
      </c>
      <c r="X149" t="str">
        <f t="shared" si="35"/>
        <v>Allowed</v>
      </c>
    </row>
    <row r="150" spans="1:24" x14ac:dyDescent="0.3">
      <c r="A150" t="s">
        <v>23</v>
      </c>
      <c r="B150" t="s">
        <v>11</v>
      </c>
      <c r="C150" t="s">
        <v>25</v>
      </c>
      <c r="D150" s="3">
        <v>45716</v>
      </c>
      <c r="E150" s="6">
        <v>0.74439999999999995</v>
      </c>
      <c r="F150">
        <v>0</v>
      </c>
      <c r="G150" t="s">
        <v>17</v>
      </c>
      <c r="H150" s="6">
        <v>0.65</v>
      </c>
      <c r="I150" s="8">
        <v>0.14523076923076911</v>
      </c>
      <c r="J150" s="5">
        <f t="shared" si="24"/>
        <v>1.2057533289701232E-2</v>
      </c>
      <c r="K150" s="5" cm="1">
        <f t="array" ref="K150">_xlfn.STDEV.S(IF($C:$C=C150,$I:$I))</f>
        <v>0.17981498891186962</v>
      </c>
      <c r="L150" s="7">
        <f t="shared" si="27"/>
        <v>0.74061254151809519</v>
      </c>
      <c r="M150">
        <f t="shared" si="25"/>
        <v>-1</v>
      </c>
      <c r="N150" s="9">
        <f t="shared" si="28"/>
        <v>-0.14523076923076911</v>
      </c>
      <c r="O150">
        <f>COUNTIFS($B$2:B150,B150,$C$2:C150,C150,$D$2:D150,"&lt;"&amp;D150,$F$2:F150,1)</f>
        <v>0</v>
      </c>
      <c r="P150">
        <f t="shared" si="26"/>
        <v>0</v>
      </c>
      <c r="Q150" t="str">
        <f t="shared" si="29"/>
        <v>Monitor</v>
      </c>
      <c r="R150">
        <v>0</v>
      </c>
      <c r="S150">
        <f t="shared" si="30"/>
        <v>0</v>
      </c>
      <c r="T150">
        <f t="shared" si="31"/>
        <v>0</v>
      </c>
      <c r="U150" t="str">
        <f t="shared" si="32"/>
        <v>Improved Enough</v>
      </c>
      <c r="V150" t="str">
        <f t="shared" si="33"/>
        <v>Close</v>
      </c>
      <c r="W150" t="str">
        <f t="shared" si="34"/>
        <v>Normal</v>
      </c>
      <c r="X150" t="str">
        <f t="shared" si="35"/>
        <v>Allowed</v>
      </c>
    </row>
    <row r="151" spans="1:24" x14ac:dyDescent="0.3">
      <c r="A151" t="s">
        <v>23</v>
      </c>
      <c r="B151" t="s">
        <v>11</v>
      </c>
      <c r="C151" t="s">
        <v>25</v>
      </c>
      <c r="D151" s="3">
        <v>45747</v>
      </c>
      <c r="E151" s="6">
        <v>0.81369999999999998</v>
      </c>
      <c r="F151">
        <v>0</v>
      </c>
      <c r="G151" t="s">
        <v>17</v>
      </c>
      <c r="H151" s="6">
        <v>0.65</v>
      </c>
      <c r="I151" s="8">
        <v>9.3095110155830246E-2</v>
      </c>
      <c r="J151" s="5">
        <f t="shared" si="24"/>
        <v>1.2057533289701232E-2</v>
      </c>
      <c r="K151" s="5" cm="1">
        <f t="array" ref="K151">_xlfn.STDEV.S(IF($C:$C=C151,$I:$I))</f>
        <v>0.17981498891186962</v>
      </c>
      <c r="L151" s="7">
        <f t="shared" si="27"/>
        <v>0.45067197877395476</v>
      </c>
      <c r="M151">
        <f t="shared" si="25"/>
        <v>0</v>
      </c>
      <c r="N151" s="9">
        <f t="shared" si="28"/>
        <v>-0.25184615384615378</v>
      </c>
      <c r="O151">
        <f>COUNTIFS($B$2:B151,B151,$C$2:C151,C151,$D$2:D151,"&lt;"&amp;D151,$F$2:F151,1)</f>
        <v>0</v>
      </c>
      <c r="P151">
        <f t="shared" si="26"/>
        <v>0</v>
      </c>
      <c r="Q151" t="str">
        <f t="shared" si="29"/>
        <v>Monitor</v>
      </c>
      <c r="R151">
        <v>0</v>
      </c>
      <c r="S151">
        <f t="shared" si="30"/>
        <v>0</v>
      </c>
      <c r="T151">
        <f t="shared" si="31"/>
        <v>0</v>
      </c>
      <c r="U151" t="str">
        <f t="shared" si="32"/>
        <v>Improved Enough</v>
      </c>
      <c r="V151" t="str">
        <f t="shared" si="33"/>
        <v>Close</v>
      </c>
      <c r="W151" t="str">
        <f t="shared" si="34"/>
        <v>Normal</v>
      </c>
      <c r="X151" t="str">
        <f t="shared" si="35"/>
        <v>Allowed</v>
      </c>
    </row>
    <row r="152" spans="1:24" x14ac:dyDescent="0.3">
      <c r="A152" t="s">
        <v>23</v>
      </c>
      <c r="B152" t="s">
        <v>11</v>
      </c>
      <c r="C152" t="s">
        <v>25</v>
      </c>
      <c r="D152" s="3">
        <v>45777</v>
      </c>
      <c r="E152" s="6">
        <v>0.63560000000000005</v>
      </c>
      <c r="F152">
        <v>0</v>
      </c>
      <c r="G152" t="s">
        <v>17</v>
      </c>
      <c r="H152" s="6">
        <v>0.65</v>
      </c>
      <c r="I152" s="8">
        <v>-0.21887673589775089</v>
      </c>
      <c r="J152" s="5">
        <f t="shared" si="24"/>
        <v>1.2057533289701232E-2</v>
      </c>
      <c r="K152" s="5" cm="1">
        <f t="array" ref="K152">_xlfn.STDEV.S(IF($C:$C=C152,$I:$I))</f>
        <v>0.17981498891186962</v>
      </c>
      <c r="L152" s="7">
        <f t="shared" si="27"/>
        <v>-1.2842882041420749</v>
      </c>
      <c r="M152">
        <f t="shared" si="25"/>
        <v>1</v>
      </c>
      <c r="N152" s="9">
        <f t="shared" si="28"/>
        <v>2.2153846153846104E-2</v>
      </c>
      <c r="O152">
        <f>COUNTIFS($B$2:B152,B152,$C$2:C152,C152,$D$2:D152,"&lt;"&amp;D152,$F$2:F152,1)</f>
        <v>0</v>
      </c>
      <c r="P152">
        <f t="shared" si="26"/>
        <v>0</v>
      </c>
      <c r="Q152" t="str">
        <f t="shared" si="29"/>
        <v>Intervene</v>
      </c>
      <c r="R152">
        <v>0</v>
      </c>
      <c r="S152">
        <f t="shared" si="30"/>
        <v>1</v>
      </c>
      <c r="T152">
        <f t="shared" si="31"/>
        <v>1</v>
      </c>
      <c r="U152" t="str">
        <f t="shared" si="32"/>
        <v>Not Improved Enough</v>
      </c>
      <c r="V152" t="str">
        <f t="shared" si="33"/>
        <v>Far</v>
      </c>
      <c r="W152" t="str">
        <f t="shared" si="34"/>
        <v>Abnormal</v>
      </c>
      <c r="X152" t="str">
        <f t="shared" si="35"/>
        <v>Allowed</v>
      </c>
    </row>
    <row r="153" spans="1:24" x14ac:dyDescent="0.3">
      <c r="A153" t="s">
        <v>23</v>
      </c>
      <c r="B153" t="s">
        <v>11</v>
      </c>
      <c r="C153" t="s">
        <v>25</v>
      </c>
      <c r="D153" s="3">
        <v>45808</v>
      </c>
      <c r="E153" s="6">
        <v>0.71550000000000002</v>
      </c>
      <c r="F153">
        <v>0</v>
      </c>
      <c r="G153" t="s">
        <v>17</v>
      </c>
      <c r="H153" s="6">
        <v>0.65</v>
      </c>
      <c r="I153" s="8">
        <v>0.12570799244808051</v>
      </c>
      <c r="J153" s="5">
        <f t="shared" si="24"/>
        <v>1.2057533289701232E-2</v>
      </c>
      <c r="K153" s="5" cm="1">
        <f t="array" ref="K153">_xlfn.STDEV.S(IF($C:$C=C153,$I:$I))</f>
        <v>0.17981498891186962</v>
      </c>
      <c r="L153" s="7">
        <f t="shared" si="27"/>
        <v>0.63204107647600671</v>
      </c>
      <c r="M153">
        <f t="shared" si="25"/>
        <v>-1</v>
      </c>
      <c r="N153" s="9">
        <f t="shared" si="28"/>
        <v>-0.10076923076923076</v>
      </c>
      <c r="O153">
        <f>COUNTIFS($B$2:B153,B153,$C$2:C153,C153,$D$2:D153,"&lt;"&amp;D153,$F$2:F153,1)</f>
        <v>0</v>
      </c>
      <c r="P153">
        <f t="shared" si="26"/>
        <v>0</v>
      </c>
      <c r="Q153" t="str">
        <f t="shared" si="29"/>
        <v>Monitor</v>
      </c>
      <c r="R153">
        <v>0</v>
      </c>
      <c r="S153">
        <f t="shared" si="30"/>
        <v>0</v>
      </c>
      <c r="T153">
        <f t="shared" si="31"/>
        <v>0</v>
      </c>
      <c r="U153" t="str">
        <f t="shared" si="32"/>
        <v>Improved Enough</v>
      </c>
      <c r="V153" t="str">
        <f t="shared" si="33"/>
        <v>Close</v>
      </c>
      <c r="W153" t="str">
        <f t="shared" si="34"/>
        <v>Normal</v>
      </c>
      <c r="X153" t="str">
        <f t="shared" si="35"/>
        <v>Allowed</v>
      </c>
    </row>
    <row r="154" spans="1:24" x14ac:dyDescent="0.3">
      <c r="A154" t="s">
        <v>23</v>
      </c>
      <c r="B154" t="s">
        <v>11</v>
      </c>
      <c r="C154" t="s">
        <v>25</v>
      </c>
      <c r="D154" s="3">
        <v>45838</v>
      </c>
      <c r="E154" s="6">
        <v>0.70650000000000002</v>
      </c>
      <c r="F154">
        <v>0</v>
      </c>
      <c r="G154" t="s">
        <v>17</v>
      </c>
      <c r="H154" s="6">
        <v>0.65</v>
      </c>
      <c r="I154" s="8">
        <v>-1.2578616352201271E-2</v>
      </c>
      <c r="J154" s="5">
        <f t="shared" si="24"/>
        <v>1.2057533289701232E-2</v>
      </c>
      <c r="K154" s="5" cm="1">
        <f t="array" ref="K154">_xlfn.STDEV.S(IF($C:$C=C154,$I:$I))</f>
        <v>0.17981498891186962</v>
      </c>
      <c r="L154" s="7">
        <f t="shared" si="27"/>
        <v>-0.13700832055762102</v>
      </c>
      <c r="M154">
        <f t="shared" si="25"/>
        <v>0</v>
      </c>
      <c r="N154" s="9">
        <f t="shared" si="28"/>
        <v>-8.6923076923076908E-2</v>
      </c>
      <c r="O154">
        <f>COUNTIFS($B$2:B154,B154,$C$2:C154,C154,$D$2:D154,"&lt;"&amp;D154,$F$2:F154,1)</f>
        <v>0</v>
      </c>
      <c r="P154">
        <f t="shared" si="26"/>
        <v>0</v>
      </c>
      <c r="Q154" t="str">
        <f t="shared" si="29"/>
        <v>Monitor</v>
      </c>
      <c r="R154">
        <v>0</v>
      </c>
      <c r="S154">
        <f t="shared" si="30"/>
        <v>0</v>
      </c>
      <c r="T154">
        <f t="shared" si="31"/>
        <v>0</v>
      </c>
      <c r="U154" t="str">
        <f t="shared" si="32"/>
        <v>Not Improved Enough</v>
      </c>
      <c r="V154" t="str">
        <f t="shared" si="33"/>
        <v>Close</v>
      </c>
      <c r="W154" t="str">
        <f t="shared" si="34"/>
        <v>Normal</v>
      </c>
      <c r="X154" t="str">
        <f t="shared" si="35"/>
        <v>Allowed</v>
      </c>
    </row>
    <row r="155" spans="1:24" x14ac:dyDescent="0.3">
      <c r="A155" t="s">
        <v>23</v>
      </c>
      <c r="B155" t="s">
        <v>11</v>
      </c>
      <c r="C155" t="s">
        <v>25</v>
      </c>
      <c r="D155" s="3">
        <v>45869</v>
      </c>
      <c r="E155" s="6">
        <v>0.77100000000000002</v>
      </c>
      <c r="F155">
        <v>0</v>
      </c>
      <c r="G155" t="s">
        <v>17</v>
      </c>
      <c r="H155" s="6">
        <v>0.65</v>
      </c>
      <c r="I155" s="8">
        <v>9.1295116772823773E-2</v>
      </c>
      <c r="J155" s="5">
        <f t="shared" si="24"/>
        <v>1.2057533289701232E-2</v>
      </c>
      <c r="K155" s="5" cm="1">
        <f t="array" ref="K155">_xlfn.STDEV.S(IF($C:$C=C155,$I:$I))</f>
        <v>0.17981498891186962</v>
      </c>
      <c r="L155" s="7">
        <f t="shared" si="27"/>
        <v>0.44066172660366054</v>
      </c>
      <c r="M155">
        <f t="shared" si="25"/>
        <v>0</v>
      </c>
      <c r="N155" s="9">
        <f t="shared" si="28"/>
        <v>-0.18615384615384614</v>
      </c>
      <c r="O155">
        <f>COUNTIFS($B$2:B155,B155,$C$2:C155,C155,$D$2:D155,"&lt;"&amp;D155,$F$2:F155,1)</f>
        <v>0</v>
      </c>
      <c r="P155">
        <f t="shared" si="26"/>
        <v>0</v>
      </c>
      <c r="Q155" t="str">
        <f t="shared" si="29"/>
        <v>Monitor</v>
      </c>
      <c r="R155">
        <v>0</v>
      </c>
      <c r="S155">
        <f t="shared" si="30"/>
        <v>0</v>
      </c>
      <c r="T155">
        <f t="shared" si="31"/>
        <v>0</v>
      </c>
      <c r="U155" t="str">
        <f t="shared" si="32"/>
        <v>Improved Enough</v>
      </c>
      <c r="V155" t="str">
        <f t="shared" si="33"/>
        <v>Close</v>
      </c>
      <c r="W155" t="str">
        <f t="shared" si="34"/>
        <v>Normal</v>
      </c>
      <c r="X155" t="str">
        <f t="shared" si="35"/>
        <v>Allowed</v>
      </c>
    </row>
    <row r="156" spans="1:24" x14ac:dyDescent="0.3">
      <c r="A156" t="s">
        <v>23</v>
      </c>
      <c r="B156" t="s">
        <v>11</v>
      </c>
      <c r="C156" t="s">
        <v>25</v>
      </c>
      <c r="D156" s="3">
        <v>45900</v>
      </c>
      <c r="E156" s="6">
        <v>0.69799999999999995</v>
      </c>
      <c r="F156">
        <v>0</v>
      </c>
      <c r="G156" t="s">
        <v>17</v>
      </c>
      <c r="H156" s="6">
        <v>0.65</v>
      </c>
      <c r="I156" s="8">
        <v>-9.4682230869001377E-2</v>
      </c>
      <c r="J156" s="5">
        <f t="shared" si="24"/>
        <v>1.2057533289701232E-2</v>
      </c>
      <c r="K156" s="5" cm="1">
        <f t="array" ref="K156">_xlfn.STDEV.S(IF($C:$C=C156,$I:$I))</f>
        <v>0.17981498891186962</v>
      </c>
      <c r="L156" s="7">
        <f t="shared" si="27"/>
        <v>-0.59360882429560746</v>
      </c>
      <c r="M156">
        <f t="shared" si="25"/>
        <v>1</v>
      </c>
      <c r="N156" s="9">
        <f t="shared" si="28"/>
        <v>-7.3846153846153742E-2</v>
      </c>
      <c r="O156">
        <f>COUNTIFS($B$2:B156,B156,$C$2:C156,C156,$D$2:D156,"&lt;"&amp;D156,$F$2:F156,1)</f>
        <v>0</v>
      </c>
      <c r="P156">
        <f t="shared" si="26"/>
        <v>0</v>
      </c>
      <c r="Q156" t="str">
        <f t="shared" si="29"/>
        <v>Monitor</v>
      </c>
      <c r="R156">
        <v>0</v>
      </c>
      <c r="S156">
        <f t="shared" si="30"/>
        <v>0</v>
      </c>
      <c r="T156">
        <f t="shared" si="31"/>
        <v>0</v>
      </c>
      <c r="U156" t="str">
        <f t="shared" si="32"/>
        <v>Not Improved Enough</v>
      </c>
      <c r="V156" t="str">
        <f t="shared" si="33"/>
        <v>Close</v>
      </c>
      <c r="W156" t="str">
        <f t="shared" si="34"/>
        <v>Abnormal</v>
      </c>
      <c r="X156" t="str">
        <f t="shared" si="35"/>
        <v>Allowed</v>
      </c>
    </row>
    <row r="157" spans="1:24" x14ac:dyDescent="0.3">
      <c r="A157" t="s">
        <v>23</v>
      </c>
      <c r="B157" t="s">
        <v>11</v>
      </c>
      <c r="C157" t="s">
        <v>25</v>
      </c>
      <c r="D157" s="3">
        <v>45930</v>
      </c>
      <c r="E157" s="6">
        <v>0.73299999999999998</v>
      </c>
      <c r="F157">
        <v>0</v>
      </c>
      <c r="G157" t="s">
        <v>17</v>
      </c>
      <c r="H157" s="6">
        <v>0.65</v>
      </c>
      <c r="I157" s="8">
        <v>5.0143266475644738E-2</v>
      </c>
      <c r="J157" s="5">
        <f t="shared" si="24"/>
        <v>1.2057533289701232E-2</v>
      </c>
      <c r="K157" s="5" cm="1">
        <f t="array" ref="K157">_xlfn.STDEV.S(IF($C:$C=C157,$I:$I))</f>
        <v>0.17981498891186962</v>
      </c>
      <c r="L157" s="7">
        <f t="shared" si="27"/>
        <v>0.21180510821937082</v>
      </c>
      <c r="M157">
        <f t="shared" si="25"/>
        <v>0</v>
      </c>
      <c r="N157" s="9">
        <f t="shared" si="28"/>
        <v>-0.12769230769230763</v>
      </c>
      <c r="O157">
        <f>COUNTIFS($B$2:B157,B157,$C$2:C157,C157,$D$2:D157,"&lt;"&amp;D157,$F$2:F157,1)</f>
        <v>0</v>
      </c>
      <c r="P157">
        <f t="shared" si="26"/>
        <v>0</v>
      </c>
      <c r="Q157" t="str">
        <f t="shared" si="29"/>
        <v>Monitor</v>
      </c>
      <c r="R157">
        <v>0</v>
      </c>
      <c r="S157">
        <f t="shared" si="30"/>
        <v>0</v>
      </c>
      <c r="T157">
        <f t="shared" si="31"/>
        <v>0</v>
      </c>
      <c r="U157" t="str">
        <f t="shared" si="32"/>
        <v>Improved Enough</v>
      </c>
      <c r="V157" t="str">
        <f t="shared" si="33"/>
        <v>Close</v>
      </c>
      <c r="W157" t="str">
        <f t="shared" si="34"/>
        <v>Normal</v>
      </c>
      <c r="X157" t="str">
        <f t="shared" si="35"/>
        <v>Allowed</v>
      </c>
    </row>
    <row r="158" spans="1:24" x14ac:dyDescent="0.3">
      <c r="A158" t="s">
        <v>23</v>
      </c>
      <c r="B158" t="s">
        <v>11</v>
      </c>
      <c r="C158" t="s">
        <v>25</v>
      </c>
      <c r="D158" s="3">
        <v>45961</v>
      </c>
      <c r="E158" s="6">
        <v>0.83899999999999997</v>
      </c>
      <c r="F158">
        <v>0</v>
      </c>
      <c r="G158" t="s">
        <v>17</v>
      </c>
      <c r="H158" s="6">
        <v>0.65</v>
      </c>
      <c r="I158" s="8">
        <v>0.14461118690313779</v>
      </c>
      <c r="J158" s="5">
        <f t="shared" si="24"/>
        <v>1.2057533289701232E-2</v>
      </c>
      <c r="K158" s="5" cm="1">
        <f t="array" ref="K158">_xlfn.STDEV.S(IF($C:$C=C158,$I:$I))</f>
        <v>0.17981498891186962</v>
      </c>
      <c r="L158" s="7">
        <f t="shared" si="27"/>
        <v>0.73716687588487606</v>
      </c>
      <c r="M158">
        <f t="shared" si="25"/>
        <v>-1</v>
      </c>
      <c r="N158" s="9">
        <f t="shared" si="28"/>
        <v>-0.29076923076923067</v>
      </c>
      <c r="O158">
        <f>COUNTIFS($B$2:B158,B158,$C$2:C158,C158,$D$2:D158,"&lt;"&amp;D158,$F$2:F158,1)</f>
        <v>0</v>
      </c>
      <c r="P158">
        <f t="shared" si="26"/>
        <v>0</v>
      </c>
      <c r="Q158" t="str">
        <f t="shared" si="29"/>
        <v>Monitor</v>
      </c>
      <c r="R158">
        <v>0</v>
      </c>
      <c r="S158">
        <f t="shared" si="30"/>
        <v>0</v>
      </c>
      <c r="T158">
        <f t="shared" si="31"/>
        <v>0</v>
      </c>
      <c r="U158" t="str">
        <f t="shared" si="32"/>
        <v>Improved Enough</v>
      </c>
      <c r="V158" t="str">
        <f t="shared" si="33"/>
        <v>Close</v>
      </c>
      <c r="W158" t="str">
        <f t="shared" si="34"/>
        <v>Normal</v>
      </c>
      <c r="X158" t="str">
        <f t="shared" si="35"/>
        <v>Allowed</v>
      </c>
    </row>
    <row r="159" spans="1:24" x14ac:dyDescent="0.3">
      <c r="A159" t="s">
        <v>23</v>
      </c>
      <c r="B159" t="s">
        <v>11</v>
      </c>
      <c r="C159" t="s">
        <v>25</v>
      </c>
      <c r="D159" s="3">
        <v>45991</v>
      </c>
      <c r="E159" s="6">
        <v>0.73240000000000005</v>
      </c>
      <c r="F159">
        <v>0</v>
      </c>
      <c r="G159" t="s">
        <v>17</v>
      </c>
      <c r="H159" s="6">
        <v>0.65</v>
      </c>
      <c r="I159" s="8">
        <v>-0.12705601907032171</v>
      </c>
      <c r="J159" s="5">
        <f t="shared" si="24"/>
        <v>1.2057533289701232E-2</v>
      </c>
      <c r="K159" s="5" cm="1">
        <f t="array" ref="K159">_xlfn.STDEV.S(IF($C:$C=C159,$I:$I))</f>
        <v>0.17981498891186962</v>
      </c>
      <c r="L159" s="7">
        <f t="shared" si="27"/>
        <v>-0.77364825480819555</v>
      </c>
      <c r="M159">
        <f t="shared" si="25"/>
        <v>1</v>
      </c>
      <c r="N159" s="9">
        <f t="shared" si="28"/>
        <v>-0.1267692307692308</v>
      </c>
      <c r="O159">
        <f>COUNTIFS($B$2:B159,B159,$C$2:C159,C159,$D$2:D159,"&lt;"&amp;D159,$F$2:F159,1)</f>
        <v>0</v>
      </c>
      <c r="P159">
        <f t="shared" si="26"/>
        <v>0</v>
      </c>
      <c r="Q159" t="str">
        <f t="shared" si="29"/>
        <v>Monitor</v>
      </c>
      <c r="R159">
        <v>0</v>
      </c>
      <c r="S159">
        <f t="shared" si="30"/>
        <v>0</v>
      </c>
      <c r="T159">
        <f t="shared" si="31"/>
        <v>0</v>
      </c>
      <c r="U159" t="str">
        <f t="shared" si="32"/>
        <v>Not Improved Enough</v>
      </c>
      <c r="V159" t="str">
        <f t="shared" si="33"/>
        <v>Close</v>
      </c>
      <c r="W159" t="str">
        <f t="shared" si="34"/>
        <v>Abnormal</v>
      </c>
      <c r="X159" t="str">
        <f t="shared" si="35"/>
        <v>Allowed</v>
      </c>
    </row>
    <row r="160" spans="1:24" x14ac:dyDescent="0.3">
      <c r="A160" t="s">
        <v>23</v>
      </c>
      <c r="B160" t="s">
        <v>11</v>
      </c>
      <c r="C160" t="s">
        <v>26</v>
      </c>
      <c r="D160" s="3">
        <v>45535</v>
      </c>
      <c r="E160" s="6">
        <v>0.87119999999999997</v>
      </c>
      <c r="F160">
        <v>0</v>
      </c>
      <c r="G160" t="s">
        <v>17</v>
      </c>
      <c r="H160" s="6">
        <v>0.85</v>
      </c>
      <c r="I160" s="8">
        <v>6.0046189376443213E-3</v>
      </c>
      <c r="J160" s="5">
        <f t="shared" si="24"/>
        <v>1.8209321594669165E-2</v>
      </c>
      <c r="K160" s="5" cm="1">
        <f t="array" ref="K160">_xlfn.STDEV.S(IF($C:$C=C160,$I:$I))</f>
        <v>0.22834931756330515</v>
      </c>
      <c r="L160" s="7">
        <f t="shared" si="27"/>
        <v>-5.3447510976867015E-2</v>
      </c>
      <c r="M160">
        <f t="shared" si="25"/>
        <v>0</v>
      </c>
      <c r="N160" s="9">
        <f t="shared" si="28"/>
        <v>-2.4941176470588231E-2</v>
      </c>
      <c r="O160">
        <f>COUNTIFS($B$2:B160,B160,$C$2:C160,C160,$D$2:D160,"&lt;"&amp;D160,$F$2:F160,1)</f>
        <v>0</v>
      </c>
      <c r="P160">
        <f t="shared" si="26"/>
        <v>0</v>
      </c>
      <c r="Q160" t="str">
        <f t="shared" si="29"/>
        <v>Monitor</v>
      </c>
      <c r="R160">
        <v>0</v>
      </c>
      <c r="S160">
        <f t="shared" si="30"/>
        <v>0</v>
      </c>
      <c r="T160">
        <f t="shared" si="31"/>
        <v>0</v>
      </c>
      <c r="U160" t="str">
        <f t="shared" si="32"/>
        <v>Not Improved Enough</v>
      </c>
      <c r="V160" t="str">
        <f t="shared" si="33"/>
        <v>Close</v>
      </c>
      <c r="W160" t="str">
        <f t="shared" si="34"/>
        <v>Normal</v>
      </c>
      <c r="X160" t="str">
        <f t="shared" si="35"/>
        <v>Allowed</v>
      </c>
    </row>
    <row r="161" spans="1:24" x14ac:dyDescent="0.3">
      <c r="A161" t="s">
        <v>23</v>
      </c>
      <c r="B161" t="s">
        <v>11</v>
      </c>
      <c r="C161" t="s">
        <v>26</v>
      </c>
      <c r="D161" s="3">
        <v>45565</v>
      </c>
      <c r="E161" s="6">
        <v>0.8679</v>
      </c>
      <c r="F161">
        <v>0</v>
      </c>
      <c r="G161" t="s">
        <v>17</v>
      </c>
      <c r="H161" s="6">
        <v>0.85</v>
      </c>
      <c r="I161" s="8">
        <v>-3.7878787878787529E-3</v>
      </c>
      <c r="J161" s="5">
        <f t="shared" si="24"/>
        <v>1.8209321594669165E-2</v>
      </c>
      <c r="K161" s="5" cm="1">
        <f t="array" ref="K161">_xlfn.STDEV.S(IF($C:$C=C161,$I:$I))</f>
        <v>0.22834931756330515</v>
      </c>
      <c r="L161" s="7">
        <f t="shared" si="27"/>
        <v>-9.6331360291670887E-2</v>
      </c>
      <c r="M161">
        <f t="shared" si="25"/>
        <v>0</v>
      </c>
      <c r="N161" s="9">
        <f t="shared" si="28"/>
        <v>-2.1058823529411796E-2</v>
      </c>
      <c r="O161">
        <f>COUNTIFS($B$2:B161,B161,$C$2:C161,C161,$D$2:D161,"&lt;"&amp;D161,$F$2:F161,1)</f>
        <v>0</v>
      </c>
      <c r="P161">
        <f t="shared" si="26"/>
        <v>0</v>
      </c>
      <c r="Q161" t="str">
        <f t="shared" si="29"/>
        <v>Monitor</v>
      </c>
      <c r="R161">
        <v>0</v>
      </c>
      <c r="S161">
        <f t="shared" si="30"/>
        <v>0</v>
      </c>
      <c r="T161">
        <f t="shared" si="31"/>
        <v>0</v>
      </c>
      <c r="U161" t="str">
        <f t="shared" si="32"/>
        <v>Not Improved Enough</v>
      </c>
      <c r="V161" t="str">
        <f t="shared" si="33"/>
        <v>Close</v>
      </c>
      <c r="W161" t="str">
        <f t="shared" si="34"/>
        <v>Normal</v>
      </c>
      <c r="X161" t="str">
        <f t="shared" si="35"/>
        <v>Allowed</v>
      </c>
    </row>
    <row r="162" spans="1:24" x14ac:dyDescent="0.3">
      <c r="A162" t="s">
        <v>23</v>
      </c>
      <c r="B162" t="s">
        <v>11</v>
      </c>
      <c r="C162" t="s">
        <v>26</v>
      </c>
      <c r="D162" s="3">
        <v>45596</v>
      </c>
      <c r="E162" s="6">
        <v>0.85189999999999999</v>
      </c>
      <c r="F162">
        <v>0</v>
      </c>
      <c r="G162" t="s">
        <v>17</v>
      </c>
      <c r="H162" s="6">
        <v>0.85</v>
      </c>
      <c r="I162" s="8">
        <v>-1.8435303606406279E-2</v>
      </c>
      <c r="J162" s="5">
        <f t="shared" si="24"/>
        <v>1.8209321594669165E-2</v>
      </c>
      <c r="K162" s="5" cm="1">
        <f t="array" ref="K162">_xlfn.STDEV.S(IF($C:$C=C162,$I:$I))</f>
        <v>0.22834931756330515</v>
      </c>
      <c r="L162" s="7">
        <f t="shared" si="27"/>
        <v>-0.16047617567727776</v>
      </c>
      <c r="M162">
        <f t="shared" si="25"/>
        <v>0</v>
      </c>
      <c r="N162" s="9">
        <f t="shared" si="28"/>
        <v>-2.235294117647074E-3</v>
      </c>
      <c r="O162">
        <f>COUNTIFS($B$2:B162,B162,$C$2:C162,C162,$D$2:D162,"&lt;"&amp;D162,$F$2:F162,1)</f>
        <v>0</v>
      </c>
      <c r="P162">
        <f t="shared" si="26"/>
        <v>0</v>
      </c>
      <c r="Q162" t="str">
        <f t="shared" si="29"/>
        <v>Monitor</v>
      </c>
      <c r="R162">
        <v>0</v>
      </c>
      <c r="S162">
        <f t="shared" si="30"/>
        <v>0</v>
      </c>
      <c r="T162">
        <f t="shared" si="31"/>
        <v>0</v>
      </c>
      <c r="U162" t="str">
        <f t="shared" si="32"/>
        <v>Not Improved Enough</v>
      </c>
      <c r="V162" t="str">
        <f t="shared" si="33"/>
        <v>Close</v>
      </c>
      <c r="W162" t="str">
        <f t="shared" si="34"/>
        <v>Normal</v>
      </c>
      <c r="X162" t="str">
        <f t="shared" si="35"/>
        <v>Allowed</v>
      </c>
    </row>
    <row r="163" spans="1:24" x14ac:dyDescent="0.3">
      <c r="A163" t="s">
        <v>23</v>
      </c>
      <c r="B163" t="s">
        <v>11</v>
      </c>
      <c r="C163" t="s">
        <v>26</v>
      </c>
      <c r="D163" s="3">
        <v>45626</v>
      </c>
      <c r="E163" s="6">
        <v>0.78659999999999997</v>
      </c>
      <c r="F163">
        <v>0</v>
      </c>
      <c r="G163" t="s">
        <v>17</v>
      </c>
      <c r="H163" s="6">
        <v>0.85</v>
      </c>
      <c r="I163" s="8">
        <v>-7.6652189224087369E-2</v>
      </c>
      <c r="J163" s="5">
        <f t="shared" si="24"/>
        <v>1.8209321594669165E-2</v>
      </c>
      <c r="K163" s="5" cm="1">
        <f t="array" ref="K163">_xlfn.STDEV.S(IF($C:$C=C163,$I:$I))</f>
        <v>0.22834931756330515</v>
      </c>
      <c r="L163" s="7">
        <f t="shared" si="27"/>
        <v>-0.4154227909722486</v>
      </c>
      <c r="M163">
        <f t="shared" si="25"/>
        <v>0</v>
      </c>
      <c r="N163" s="9">
        <f t="shared" si="28"/>
        <v>7.4588235294117664E-2</v>
      </c>
      <c r="O163">
        <f>COUNTIFS($B$2:B163,B163,$C$2:C163,C163,$D$2:D163,"&lt;"&amp;D163,$F$2:F163,1)</f>
        <v>0</v>
      </c>
      <c r="P163">
        <f t="shared" si="26"/>
        <v>0</v>
      </c>
      <c r="Q163" t="str">
        <f t="shared" si="29"/>
        <v>Monitor</v>
      </c>
      <c r="R163">
        <v>0</v>
      </c>
      <c r="S163">
        <f t="shared" si="30"/>
        <v>0</v>
      </c>
      <c r="T163">
        <f t="shared" si="31"/>
        <v>0</v>
      </c>
      <c r="U163" t="str">
        <f t="shared" si="32"/>
        <v>Not Improved Enough</v>
      </c>
      <c r="V163" t="str">
        <f t="shared" si="33"/>
        <v>Far</v>
      </c>
      <c r="W163" t="str">
        <f t="shared" si="34"/>
        <v>Normal</v>
      </c>
      <c r="X163" t="str">
        <f t="shared" si="35"/>
        <v>Allowed</v>
      </c>
    </row>
    <row r="164" spans="1:24" x14ac:dyDescent="0.3">
      <c r="A164" t="s">
        <v>23</v>
      </c>
      <c r="B164" t="s">
        <v>11</v>
      </c>
      <c r="C164" t="s">
        <v>26</v>
      </c>
      <c r="D164" s="3">
        <v>45657</v>
      </c>
      <c r="E164" s="6">
        <v>0.91180000000000005</v>
      </c>
      <c r="F164">
        <v>0</v>
      </c>
      <c r="G164" t="s">
        <v>17</v>
      </c>
      <c r="H164" s="6">
        <v>0.85</v>
      </c>
      <c r="I164" s="8">
        <v>0.15916603101957799</v>
      </c>
      <c r="J164" s="5">
        <f t="shared" si="24"/>
        <v>1.8209321594669165E-2</v>
      </c>
      <c r="K164" s="5" cm="1">
        <f t="array" ref="K164">_xlfn.STDEV.S(IF($C:$C=C164,$I:$I))</f>
        <v>0.22834931756330515</v>
      </c>
      <c r="L164" s="7">
        <f t="shared" si="27"/>
        <v>0.61728544201071001</v>
      </c>
      <c r="M164">
        <f t="shared" si="25"/>
        <v>-1</v>
      </c>
      <c r="N164" s="9">
        <f t="shared" si="28"/>
        <v>-7.2705882352941273E-2</v>
      </c>
      <c r="O164">
        <f>COUNTIFS($B$2:B164,B164,$C$2:C164,C164,$D$2:D164,"&lt;"&amp;D164,$F$2:F164,1)</f>
        <v>0</v>
      </c>
      <c r="P164">
        <f t="shared" si="26"/>
        <v>0</v>
      </c>
      <c r="Q164" t="str">
        <f t="shared" si="29"/>
        <v>Monitor</v>
      </c>
      <c r="R164">
        <v>0</v>
      </c>
      <c r="S164">
        <f t="shared" si="30"/>
        <v>0</v>
      </c>
      <c r="T164">
        <f t="shared" si="31"/>
        <v>0</v>
      </c>
      <c r="U164" t="str">
        <f t="shared" si="32"/>
        <v>Improved Enough</v>
      </c>
      <c r="V164" t="str">
        <f t="shared" si="33"/>
        <v>Close</v>
      </c>
      <c r="W164" t="str">
        <f t="shared" si="34"/>
        <v>Normal</v>
      </c>
      <c r="X164" t="str">
        <f t="shared" si="35"/>
        <v>Allowed</v>
      </c>
    </row>
    <row r="165" spans="1:24" x14ac:dyDescent="0.3">
      <c r="A165" t="s">
        <v>23</v>
      </c>
      <c r="B165" t="s">
        <v>11</v>
      </c>
      <c r="C165" t="s">
        <v>26</v>
      </c>
      <c r="D165" s="3">
        <v>45688</v>
      </c>
      <c r="E165" s="6">
        <v>0.8306</v>
      </c>
      <c r="F165">
        <v>0</v>
      </c>
      <c r="G165" t="s">
        <v>17</v>
      </c>
      <c r="H165" s="6">
        <v>0.85</v>
      </c>
      <c r="I165" s="8">
        <v>-8.9054617240622996E-2</v>
      </c>
      <c r="J165" s="5">
        <f t="shared" si="24"/>
        <v>1.8209321594669165E-2</v>
      </c>
      <c r="K165" s="5" cm="1">
        <f t="array" ref="K165">_xlfn.STDEV.S(IF($C:$C=C165,$I:$I))</f>
        <v>0.22834931756330515</v>
      </c>
      <c r="L165" s="7">
        <f t="shared" si="27"/>
        <v>-0.46973619181303417</v>
      </c>
      <c r="M165">
        <f t="shared" si="25"/>
        <v>0</v>
      </c>
      <c r="N165" s="9">
        <f t="shared" si="28"/>
        <v>2.2823529411764673E-2</v>
      </c>
      <c r="O165">
        <f>COUNTIFS($B$2:B165,B165,$C$2:C165,C165,$D$2:D165,"&lt;"&amp;D165,$F$2:F165,1)</f>
        <v>0</v>
      </c>
      <c r="P165">
        <f t="shared" si="26"/>
        <v>0</v>
      </c>
      <c r="Q165" t="str">
        <f t="shared" si="29"/>
        <v>Monitor</v>
      </c>
      <c r="R165">
        <v>0</v>
      </c>
      <c r="S165">
        <f t="shared" si="30"/>
        <v>0</v>
      </c>
      <c r="T165">
        <f t="shared" si="31"/>
        <v>0</v>
      </c>
      <c r="U165" t="str">
        <f t="shared" si="32"/>
        <v>Not Improved Enough</v>
      </c>
      <c r="V165" t="str">
        <f t="shared" si="33"/>
        <v>Far</v>
      </c>
      <c r="W165" t="str">
        <f t="shared" si="34"/>
        <v>Normal</v>
      </c>
      <c r="X165" t="str">
        <f t="shared" si="35"/>
        <v>Allowed</v>
      </c>
    </row>
    <row r="166" spans="1:24" x14ac:dyDescent="0.3">
      <c r="A166" t="s">
        <v>23</v>
      </c>
      <c r="B166" t="s">
        <v>11</v>
      </c>
      <c r="C166" t="s">
        <v>26</v>
      </c>
      <c r="D166" s="3">
        <v>45716</v>
      </c>
      <c r="E166" s="6">
        <v>0.875</v>
      </c>
      <c r="F166">
        <v>0</v>
      </c>
      <c r="G166" t="s">
        <v>17</v>
      </c>
      <c r="H166" s="6">
        <v>0.85</v>
      </c>
      <c r="I166" s="8">
        <v>5.3455333493859863E-2</v>
      </c>
      <c r="J166" s="5">
        <f t="shared" si="24"/>
        <v>1.8209321594669165E-2</v>
      </c>
      <c r="K166" s="5" cm="1">
        <f t="array" ref="K166">_xlfn.STDEV.S(IF($C:$C=C166,$I:$I))</f>
        <v>0.22834931756330515</v>
      </c>
      <c r="L166" s="7">
        <f t="shared" si="27"/>
        <v>0.15435129071239492</v>
      </c>
      <c r="M166">
        <f t="shared" si="25"/>
        <v>0</v>
      </c>
      <c r="N166" s="9">
        <f t="shared" si="28"/>
        <v>-2.941176470588238E-2</v>
      </c>
      <c r="O166">
        <f>COUNTIFS($B$2:B166,B166,$C$2:C166,C166,$D$2:D166,"&lt;"&amp;D166,$F$2:F166,1)</f>
        <v>0</v>
      </c>
      <c r="P166">
        <f t="shared" si="26"/>
        <v>0</v>
      </c>
      <c r="Q166" t="str">
        <f t="shared" si="29"/>
        <v>Monitor</v>
      </c>
      <c r="R166">
        <v>0</v>
      </c>
      <c r="S166">
        <f t="shared" si="30"/>
        <v>0</v>
      </c>
      <c r="T166">
        <f t="shared" si="31"/>
        <v>0</v>
      </c>
      <c r="U166" t="str">
        <f t="shared" si="32"/>
        <v>Improved Enough</v>
      </c>
      <c r="V166" t="str">
        <f t="shared" si="33"/>
        <v>Close</v>
      </c>
      <c r="W166" t="str">
        <f t="shared" si="34"/>
        <v>Normal</v>
      </c>
      <c r="X166" t="str">
        <f t="shared" si="35"/>
        <v>Allowed</v>
      </c>
    </row>
    <row r="167" spans="1:24" x14ac:dyDescent="0.3">
      <c r="A167" t="s">
        <v>23</v>
      </c>
      <c r="B167" t="s">
        <v>11</v>
      </c>
      <c r="C167" t="s">
        <v>26</v>
      </c>
      <c r="D167" s="3">
        <v>45747</v>
      </c>
      <c r="E167" s="6">
        <v>0.84309999999999996</v>
      </c>
      <c r="F167">
        <v>0</v>
      </c>
      <c r="G167" t="s">
        <v>17</v>
      </c>
      <c r="H167" s="6">
        <v>0.85</v>
      </c>
      <c r="I167" s="8">
        <v>-3.6457142857142903E-2</v>
      </c>
      <c r="J167" s="5">
        <f t="shared" si="24"/>
        <v>1.8209321594669165E-2</v>
      </c>
      <c r="K167" s="5" cm="1">
        <f t="array" ref="K167">_xlfn.STDEV.S(IF($C:$C=C167,$I:$I))</f>
        <v>0.22834931756330515</v>
      </c>
      <c r="L167" s="7">
        <f t="shared" si="27"/>
        <v>-0.23939841395259226</v>
      </c>
      <c r="M167">
        <f t="shared" si="25"/>
        <v>0</v>
      </c>
      <c r="N167" s="9">
        <f t="shared" si="28"/>
        <v>8.1176470588235506E-3</v>
      </c>
      <c r="O167">
        <f>COUNTIFS($B$2:B167,B167,$C$2:C167,C167,$D$2:D167,"&lt;"&amp;D167,$F$2:F167,1)</f>
        <v>0</v>
      </c>
      <c r="P167">
        <f t="shared" si="26"/>
        <v>0</v>
      </c>
      <c r="Q167" t="str">
        <f t="shared" si="29"/>
        <v>Monitor</v>
      </c>
      <c r="R167">
        <v>0</v>
      </c>
      <c r="S167">
        <f t="shared" si="30"/>
        <v>0</v>
      </c>
      <c r="T167">
        <f t="shared" si="31"/>
        <v>0</v>
      </c>
      <c r="U167" t="str">
        <f t="shared" si="32"/>
        <v>Not Improved Enough</v>
      </c>
      <c r="V167" t="str">
        <f t="shared" si="33"/>
        <v>Close</v>
      </c>
      <c r="W167" t="str">
        <f t="shared" si="34"/>
        <v>Normal</v>
      </c>
      <c r="X167" t="str">
        <f t="shared" si="35"/>
        <v>Allowed</v>
      </c>
    </row>
    <row r="168" spans="1:24" x14ac:dyDescent="0.3">
      <c r="A168" t="s">
        <v>23</v>
      </c>
      <c r="B168" t="s">
        <v>11</v>
      </c>
      <c r="C168" t="s">
        <v>26</v>
      </c>
      <c r="D168" s="3">
        <v>45777</v>
      </c>
      <c r="E168" s="6">
        <v>0.85589999999999999</v>
      </c>
      <c r="F168">
        <v>0</v>
      </c>
      <c r="G168" t="s">
        <v>17</v>
      </c>
      <c r="H168" s="6">
        <v>0.85</v>
      </c>
      <c r="I168" s="8">
        <v>1.518206618431981E-2</v>
      </c>
      <c r="J168" s="5">
        <f t="shared" si="24"/>
        <v>1.8209321594669165E-2</v>
      </c>
      <c r="K168" s="5" cm="1">
        <f t="array" ref="K168">_xlfn.STDEV.S(IF($C:$C=C168,$I:$I))</f>
        <v>0.22834931756330515</v>
      </c>
      <c r="L168" s="7">
        <f t="shared" si="27"/>
        <v>-1.3257124841242893E-2</v>
      </c>
      <c r="M168">
        <f t="shared" si="25"/>
        <v>0</v>
      </c>
      <c r="N168" s="9">
        <f t="shared" si="28"/>
        <v>-6.9411764705882544E-3</v>
      </c>
      <c r="O168">
        <f>COUNTIFS($B$2:B168,B168,$C$2:C168,C168,$D$2:D168,"&lt;"&amp;D168,$F$2:F168,1)</f>
        <v>0</v>
      </c>
      <c r="P168">
        <f t="shared" si="26"/>
        <v>0</v>
      </c>
      <c r="Q168" t="str">
        <f t="shared" si="29"/>
        <v>Monitor</v>
      </c>
      <c r="R168">
        <v>0</v>
      </c>
      <c r="S168">
        <f t="shared" si="30"/>
        <v>0</v>
      </c>
      <c r="T168">
        <f t="shared" si="31"/>
        <v>0</v>
      </c>
      <c r="U168" t="str">
        <f t="shared" si="32"/>
        <v>Improved Enough</v>
      </c>
      <c r="V168" t="str">
        <f t="shared" si="33"/>
        <v>Close</v>
      </c>
      <c r="W168" t="str">
        <f t="shared" si="34"/>
        <v>Normal</v>
      </c>
      <c r="X168" t="str">
        <f t="shared" si="35"/>
        <v>Allowed</v>
      </c>
    </row>
    <row r="169" spans="1:24" x14ac:dyDescent="0.3">
      <c r="A169" t="s">
        <v>23</v>
      </c>
      <c r="B169" t="s">
        <v>11</v>
      </c>
      <c r="C169" t="s">
        <v>26</v>
      </c>
      <c r="D169" s="3">
        <v>45808</v>
      </c>
      <c r="E169" s="6">
        <v>0.84260000000000002</v>
      </c>
      <c r="F169">
        <v>0</v>
      </c>
      <c r="G169" t="s">
        <v>17</v>
      </c>
      <c r="H169" s="6">
        <v>0.85</v>
      </c>
      <c r="I169" s="8">
        <v>-1.5539198504498161E-2</v>
      </c>
      <c r="J169" s="5">
        <f t="shared" si="24"/>
        <v>1.8209321594669165E-2</v>
      </c>
      <c r="K169" s="5" cm="1">
        <f t="array" ref="K169">_xlfn.STDEV.S(IF($C:$C=C169,$I:$I))</f>
        <v>0.22834931756330515</v>
      </c>
      <c r="L169" s="7">
        <f t="shared" si="27"/>
        <v>-0.14779339154281135</v>
      </c>
      <c r="M169">
        <f t="shared" si="25"/>
        <v>0</v>
      </c>
      <c r="N169" s="9">
        <f t="shared" si="28"/>
        <v>8.7058823529411328E-3</v>
      </c>
      <c r="O169">
        <f>COUNTIFS($B$2:B169,B169,$C$2:C169,C169,$D$2:D169,"&lt;"&amp;D169,$F$2:F169,1)</f>
        <v>0</v>
      </c>
      <c r="P169">
        <f t="shared" si="26"/>
        <v>0</v>
      </c>
      <c r="Q169" t="str">
        <f t="shared" si="29"/>
        <v>Monitor</v>
      </c>
      <c r="R169">
        <v>0</v>
      </c>
      <c r="S169">
        <f t="shared" si="30"/>
        <v>0</v>
      </c>
      <c r="T169">
        <f t="shared" si="31"/>
        <v>0</v>
      </c>
      <c r="U169" t="str">
        <f t="shared" si="32"/>
        <v>Not Improved Enough</v>
      </c>
      <c r="V169" t="str">
        <f t="shared" si="33"/>
        <v>Close</v>
      </c>
      <c r="W169" t="str">
        <f t="shared" si="34"/>
        <v>Normal</v>
      </c>
      <c r="X169" t="str">
        <f t="shared" si="35"/>
        <v>Allowed</v>
      </c>
    </row>
    <row r="170" spans="1:24" x14ac:dyDescent="0.3">
      <c r="A170" t="s">
        <v>23</v>
      </c>
      <c r="B170" t="s">
        <v>11</v>
      </c>
      <c r="C170" t="s">
        <v>26</v>
      </c>
      <c r="D170" s="3">
        <v>45838</v>
      </c>
      <c r="E170" s="6">
        <v>0.93410000000000004</v>
      </c>
      <c r="F170">
        <v>0</v>
      </c>
      <c r="G170" t="s">
        <v>17</v>
      </c>
      <c r="H170" s="6">
        <v>0.85</v>
      </c>
      <c r="I170" s="8">
        <v>0.10859245193448849</v>
      </c>
      <c r="J170" s="5">
        <f t="shared" si="24"/>
        <v>1.8209321594669165E-2</v>
      </c>
      <c r="K170" s="5" cm="1">
        <f t="array" ref="K170">_xlfn.STDEV.S(IF($C:$C=C170,$I:$I))</f>
        <v>0.22834931756330515</v>
      </c>
      <c r="L170" s="7">
        <f t="shared" si="27"/>
        <v>0.3958108187240913</v>
      </c>
      <c r="M170">
        <f t="shared" si="25"/>
        <v>0</v>
      </c>
      <c r="N170" s="9">
        <f t="shared" si="28"/>
        <v>-9.894117647058831E-2</v>
      </c>
      <c r="O170">
        <f>COUNTIFS($B$2:B170,B170,$C$2:C170,C170,$D$2:D170,"&lt;"&amp;D170,$F$2:F170,1)</f>
        <v>0</v>
      </c>
      <c r="P170">
        <f t="shared" si="26"/>
        <v>0</v>
      </c>
      <c r="Q170" t="str">
        <f t="shared" si="29"/>
        <v>Monitor</v>
      </c>
      <c r="R170">
        <v>0</v>
      </c>
      <c r="S170">
        <f t="shared" si="30"/>
        <v>0</v>
      </c>
      <c r="T170">
        <f t="shared" si="31"/>
        <v>0</v>
      </c>
      <c r="U170" t="str">
        <f t="shared" si="32"/>
        <v>Improved Enough</v>
      </c>
      <c r="V170" t="str">
        <f t="shared" si="33"/>
        <v>Close</v>
      </c>
      <c r="W170" t="str">
        <f t="shared" si="34"/>
        <v>Normal</v>
      </c>
      <c r="X170" t="str">
        <f t="shared" si="35"/>
        <v>Allowed</v>
      </c>
    </row>
    <row r="171" spans="1:24" x14ac:dyDescent="0.3">
      <c r="A171" t="s">
        <v>23</v>
      </c>
      <c r="B171" t="s">
        <v>11</v>
      </c>
      <c r="C171" t="s">
        <v>26</v>
      </c>
      <c r="D171" s="3">
        <v>45869</v>
      </c>
      <c r="E171" s="6">
        <v>0.85299999999999998</v>
      </c>
      <c r="F171">
        <v>0</v>
      </c>
      <c r="G171" t="s">
        <v>17</v>
      </c>
      <c r="H171" s="6">
        <v>0.85</v>
      </c>
      <c r="I171" s="8">
        <v>-8.6821539449737778E-2</v>
      </c>
      <c r="J171" s="5">
        <f t="shared" si="24"/>
        <v>1.8209321594669165E-2</v>
      </c>
      <c r="K171" s="5" cm="1">
        <f t="array" ref="K171">_xlfn.STDEV.S(IF($C:$C=C171,$I:$I))</f>
        <v>0.22834931756330515</v>
      </c>
      <c r="L171" s="7">
        <f t="shared" si="27"/>
        <v>-0.45995697366290267</v>
      </c>
      <c r="M171">
        <f t="shared" si="25"/>
        <v>0</v>
      </c>
      <c r="N171" s="9">
        <f t="shared" si="28"/>
        <v>-3.5294117647058855E-3</v>
      </c>
      <c r="O171">
        <f>COUNTIFS($B$2:B171,B171,$C$2:C171,C171,$D$2:D171,"&lt;"&amp;D171,$F$2:F171,1)</f>
        <v>0</v>
      </c>
      <c r="P171">
        <f t="shared" si="26"/>
        <v>0</v>
      </c>
      <c r="Q171" t="str">
        <f t="shared" si="29"/>
        <v>Monitor</v>
      </c>
      <c r="R171">
        <v>0</v>
      </c>
      <c r="S171">
        <f t="shared" si="30"/>
        <v>0</v>
      </c>
      <c r="T171">
        <f t="shared" si="31"/>
        <v>0</v>
      </c>
      <c r="U171" t="str">
        <f t="shared" si="32"/>
        <v>Not Improved Enough</v>
      </c>
      <c r="V171" t="str">
        <f t="shared" si="33"/>
        <v>Close</v>
      </c>
      <c r="W171" t="str">
        <f t="shared" si="34"/>
        <v>Normal</v>
      </c>
      <c r="X171" t="str">
        <f t="shared" si="35"/>
        <v>Allowed</v>
      </c>
    </row>
    <row r="172" spans="1:24" x14ac:dyDescent="0.3">
      <c r="A172" t="s">
        <v>23</v>
      </c>
      <c r="B172" t="s">
        <v>11</v>
      </c>
      <c r="C172" t="s">
        <v>26</v>
      </c>
      <c r="D172" s="3">
        <v>45900</v>
      </c>
      <c r="E172" s="6">
        <v>0.90200000000000002</v>
      </c>
      <c r="F172">
        <v>0</v>
      </c>
      <c r="G172" t="s">
        <v>17</v>
      </c>
      <c r="H172" s="6">
        <v>0.85</v>
      </c>
      <c r="I172" s="8">
        <v>5.7444314185228662E-2</v>
      </c>
      <c r="J172" s="5">
        <f t="shared" si="24"/>
        <v>1.8209321594669165E-2</v>
      </c>
      <c r="K172" s="5" cm="1">
        <f t="array" ref="K172">_xlfn.STDEV.S(IF($C:$C=C172,$I:$I))</f>
        <v>0.22834931756330515</v>
      </c>
      <c r="L172" s="7">
        <f t="shared" si="27"/>
        <v>0.1718200562595612</v>
      </c>
      <c r="M172">
        <f t="shared" si="25"/>
        <v>0</v>
      </c>
      <c r="N172" s="9">
        <f t="shared" si="28"/>
        <v>-6.1176470588235353E-2</v>
      </c>
      <c r="O172">
        <f>COUNTIFS($B$2:B172,B172,$C$2:C172,C172,$D$2:D172,"&lt;"&amp;D172,$F$2:F172,1)</f>
        <v>0</v>
      </c>
      <c r="P172">
        <f t="shared" si="26"/>
        <v>0</v>
      </c>
      <c r="Q172" t="str">
        <f t="shared" si="29"/>
        <v>Monitor</v>
      </c>
      <c r="R172">
        <v>0</v>
      </c>
      <c r="S172">
        <f t="shared" si="30"/>
        <v>0</v>
      </c>
      <c r="T172">
        <f t="shared" si="31"/>
        <v>0</v>
      </c>
      <c r="U172" t="str">
        <f t="shared" si="32"/>
        <v>Improved Enough</v>
      </c>
      <c r="V172" t="str">
        <f t="shared" si="33"/>
        <v>Close</v>
      </c>
      <c r="W172" t="str">
        <f t="shared" si="34"/>
        <v>Normal</v>
      </c>
      <c r="X172" t="str">
        <f t="shared" si="35"/>
        <v>Allowed</v>
      </c>
    </row>
    <row r="173" spans="1:24" x14ac:dyDescent="0.3">
      <c r="A173" t="s">
        <v>23</v>
      </c>
      <c r="B173" t="s">
        <v>11</v>
      </c>
      <c r="C173" t="s">
        <v>26</v>
      </c>
      <c r="D173" s="3">
        <v>45930</v>
      </c>
      <c r="E173" s="6">
        <v>0.80800000000000005</v>
      </c>
      <c r="F173">
        <v>0</v>
      </c>
      <c r="G173" t="s">
        <v>17</v>
      </c>
      <c r="H173" s="6">
        <v>0.85</v>
      </c>
      <c r="I173" s="8">
        <v>-0.10421286031042119</v>
      </c>
      <c r="J173" s="5">
        <f t="shared" si="24"/>
        <v>1.8209321594669165E-2</v>
      </c>
      <c r="K173" s="5" cm="1">
        <f t="array" ref="K173">_xlfn.STDEV.S(IF($C:$C=C173,$I:$I))</f>
        <v>0.22834931756330515</v>
      </c>
      <c r="L173" s="7">
        <f t="shared" si="27"/>
        <v>-0.5361180108241459</v>
      </c>
      <c r="M173">
        <f t="shared" si="25"/>
        <v>1</v>
      </c>
      <c r="N173" s="9">
        <f t="shared" si="28"/>
        <v>4.9411764705882266E-2</v>
      </c>
      <c r="O173">
        <f>COUNTIFS($B$2:B173,B173,$C$2:C173,C173,$D$2:D173,"&lt;"&amp;D173,$F$2:F173,1)</f>
        <v>0</v>
      </c>
      <c r="P173">
        <f t="shared" si="26"/>
        <v>0</v>
      </c>
      <c r="Q173" t="str">
        <f t="shared" si="29"/>
        <v>Intervene</v>
      </c>
      <c r="R173">
        <v>0</v>
      </c>
      <c r="S173">
        <f t="shared" si="30"/>
        <v>1</v>
      </c>
      <c r="T173">
        <f t="shared" si="31"/>
        <v>1</v>
      </c>
      <c r="U173" t="str">
        <f t="shared" si="32"/>
        <v>Not Improved Enough</v>
      </c>
      <c r="V173" t="str">
        <f t="shared" si="33"/>
        <v>Far</v>
      </c>
      <c r="W173" t="str">
        <f t="shared" si="34"/>
        <v>Abnormal</v>
      </c>
      <c r="X173" t="str">
        <f t="shared" si="35"/>
        <v>Allowed</v>
      </c>
    </row>
    <row r="174" spans="1:24" x14ac:dyDescent="0.3">
      <c r="A174" t="s">
        <v>23</v>
      </c>
      <c r="B174" t="s">
        <v>11</v>
      </c>
      <c r="C174" t="s">
        <v>26</v>
      </c>
      <c r="D174" s="3">
        <v>45961</v>
      </c>
      <c r="E174" s="6">
        <v>0.89500000000000002</v>
      </c>
      <c r="F174">
        <v>0</v>
      </c>
      <c r="G174" t="s">
        <v>17</v>
      </c>
      <c r="H174" s="6">
        <v>0.85</v>
      </c>
      <c r="I174" s="8">
        <v>0.1076732673267326</v>
      </c>
      <c r="J174" s="5">
        <f t="shared" si="24"/>
        <v>1.8209321594669165E-2</v>
      </c>
      <c r="K174" s="5" cm="1">
        <f t="array" ref="K174">_xlfn.STDEV.S(IF($C:$C=C174,$I:$I))</f>
        <v>0.22834931756330515</v>
      </c>
      <c r="L174" s="7">
        <f t="shared" si="27"/>
        <v>0.39178547449462553</v>
      </c>
      <c r="M174">
        <f t="shared" si="25"/>
        <v>0</v>
      </c>
      <c r="N174" s="9">
        <f t="shared" si="28"/>
        <v>-5.2941176470588283E-2</v>
      </c>
      <c r="O174">
        <f>COUNTIFS($B$2:B174,B174,$C$2:C174,C174,$D$2:D174,"&lt;"&amp;D174,$F$2:F174,1)</f>
        <v>0</v>
      </c>
      <c r="P174">
        <f t="shared" si="26"/>
        <v>0</v>
      </c>
      <c r="Q174" t="str">
        <f t="shared" si="29"/>
        <v>Monitor</v>
      </c>
      <c r="R174">
        <v>0</v>
      </c>
      <c r="S174">
        <f t="shared" si="30"/>
        <v>0</v>
      </c>
      <c r="T174">
        <f t="shared" si="31"/>
        <v>0</v>
      </c>
      <c r="U174" t="str">
        <f t="shared" si="32"/>
        <v>Improved Enough</v>
      </c>
      <c r="V174" t="str">
        <f t="shared" si="33"/>
        <v>Close</v>
      </c>
      <c r="W174" t="str">
        <f t="shared" si="34"/>
        <v>Normal</v>
      </c>
      <c r="X174" t="str">
        <f t="shared" si="35"/>
        <v>Allowed</v>
      </c>
    </row>
    <row r="175" spans="1:24" x14ac:dyDescent="0.3">
      <c r="A175" t="s">
        <v>23</v>
      </c>
      <c r="B175" t="s">
        <v>11</v>
      </c>
      <c r="C175" t="s">
        <v>26</v>
      </c>
      <c r="D175" s="3">
        <v>45991</v>
      </c>
      <c r="E175" s="6">
        <v>0.90900000000000003</v>
      </c>
      <c r="F175">
        <v>0</v>
      </c>
      <c r="G175" t="s">
        <v>17</v>
      </c>
      <c r="H175" s="6">
        <v>0.85</v>
      </c>
      <c r="I175" s="8">
        <v>1.564245810055867E-2</v>
      </c>
      <c r="J175" s="5">
        <f t="shared" si="24"/>
        <v>1.8209321594669165E-2</v>
      </c>
      <c r="K175" s="5" cm="1">
        <f t="array" ref="K175">_xlfn.STDEV.S(IF($C:$C=C175,$I:$I))</f>
        <v>0.22834931756330515</v>
      </c>
      <c r="L175" s="7">
        <f t="shared" si="27"/>
        <v>-1.1240951019697638E-2</v>
      </c>
      <c r="M175">
        <f t="shared" si="25"/>
        <v>0</v>
      </c>
      <c r="N175" s="9">
        <f t="shared" si="28"/>
        <v>-6.9411764705882423E-2</v>
      </c>
      <c r="O175">
        <f>COUNTIFS($B$2:B175,B175,$C$2:C175,C175,$D$2:D175,"&lt;"&amp;D175,$F$2:F175,1)</f>
        <v>0</v>
      </c>
      <c r="P175">
        <f t="shared" si="26"/>
        <v>0</v>
      </c>
      <c r="Q175" t="str">
        <f t="shared" si="29"/>
        <v>Monitor</v>
      </c>
      <c r="R175">
        <v>0</v>
      </c>
      <c r="S175">
        <f t="shared" si="30"/>
        <v>0</v>
      </c>
      <c r="T175">
        <f t="shared" si="31"/>
        <v>0</v>
      </c>
      <c r="U175" t="str">
        <f t="shared" si="32"/>
        <v>Improved Enough</v>
      </c>
      <c r="V175" t="str">
        <f t="shared" si="33"/>
        <v>Close</v>
      </c>
      <c r="W175" t="str">
        <f t="shared" si="34"/>
        <v>Normal</v>
      </c>
      <c r="X175" t="str">
        <f t="shared" si="35"/>
        <v>Allowed</v>
      </c>
    </row>
    <row r="176" spans="1:24" x14ac:dyDescent="0.3">
      <c r="A176" t="s">
        <v>23</v>
      </c>
      <c r="B176" t="s">
        <v>11</v>
      </c>
      <c r="C176" t="s">
        <v>27</v>
      </c>
      <c r="D176" s="3">
        <v>45535</v>
      </c>
      <c r="E176" s="6">
        <v>0.84160000000000001</v>
      </c>
      <c r="F176">
        <v>0</v>
      </c>
      <c r="G176" t="s">
        <v>17</v>
      </c>
      <c r="H176" s="6">
        <v>0.7</v>
      </c>
      <c r="I176" s="8">
        <v>7.7834989821578991E-3</v>
      </c>
      <c r="J176" s="5">
        <f t="shared" si="24"/>
        <v>1.9288787744816144E-2</v>
      </c>
      <c r="K176" s="5" cm="1">
        <f t="array" ref="K176">_xlfn.STDEV.S(IF($C:$C=C176,$I:$I))</f>
        <v>0.27585788879837708</v>
      </c>
      <c r="L176" s="7">
        <f t="shared" si="27"/>
        <v>-4.1707303759826106E-2</v>
      </c>
      <c r="M176">
        <f t="shared" si="25"/>
        <v>0</v>
      </c>
      <c r="N176" s="9">
        <f t="shared" si="28"/>
        <v>-0.20228571428571437</v>
      </c>
      <c r="O176">
        <f>COUNTIFS($B$2:B176,B176,$C$2:C176,C176,$D$2:D176,"&lt;"&amp;D176,$F$2:F176,1)</f>
        <v>0</v>
      </c>
      <c r="P176">
        <f t="shared" si="26"/>
        <v>0</v>
      </c>
      <c r="Q176" t="str">
        <f t="shared" si="29"/>
        <v>Monitor</v>
      </c>
      <c r="R176">
        <v>0</v>
      </c>
      <c r="S176">
        <f t="shared" si="30"/>
        <v>0</v>
      </c>
      <c r="T176">
        <f t="shared" si="31"/>
        <v>0</v>
      </c>
      <c r="U176" t="str">
        <f t="shared" si="32"/>
        <v>Not Improved Enough</v>
      </c>
      <c r="V176" t="str">
        <f t="shared" si="33"/>
        <v>Close</v>
      </c>
      <c r="W176" t="str">
        <f t="shared" si="34"/>
        <v>Normal</v>
      </c>
      <c r="X176" t="str">
        <f t="shared" si="35"/>
        <v>Allowed</v>
      </c>
    </row>
    <row r="177" spans="1:24" x14ac:dyDescent="0.3">
      <c r="A177" t="s">
        <v>23</v>
      </c>
      <c r="B177" t="s">
        <v>11</v>
      </c>
      <c r="C177" t="s">
        <v>27</v>
      </c>
      <c r="D177" s="3">
        <v>45565</v>
      </c>
      <c r="E177" s="6">
        <v>0.82350000000000001</v>
      </c>
      <c r="F177">
        <v>0</v>
      </c>
      <c r="G177" t="s">
        <v>17</v>
      </c>
      <c r="H177" s="6">
        <v>0.7</v>
      </c>
      <c r="I177" s="8">
        <v>-2.1506653992395441E-2</v>
      </c>
      <c r="J177" s="5">
        <f t="shared" si="24"/>
        <v>1.9288787744816144E-2</v>
      </c>
      <c r="K177" s="5" cm="1">
        <f t="array" ref="K177">_xlfn.STDEV.S(IF($C:$C=C177,$I:$I))</f>
        <v>0.27585788879837708</v>
      </c>
      <c r="L177" s="7">
        <f t="shared" si="27"/>
        <v>-0.1478857172253237</v>
      </c>
      <c r="M177">
        <f t="shared" si="25"/>
        <v>0</v>
      </c>
      <c r="N177" s="9">
        <f t="shared" si="28"/>
        <v>-0.17642857142857152</v>
      </c>
      <c r="O177">
        <f>COUNTIFS($B$2:B177,B177,$C$2:C177,C177,$D$2:D177,"&lt;"&amp;D177,$F$2:F177,1)</f>
        <v>0</v>
      </c>
      <c r="P177">
        <f t="shared" si="26"/>
        <v>0</v>
      </c>
      <c r="Q177" t="str">
        <f t="shared" si="29"/>
        <v>Monitor</v>
      </c>
      <c r="R177">
        <v>0</v>
      </c>
      <c r="S177">
        <f t="shared" si="30"/>
        <v>0</v>
      </c>
      <c r="T177">
        <f t="shared" si="31"/>
        <v>0</v>
      </c>
      <c r="U177" t="str">
        <f t="shared" si="32"/>
        <v>Not Improved Enough</v>
      </c>
      <c r="V177" t="str">
        <f t="shared" si="33"/>
        <v>Close</v>
      </c>
      <c r="W177" t="str">
        <f t="shared" si="34"/>
        <v>Normal</v>
      </c>
      <c r="X177" t="str">
        <f t="shared" si="35"/>
        <v>Allowed</v>
      </c>
    </row>
    <row r="178" spans="1:24" x14ac:dyDescent="0.3">
      <c r="A178" t="s">
        <v>23</v>
      </c>
      <c r="B178" t="s">
        <v>11</v>
      </c>
      <c r="C178" t="s">
        <v>27</v>
      </c>
      <c r="D178" s="3">
        <v>45596</v>
      </c>
      <c r="E178" s="6">
        <v>0.82720000000000005</v>
      </c>
      <c r="F178">
        <v>0</v>
      </c>
      <c r="G178" t="s">
        <v>17</v>
      </c>
      <c r="H178" s="6">
        <v>0.7</v>
      </c>
      <c r="I178" s="8">
        <v>4.4930176077717507E-3</v>
      </c>
      <c r="J178" s="5">
        <f t="shared" si="24"/>
        <v>1.9288787744816144E-2</v>
      </c>
      <c r="K178" s="5" cm="1">
        <f t="array" ref="K178">_xlfn.STDEV.S(IF($C:$C=C178,$I:$I))</f>
        <v>0.27585788879837708</v>
      </c>
      <c r="L178" s="7">
        <f t="shared" si="27"/>
        <v>-5.3635479490885742E-2</v>
      </c>
      <c r="M178">
        <f t="shared" si="25"/>
        <v>0</v>
      </c>
      <c r="N178" s="9">
        <f t="shared" si="28"/>
        <v>-0.18171428571428586</v>
      </c>
      <c r="O178">
        <f>COUNTIFS($B$2:B178,B178,$C$2:C178,C178,$D$2:D178,"&lt;"&amp;D178,$F$2:F178,1)</f>
        <v>0</v>
      </c>
      <c r="P178">
        <f t="shared" si="26"/>
        <v>0</v>
      </c>
      <c r="Q178" t="str">
        <f t="shared" si="29"/>
        <v>Monitor</v>
      </c>
      <c r="R178">
        <v>0</v>
      </c>
      <c r="S178">
        <f t="shared" si="30"/>
        <v>0</v>
      </c>
      <c r="T178">
        <f t="shared" si="31"/>
        <v>0</v>
      </c>
      <c r="U178" t="str">
        <f t="shared" si="32"/>
        <v>Not Improved Enough</v>
      </c>
      <c r="V178" t="str">
        <f t="shared" si="33"/>
        <v>Close</v>
      </c>
      <c r="W178" t="str">
        <f t="shared" si="34"/>
        <v>Normal</v>
      </c>
      <c r="X178" t="str">
        <f t="shared" si="35"/>
        <v>Allowed</v>
      </c>
    </row>
    <row r="179" spans="1:24" x14ac:dyDescent="0.3">
      <c r="A179" t="s">
        <v>23</v>
      </c>
      <c r="B179" t="s">
        <v>11</v>
      </c>
      <c r="C179" t="s">
        <v>27</v>
      </c>
      <c r="D179" s="3">
        <v>45626</v>
      </c>
      <c r="E179" s="6">
        <v>0.78669999999999995</v>
      </c>
      <c r="F179">
        <v>0</v>
      </c>
      <c r="G179" t="s">
        <v>17</v>
      </c>
      <c r="H179" s="6">
        <v>0.7</v>
      </c>
      <c r="I179" s="8">
        <v>-4.8960348162475929E-2</v>
      </c>
      <c r="J179" s="5">
        <f t="shared" si="24"/>
        <v>1.9288787744816144E-2</v>
      </c>
      <c r="K179" s="5" cm="1">
        <f t="array" ref="K179">_xlfn.STDEV.S(IF($C:$C=C179,$I:$I))</f>
        <v>0.27585788879837708</v>
      </c>
      <c r="L179" s="7">
        <f t="shared" si="27"/>
        <v>-0.24740686664638029</v>
      </c>
      <c r="M179">
        <f t="shared" si="25"/>
        <v>0</v>
      </c>
      <c r="N179" s="9">
        <f t="shared" si="28"/>
        <v>-0.12385714285714286</v>
      </c>
      <c r="O179">
        <f>COUNTIFS($B$2:B179,B179,$C$2:C179,C179,$D$2:D179,"&lt;"&amp;D179,$F$2:F179,1)</f>
        <v>0</v>
      </c>
      <c r="P179">
        <f t="shared" si="26"/>
        <v>0</v>
      </c>
      <c r="Q179" t="str">
        <f t="shared" si="29"/>
        <v>Monitor</v>
      </c>
      <c r="R179">
        <v>0</v>
      </c>
      <c r="S179">
        <f t="shared" si="30"/>
        <v>0</v>
      </c>
      <c r="T179">
        <f t="shared" si="31"/>
        <v>0</v>
      </c>
      <c r="U179" t="str">
        <f t="shared" si="32"/>
        <v>Not Improved Enough</v>
      </c>
      <c r="V179" t="str">
        <f t="shared" si="33"/>
        <v>Close</v>
      </c>
      <c r="W179" t="str">
        <f t="shared" si="34"/>
        <v>Normal</v>
      </c>
      <c r="X179" t="str">
        <f t="shared" si="35"/>
        <v>Allowed</v>
      </c>
    </row>
    <row r="180" spans="1:24" x14ac:dyDescent="0.3">
      <c r="A180" t="s">
        <v>23</v>
      </c>
      <c r="B180" t="s">
        <v>11</v>
      </c>
      <c r="C180" t="s">
        <v>27</v>
      </c>
      <c r="D180" s="3">
        <v>45657</v>
      </c>
      <c r="E180" s="6">
        <v>0.84689999999999999</v>
      </c>
      <c r="F180">
        <v>0</v>
      </c>
      <c r="G180" t="s">
        <v>17</v>
      </c>
      <c r="H180" s="6">
        <v>0.7</v>
      </c>
      <c r="I180" s="8">
        <v>7.6522181263505823E-2</v>
      </c>
      <c r="J180" s="5">
        <f t="shared" si="24"/>
        <v>1.9288787744816144E-2</v>
      </c>
      <c r="K180" s="5" cm="1">
        <f t="array" ref="K180">_xlfn.STDEV.S(IF($C:$C=C180,$I:$I))</f>
        <v>0.27585788879837708</v>
      </c>
      <c r="L180" s="7">
        <f t="shared" si="27"/>
        <v>0.20747419538370077</v>
      </c>
      <c r="M180">
        <f t="shared" si="25"/>
        <v>0</v>
      </c>
      <c r="N180" s="9">
        <f t="shared" si="28"/>
        <v>-0.20985714285714291</v>
      </c>
      <c r="O180">
        <f>COUNTIFS($B$2:B180,B180,$C$2:C180,C180,$D$2:D180,"&lt;"&amp;D180,$F$2:F180,1)</f>
        <v>0</v>
      </c>
      <c r="P180">
        <f t="shared" si="26"/>
        <v>0</v>
      </c>
      <c r="Q180" t="str">
        <f t="shared" si="29"/>
        <v>Monitor</v>
      </c>
      <c r="R180">
        <v>0</v>
      </c>
      <c r="S180">
        <f t="shared" si="30"/>
        <v>0</v>
      </c>
      <c r="T180">
        <f t="shared" si="31"/>
        <v>0</v>
      </c>
      <c r="U180" t="str">
        <f t="shared" si="32"/>
        <v>Improved Enough</v>
      </c>
      <c r="V180" t="str">
        <f t="shared" si="33"/>
        <v>Close</v>
      </c>
      <c r="W180" t="str">
        <f t="shared" si="34"/>
        <v>Normal</v>
      </c>
      <c r="X180" t="str">
        <f t="shared" si="35"/>
        <v>Allowed</v>
      </c>
    </row>
    <row r="181" spans="1:24" x14ac:dyDescent="0.3">
      <c r="A181" t="s">
        <v>23</v>
      </c>
      <c r="B181" t="s">
        <v>11</v>
      </c>
      <c r="C181" t="s">
        <v>27</v>
      </c>
      <c r="D181" s="3">
        <v>45688</v>
      </c>
      <c r="E181" s="6">
        <v>0.86670000000000003</v>
      </c>
      <c r="F181">
        <v>0</v>
      </c>
      <c r="G181" t="s">
        <v>17</v>
      </c>
      <c r="H181" s="6">
        <v>0.7</v>
      </c>
      <c r="I181" s="8">
        <v>2.33793836344315E-2</v>
      </c>
      <c r="J181" s="5">
        <f t="shared" si="24"/>
        <v>1.9288787744816144E-2</v>
      </c>
      <c r="K181" s="5" cm="1">
        <f t="array" ref="K181">_xlfn.STDEV.S(IF($C:$C=C181,$I:$I))</f>
        <v>0.27585788879837708</v>
      </c>
      <c r="L181" s="7">
        <f t="shared" si="27"/>
        <v>1.4828634799728888E-2</v>
      </c>
      <c r="M181">
        <f t="shared" si="25"/>
        <v>0</v>
      </c>
      <c r="N181" s="9">
        <f t="shared" si="28"/>
        <v>-0.23814285714285727</v>
      </c>
      <c r="O181">
        <f>COUNTIFS($B$2:B181,B181,$C$2:C181,C181,$D$2:D181,"&lt;"&amp;D181,$F$2:F181,1)</f>
        <v>0</v>
      </c>
      <c r="P181">
        <f t="shared" si="26"/>
        <v>0</v>
      </c>
      <c r="Q181" t="str">
        <f t="shared" si="29"/>
        <v>Monitor</v>
      </c>
      <c r="R181">
        <v>0</v>
      </c>
      <c r="S181">
        <f t="shared" si="30"/>
        <v>0</v>
      </c>
      <c r="T181">
        <f t="shared" si="31"/>
        <v>0</v>
      </c>
      <c r="U181" t="str">
        <f t="shared" si="32"/>
        <v>Improved Enough</v>
      </c>
      <c r="V181" t="str">
        <f t="shared" si="33"/>
        <v>Close</v>
      </c>
      <c r="W181" t="str">
        <f t="shared" si="34"/>
        <v>Normal</v>
      </c>
      <c r="X181" t="str">
        <f t="shared" si="35"/>
        <v>Allowed</v>
      </c>
    </row>
    <row r="182" spans="1:24" x14ac:dyDescent="0.3">
      <c r="A182" t="s">
        <v>23</v>
      </c>
      <c r="B182" t="s">
        <v>11</v>
      </c>
      <c r="C182" t="s">
        <v>27</v>
      </c>
      <c r="D182" s="3">
        <v>45716</v>
      </c>
      <c r="E182" s="6">
        <v>0.88639999999999997</v>
      </c>
      <c r="F182">
        <v>0</v>
      </c>
      <c r="G182" t="s">
        <v>17</v>
      </c>
      <c r="H182" s="6">
        <v>0.7</v>
      </c>
      <c r="I182" s="8">
        <v>2.2729895004038232E-2</v>
      </c>
      <c r="J182" s="5">
        <f t="shared" si="24"/>
        <v>1.9288787744816144E-2</v>
      </c>
      <c r="K182" s="5" cm="1">
        <f t="array" ref="K182">_xlfn.STDEV.S(IF($C:$C=C182,$I:$I))</f>
        <v>0.27585788879837708</v>
      </c>
      <c r="L182" s="7">
        <f t="shared" si="27"/>
        <v>1.247420283759647E-2</v>
      </c>
      <c r="M182">
        <f t="shared" si="25"/>
        <v>0</v>
      </c>
      <c r="N182" s="9">
        <f t="shared" si="28"/>
        <v>-0.26628571428571429</v>
      </c>
      <c r="O182">
        <f>COUNTIFS($B$2:B182,B182,$C$2:C182,C182,$D$2:D182,"&lt;"&amp;D182,$F$2:F182,1)</f>
        <v>0</v>
      </c>
      <c r="P182">
        <f t="shared" si="26"/>
        <v>0</v>
      </c>
      <c r="Q182" t="str">
        <f t="shared" si="29"/>
        <v>Monitor</v>
      </c>
      <c r="R182">
        <v>0</v>
      </c>
      <c r="S182">
        <f t="shared" si="30"/>
        <v>0</v>
      </c>
      <c r="T182">
        <f t="shared" si="31"/>
        <v>0</v>
      </c>
      <c r="U182" t="str">
        <f t="shared" si="32"/>
        <v>Improved Enough</v>
      </c>
      <c r="V182" t="str">
        <f t="shared" si="33"/>
        <v>Close</v>
      </c>
      <c r="W182" t="str">
        <f t="shared" si="34"/>
        <v>Normal</v>
      </c>
      <c r="X182" t="str">
        <f t="shared" si="35"/>
        <v>Allowed</v>
      </c>
    </row>
    <row r="183" spans="1:24" x14ac:dyDescent="0.3">
      <c r="A183" t="s">
        <v>23</v>
      </c>
      <c r="B183" t="s">
        <v>11</v>
      </c>
      <c r="C183" t="s">
        <v>27</v>
      </c>
      <c r="D183" s="3">
        <v>45747</v>
      </c>
      <c r="E183" s="6">
        <v>0.87</v>
      </c>
      <c r="F183">
        <v>0</v>
      </c>
      <c r="G183" t="s">
        <v>17</v>
      </c>
      <c r="H183" s="6">
        <v>0.7</v>
      </c>
      <c r="I183" s="8">
        <v>-1.8501805054151589E-2</v>
      </c>
      <c r="J183" s="5">
        <f t="shared" si="24"/>
        <v>1.9288787744816144E-2</v>
      </c>
      <c r="K183" s="5" cm="1">
        <f t="array" ref="K183">_xlfn.STDEV.S(IF($C:$C=C183,$I:$I))</f>
        <v>0.27585788879837708</v>
      </c>
      <c r="L183" s="7">
        <f t="shared" si="27"/>
        <v>-0.13699297476530992</v>
      </c>
      <c r="M183">
        <f t="shared" si="25"/>
        <v>0</v>
      </c>
      <c r="N183" s="9">
        <f t="shared" si="28"/>
        <v>-0.24285714285714294</v>
      </c>
      <c r="O183">
        <f>COUNTIFS($B$2:B183,B183,$C$2:C183,C183,$D$2:D183,"&lt;"&amp;D183,$F$2:F183,1)</f>
        <v>0</v>
      </c>
      <c r="P183">
        <f t="shared" si="26"/>
        <v>0</v>
      </c>
      <c r="Q183" t="str">
        <f t="shared" si="29"/>
        <v>Monitor</v>
      </c>
      <c r="R183">
        <v>0</v>
      </c>
      <c r="S183">
        <f t="shared" si="30"/>
        <v>0</v>
      </c>
      <c r="T183">
        <f t="shared" si="31"/>
        <v>0</v>
      </c>
      <c r="U183" t="str">
        <f t="shared" si="32"/>
        <v>Not Improved Enough</v>
      </c>
      <c r="V183" t="str">
        <f t="shared" si="33"/>
        <v>Close</v>
      </c>
      <c r="W183" t="str">
        <f t="shared" si="34"/>
        <v>Normal</v>
      </c>
      <c r="X183" t="str">
        <f t="shared" si="35"/>
        <v>Allowed</v>
      </c>
    </row>
    <row r="184" spans="1:24" x14ac:dyDescent="0.3">
      <c r="A184" t="s">
        <v>23</v>
      </c>
      <c r="B184" t="s">
        <v>11</v>
      </c>
      <c r="C184" t="s">
        <v>27</v>
      </c>
      <c r="D184" s="3">
        <v>45777</v>
      </c>
      <c r="E184" s="6">
        <v>0.76470000000000005</v>
      </c>
      <c r="F184">
        <v>0</v>
      </c>
      <c r="G184" t="s">
        <v>17</v>
      </c>
      <c r="H184" s="6">
        <v>0.7</v>
      </c>
      <c r="I184" s="8">
        <v>-0.1210344827586206</v>
      </c>
      <c r="J184" s="5">
        <f t="shared" si="24"/>
        <v>1.9288787744816144E-2</v>
      </c>
      <c r="K184" s="5" cm="1">
        <f t="array" ref="K184">_xlfn.STDEV.S(IF($C:$C=C184,$I:$I))</f>
        <v>0.27585788879837708</v>
      </c>
      <c r="L184" s="7">
        <f t="shared" si="27"/>
        <v>-0.50867956365024669</v>
      </c>
      <c r="M184">
        <f t="shared" si="25"/>
        <v>1</v>
      </c>
      <c r="N184" s="9">
        <f t="shared" si="28"/>
        <v>-9.2428571428571568E-2</v>
      </c>
      <c r="O184">
        <f>COUNTIFS($B$2:B184,B184,$C$2:C184,C184,$D$2:D184,"&lt;"&amp;D184,$F$2:F184,1)</f>
        <v>0</v>
      </c>
      <c r="P184">
        <f t="shared" si="26"/>
        <v>0</v>
      </c>
      <c r="Q184" t="str">
        <f t="shared" si="29"/>
        <v>Monitor</v>
      </c>
      <c r="R184">
        <v>0</v>
      </c>
      <c r="S184">
        <f t="shared" si="30"/>
        <v>0</v>
      </c>
      <c r="T184">
        <f t="shared" si="31"/>
        <v>0</v>
      </c>
      <c r="U184" t="str">
        <f t="shared" si="32"/>
        <v>Not Improved Enough</v>
      </c>
      <c r="V184" t="str">
        <f t="shared" si="33"/>
        <v>Close</v>
      </c>
      <c r="W184" t="str">
        <f t="shared" si="34"/>
        <v>Abnormal</v>
      </c>
      <c r="X184" t="str">
        <f t="shared" si="35"/>
        <v>Allowed</v>
      </c>
    </row>
    <row r="185" spans="1:24" x14ac:dyDescent="0.3">
      <c r="A185" t="s">
        <v>23</v>
      </c>
      <c r="B185" t="s">
        <v>11</v>
      </c>
      <c r="C185" t="s">
        <v>27</v>
      </c>
      <c r="D185" s="3">
        <v>45808</v>
      </c>
      <c r="E185" s="6">
        <v>0.79810000000000003</v>
      </c>
      <c r="F185">
        <v>0</v>
      </c>
      <c r="G185" t="s">
        <v>17</v>
      </c>
      <c r="H185" s="6">
        <v>0.7</v>
      </c>
      <c r="I185" s="8">
        <v>4.3677259055838871E-2</v>
      </c>
      <c r="J185" s="5">
        <f t="shared" si="24"/>
        <v>1.9288787744816144E-2</v>
      </c>
      <c r="K185" s="5" cm="1">
        <f t="array" ref="K185">_xlfn.STDEV.S(IF($C:$C=C185,$I:$I))</f>
        <v>0.27585788879837708</v>
      </c>
      <c r="L185" s="7">
        <f t="shared" si="27"/>
        <v>8.8409548181702061E-2</v>
      </c>
      <c r="M185">
        <f t="shared" si="25"/>
        <v>0</v>
      </c>
      <c r="N185" s="9">
        <f t="shared" si="28"/>
        <v>-0.14014285714285726</v>
      </c>
      <c r="O185">
        <f>COUNTIFS($B$2:B185,B185,$C$2:C185,C185,$D$2:D185,"&lt;"&amp;D185,$F$2:F185,1)</f>
        <v>0</v>
      </c>
      <c r="P185">
        <f t="shared" si="26"/>
        <v>0</v>
      </c>
      <c r="Q185" t="str">
        <f t="shared" si="29"/>
        <v>Monitor</v>
      </c>
      <c r="R185">
        <v>0</v>
      </c>
      <c r="S185">
        <f t="shared" si="30"/>
        <v>0</v>
      </c>
      <c r="T185">
        <f t="shared" si="31"/>
        <v>0</v>
      </c>
      <c r="U185" t="str">
        <f t="shared" si="32"/>
        <v>Improved Enough</v>
      </c>
      <c r="V185" t="str">
        <f t="shared" si="33"/>
        <v>Close</v>
      </c>
      <c r="W185" t="str">
        <f t="shared" si="34"/>
        <v>Normal</v>
      </c>
      <c r="X185" t="str">
        <f t="shared" si="35"/>
        <v>Allowed</v>
      </c>
    </row>
    <row r="186" spans="1:24" x14ac:dyDescent="0.3">
      <c r="A186" t="s">
        <v>23</v>
      </c>
      <c r="B186" t="s">
        <v>11</v>
      </c>
      <c r="C186" t="s">
        <v>27</v>
      </c>
      <c r="D186" s="3">
        <v>45838</v>
      </c>
      <c r="E186" s="6">
        <v>0.80900000000000005</v>
      </c>
      <c r="F186">
        <v>0</v>
      </c>
      <c r="G186" t="s">
        <v>17</v>
      </c>
      <c r="H186" s="6">
        <v>0.7</v>
      </c>
      <c r="I186" s="8">
        <v>1.365743641147728E-2</v>
      </c>
      <c r="J186" s="5">
        <f t="shared" si="24"/>
        <v>1.9288787744816144E-2</v>
      </c>
      <c r="K186" s="5" cm="1">
        <f t="array" ref="K186">_xlfn.STDEV.S(IF($C:$C=C186,$I:$I))</f>
        <v>0.27585788879837708</v>
      </c>
      <c r="L186" s="7">
        <f t="shared" si="27"/>
        <v>-2.0413957918219212E-2</v>
      </c>
      <c r="M186">
        <f t="shared" si="25"/>
        <v>0</v>
      </c>
      <c r="N186" s="9">
        <f t="shared" si="28"/>
        <v>-0.15571428571428586</v>
      </c>
      <c r="O186">
        <f>COUNTIFS($B$2:B186,B186,$C$2:C186,C186,$D$2:D186,"&lt;"&amp;D186,$F$2:F186,1)</f>
        <v>0</v>
      </c>
      <c r="P186">
        <f t="shared" si="26"/>
        <v>0</v>
      </c>
      <c r="Q186" t="str">
        <f t="shared" si="29"/>
        <v>Monitor</v>
      </c>
      <c r="R186">
        <v>0</v>
      </c>
      <c r="S186">
        <f t="shared" si="30"/>
        <v>0</v>
      </c>
      <c r="T186">
        <f t="shared" si="31"/>
        <v>0</v>
      </c>
      <c r="U186" t="str">
        <f t="shared" si="32"/>
        <v>Improved Enough</v>
      </c>
      <c r="V186" t="str">
        <f t="shared" si="33"/>
        <v>Close</v>
      </c>
      <c r="W186" t="str">
        <f t="shared" si="34"/>
        <v>Normal</v>
      </c>
      <c r="X186" t="str">
        <f t="shared" si="35"/>
        <v>Allowed</v>
      </c>
    </row>
    <row r="187" spans="1:24" x14ac:dyDescent="0.3">
      <c r="A187" t="s">
        <v>23</v>
      </c>
      <c r="B187" t="s">
        <v>11</v>
      </c>
      <c r="C187" t="s">
        <v>27</v>
      </c>
      <c r="D187" s="3">
        <v>45869</v>
      </c>
      <c r="E187" s="6">
        <v>0.84399999999999997</v>
      </c>
      <c r="F187">
        <v>0</v>
      </c>
      <c r="G187" t="s">
        <v>17</v>
      </c>
      <c r="H187" s="6">
        <v>0.7</v>
      </c>
      <c r="I187" s="8">
        <v>4.3263288009888649E-2</v>
      </c>
      <c r="J187" s="5">
        <f t="shared" si="24"/>
        <v>1.9288787744816144E-2</v>
      </c>
      <c r="K187" s="5" cm="1">
        <f t="array" ref="K187">_xlfn.STDEV.S(IF($C:$C=C187,$I:$I))</f>
        <v>0.27585788879837708</v>
      </c>
      <c r="L187" s="7">
        <f t="shared" si="27"/>
        <v>8.6908880400354716E-2</v>
      </c>
      <c r="M187">
        <f t="shared" si="25"/>
        <v>0</v>
      </c>
      <c r="N187" s="9">
        <f t="shared" si="28"/>
        <v>-0.20571428571428574</v>
      </c>
      <c r="O187">
        <f>COUNTIFS($B$2:B187,B187,$C$2:C187,C187,$D$2:D187,"&lt;"&amp;D187,$F$2:F187,1)</f>
        <v>0</v>
      </c>
      <c r="P187">
        <f t="shared" si="26"/>
        <v>0</v>
      </c>
      <c r="Q187" t="str">
        <f t="shared" si="29"/>
        <v>Monitor</v>
      </c>
      <c r="R187">
        <v>0</v>
      </c>
      <c r="S187">
        <f t="shared" si="30"/>
        <v>0</v>
      </c>
      <c r="T187">
        <f t="shared" si="31"/>
        <v>0</v>
      </c>
      <c r="U187" t="str">
        <f t="shared" si="32"/>
        <v>Improved Enough</v>
      </c>
      <c r="V187" t="str">
        <f t="shared" si="33"/>
        <v>Close</v>
      </c>
      <c r="W187" t="str">
        <f t="shared" si="34"/>
        <v>Normal</v>
      </c>
      <c r="X187" t="str">
        <f t="shared" si="35"/>
        <v>Allowed</v>
      </c>
    </row>
    <row r="188" spans="1:24" x14ac:dyDescent="0.3">
      <c r="A188" t="s">
        <v>23</v>
      </c>
      <c r="B188" t="s">
        <v>11</v>
      </c>
      <c r="C188" t="s">
        <v>27</v>
      </c>
      <c r="D188" s="3">
        <v>45900</v>
      </c>
      <c r="E188" s="6">
        <v>0.84199999999999997</v>
      </c>
      <c r="F188">
        <v>0</v>
      </c>
      <c r="G188" t="s">
        <v>17</v>
      </c>
      <c r="H188" s="6">
        <v>0.7</v>
      </c>
      <c r="I188" s="8">
        <v>-2.3696682464455E-3</v>
      </c>
      <c r="J188" s="5">
        <f t="shared" si="24"/>
        <v>1.9288787744816144E-2</v>
      </c>
      <c r="K188" s="5" cm="1">
        <f t="array" ref="K188">_xlfn.STDEV.S(IF($C:$C=C188,$I:$I))</f>
        <v>0.27585788879837708</v>
      </c>
      <c r="L188" s="7">
        <f t="shared" si="27"/>
        <v>-7.8513092685530139E-2</v>
      </c>
      <c r="M188">
        <f t="shared" si="25"/>
        <v>0</v>
      </c>
      <c r="N188" s="9">
        <f t="shared" si="28"/>
        <v>-0.2028571428571429</v>
      </c>
      <c r="O188">
        <f>COUNTIFS($B$2:B188,B188,$C$2:C188,C188,$D$2:D188,"&lt;"&amp;D188,$F$2:F188,1)</f>
        <v>0</v>
      </c>
      <c r="P188">
        <f t="shared" si="26"/>
        <v>0</v>
      </c>
      <c r="Q188" t="str">
        <f t="shared" si="29"/>
        <v>Monitor</v>
      </c>
      <c r="R188">
        <v>0</v>
      </c>
      <c r="S188">
        <f t="shared" si="30"/>
        <v>0</v>
      </c>
      <c r="T188">
        <f t="shared" si="31"/>
        <v>0</v>
      </c>
      <c r="U188" t="str">
        <f t="shared" si="32"/>
        <v>Not Improved Enough</v>
      </c>
      <c r="V188" t="str">
        <f t="shared" si="33"/>
        <v>Close</v>
      </c>
      <c r="W188" t="str">
        <f t="shared" si="34"/>
        <v>Normal</v>
      </c>
      <c r="X188" t="str">
        <f t="shared" si="35"/>
        <v>Allowed</v>
      </c>
    </row>
    <row r="189" spans="1:24" x14ac:dyDescent="0.3">
      <c r="A189" t="s">
        <v>23</v>
      </c>
      <c r="B189" t="s">
        <v>11</v>
      </c>
      <c r="C189" t="s">
        <v>27</v>
      </c>
      <c r="D189" s="3">
        <v>45930</v>
      </c>
      <c r="E189" s="6">
        <v>0.84499999999999997</v>
      </c>
      <c r="F189">
        <v>0</v>
      </c>
      <c r="G189" t="s">
        <v>17</v>
      </c>
      <c r="H189" s="6">
        <v>0.7</v>
      </c>
      <c r="I189" s="8">
        <v>3.562945368171025E-3</v>
      </c>
      <c r="J189" s="5">
        <f t="shared" si="24"/>
        <v>1.9288787744816144E-2</v>
      </c>
      <c r="K189" s="5" cm="1">
        <f t="array" ref="K189">_xlfn.STDEV.S(IF($C:$C=C189,$I:$I))</f>
        <v>0.27585788879837708</v>
      </c>
      <c r="L189" s="7">
        <f t="shared" si="27"/>
        <v>-5.7007042449088864E-2</v>
      </c>
      <c r="M189">
        <f t="shared" si="25"/>
        <v>0</v>
      </c>
      <c r="N189" s="9">
        <f t="shared" si="28"/>
        <v>-0.20714285714285718</v>
      </c>
      <c r="O189">
        <f>COUNTIFS($B$2:B189,B189,$C$2:C189,C189,$D$2:D189,"&lt;"&amp;D189,$F$2:F189,1)</f>
        <v>0</v>
      </c>
      <c r="P189">
        <f t="shared" si="26"/>
        <v>0</v>
      </c>
      <c r="Q189" t="str">
        <f t="shared" si="29"/>
        <v>Monitor</v>
      </c>
      <c r="R189">
        <v>0</v>
      </c>
      <c r="S189">
        <f t="shared" si="30"/>
        <v>0</v>
      </c>
      <c r="T189">
        <f t="shared" si="31"/>
        <v>0</v>
      </c>
      <c r="U189" t="str">
        <f t="shared" si="32"/>
        <v>Not Improved Enough</v>
      </c>
      <c r="V189" t="str">
        <f t="shared" si="33"/>
        <v>Close</v>
      </c>
      <c r="W189" t="str">
        <f t="shared" si="34"/>
        <v>Normal</v>
      </c>
      <c r="X189" t="str">
        <f t="shared" si="35"/>
        <v>Allowed</v>
      </c>
    </row>
    <row r="190" spans="1:24" x14ac:dyDescent="0.3">
      <c r="A190" t="s">
        <v>23</v>
      </c>
      <c r="B190" t="s">
        <v>11</v>
      </c>
      <c r="C190" t="s">
        <v>27</v>
      </c>
      <c r="D190" s="3">
        <v>45961</v>
      </c>
      <c r="E190" s="6">
        <v>0.80500000000000005</v>
      </c>
      <c r="F190">
        <v>0</v>
      </c>
      <c r="G190" t="s">
        <v>17</v>
      </c>
      <c r="H190" s="6">
        <v>0.7</v>
      </c>
      <c r="I190" s="8">
        <v>-4.7337278106508777E-2</v>
      </c>
      <c r="J190" s="5">
        <f t="shared" si="24"/>
        <v>1.9288787744816144E-2</v>
      </c>
      <c r="K190" s="5" cm="1">
        <f t="array" ref="K190">_xlfn.STDEV.S(IF($C:$C=C190,$I:$I))</f>
        <v>0.27585788879837708</v>
      </c>
      <c r="L190" s="7">
        <f t="shared" si="27"/>
        <v>-0.24152314853689585</v>
      </c>
      <c r="M190">
        <f t="shared" si="25"/>
        <v>0</v>
      </c>
      <c r="N190" s="9">
        <f t="shared" si="28"/>
        <v>-0.15000000000000013</v>
      </c>
      <c r="O190">
        <f>COUNTIFS($B$2:B190,B190,$C$2:C190,C190,$D$2:D190,"&lt;"&amp;D190,$F$2:F190,1)</f>
        <v>0</v>
      </c>
      <c r="P190">
        <f t="shared" si="26"/>
        <v>0</v>
      </c>
      <c r="Q190" t="str">
        <f t="shared" si="29"/>
        <v>Monitor</v>
      </c>
      <c r="R190">
        <v>0</v>
      </c>
      <c r="S190">
        <f t="shared" si="30"/>
        <v>0</v>
      </c>
      <c r="T190">
        <f t="shared" si="31"/>
        <v>0</v>
      </c>
      <c r="U190" t="str">
        <f t="shared" si="32"/>
        <v>Not Improved Enough</v>
      </c>
      <c r="V190" t="str">
        <f t="shared" si="33"/>
        <v>Close</v>
      </c>
      <c r="W190" t="str">
        <f t="shared" si="34"/>
        <v>Normal</v>
      </c>
      <c r="X190" t="str">
        <f t="shared" si="35"/>
        <v>Allowed</v>
      </c>
    </row>
    <row r="191" spans="1:24" x14ac:dyDescent="0.3">
      <c r="A191" t="s">
        <v>23</v>
      </c>
      <c r="B191" t="s">
        <v>11</v>
      </c>
      <c r="C191" t="s">
        <v>27</v>
      </c>
      <c r="D191" s="3">
        <v>45991</v>
      </c>
      <c r="E191" s="6">
        <v>0.82099999999999995</v>
      </c>
      <c r="F191">
        <v>0</v>
      </c>
      <c r="G191" t="s">
        <v>17</v>
      </c>
      <c r="H191" s="6">
        <v>0.7</v>
      </c>
      <c r="I191" s="8">
        <v>1.9875776397515411E-2</v>
      </c>
      <c r="J191" s="5">
        <f t="shared" si="24"/>
        <v>1.9288787744816144E-2</v>
      </c>
      <c r="K191" s="5" cm="1">
        <f t="array" ref="K191">_xlfn.STDEV.S(IF($C:$C=C191,$I:$I))</f>
        <v>0.27585788879837708</v>
      </c>
      <c r="L191" s="7">
        <f t="shared" si="27"/>
        <v>2.1278661098153074E-3</v>
      </c>
      <c r="M191">
        <f t="shared" si="25"/>
        <v>0</v>
      </c>
      <c r="N191" s="9">
        <f t="shared" si="28"/>
        <v>-0.17285714285714288</v>
      </c>
      <c r="O191">
        <f>COUNTIFS($B$2:B191,B191,$C$2:C191,C191,$D$2:D191,"&lt;"&amp;D191,$F$2:F191,1)</f>
        <v>0</v>
      </c>
      <c r="P191">
        <f t="shared" si="26"/>
        <v>0</v>
      </c>
      <c r="Q191" t="str">
        <f t="shared" si="29"/>
        <v>Monitor</v>
      </c>
      <c r="R191">
        <v>0</v>
      </c>
      <c r="S191">
        <f t="shared" si="30"/>
        <v>0</v>
      </c>
      <c r="T191">
        <f t="shared" si="31"/>
        <v>0</v>
      </c>
      <c r="U191" t="str">
        <f t="shared" si="32"/>
        <v>Improved Enough</v>
      </c>
      <c r="V191" t="str">
        <f t="shared" si="33"/>
        <v>Close</v>
      </c>
      <c r="W191" t="str">
        <f t="shared" si="34"/>
        <v>Normal</v>
      </c>
      <c r="X191" t="str">
        <f t="shared" si="35"/>
        <v>Allowed</v>
      </c>
    </row>
    <row r="192" spans="1:24" x14ac:dyDescent="0.3">
      <c r="A192" t="s">
        <v>10</v>
      </c>
      <c r="B192" t="s">
        <v>28</v>
      </c>
      <c r="C192" t="s">
        <v>12</v>
      </c>
      <c r="D192" s="3">
        <v>45535</v>
      </c>
      <c r="E192" s="6">
        <v>0.31273953702284218</v>
      </c>
      <c r="F192">
        <v>0</v>
      </c>
      <c r="G192" t="s">
        <v>13</v>
      </c>
      <c r="H192" s="6">
        <v>0.27</v>
      </c>
      <c r="I192" s="8">
        <v>3.3173509826414718E-2</v>
      </c>
      <c r="J192" s="5">
        <f t="shared" si="24"/>
        <v>1.2504550363164104E-2</v>
      </c>
      <c r="K192" s="5" cm="1">
        <f t="array" ref="K192">_xlfn.STDEV.S(IF($C:$C=C192,$I:$I))</f>
        <v>5.3924507863027986E-2</v>
      </c>
      <c r="L192" s="7">
        <f t="shared" si="27"/>
        <v>0.3832943550593213</v>
      </c>
      <c r="M192">
        <f t="shared" si="25"/>
        <v>0</v>
      </c>
      <c r="N192" s="9">
        <f t="shared" si="28"/>
        <v>0.15829458156608209</v>
      </c>
      <c r="O192">
        <f>COUNTIFS($B$2:B192,B192,$C$2:C192,C192,$D$2:D192,"&lt;"&amp;D192,$F$2:F192,1)</f>
        <v>0</v>
      </c>
      <c r="P192">
        <f t="shared" si="26"/>
        <v>0</v>
      </c>
      <c r="Q192" t="str">
        <f t="shared" si="29"/>
        <v>Monitor</v>
      </c>
      <c r="R192">
        <v>0</v>
      </c>
      <c r="S192">
        <f t="shared" si="30"/>
        <v>0</v>
      </c>
      <c r="T192">
        <f t="shared" si="31"/>
        <v>0</v>
      </c>
      <c r="U192" t="str">
        <f t="shared" si="32"/>
        <v>Improved Enough</v>
      </c>
      <c r="V192" t="str">
        <f t="shared" si="33"/>
        <v>Far</v>
      </c>
      <c r="W192" t="str">
        <f t="shared" si="34"/>
        <v>Normal</v>
      </c>
      <c r="X192" t="str">
        <f t="shared" si="35"/>
        <v>Allowed</v>
      </c>
    </row>
    <row r="193" spans="1:24" x14ac:dyDescent="0.3">
      <c r="A193" t="s">
        <v>10</v>
      </c>
      <c r="B193" t="s">
        <v>28</v>
      </c>
      <c r="C193" t="s">
        <v>12</v>
      </c>
      <c r="D193" s="3">
        <v>45565</v>
      </c>
      <c r="E193" s="6">
        <v>0.31530984204131229</v>
      </c>
      <c r="F193">
        <v>1</v>
      </c>
      <c r="G193" t="s">
        <v>13</v>
      </c>
      <c r="H193" s="6">
        <v>0.27</v>
      </c>
      <c r="I193" s="8">
        <v>-8.2186762919022188E-3</v>
      </c>
      <c r="J193" s="5">
        <f t="shared" si="24"/>
        <v>1.2504550363164104E-2</v>
      </c>
      <c r="K193" s="5" cm="1">
        <f t="array" ref="K193">_xlfn.STDEV.S(IF($C:$C=C193,$I:$I))</f>
        <v>5.3924507863027986E-2</v>
      </c>
      <c r="L193" s="7">
        <f t="shared" si="27"/>
        <v>-0.38430070994258803</v>
      </c>
      <c r="M193">
        <f t="shared" si="25"/>
        <v>0</v>
      </c>
      <c r="N193" s="9">
        <f t="shared" si="28"/>
        <v>0.16781422978263805</v>
      </c>
      <c r="O193">
        <f>COUNTIFS($B$2:B193,B193,$C$2:C193,C193,$D$2:D193,"&lt;"&amp;D193,$F$2:F193,1)</f>
        <v>0</v>
      </c>
      <c r="P193">
        <f t="shared" si="26"/>
        <v>0</v>
      </c>
      <c r="Q193" t="str">
        <f t="shared" si="29"/>
        <v>Monitor</v>
      </c>
      <c r="R193">
        <v>0</v>
      </c>
      <c r="S193">
        <f t="shared" si="30"/>
        <v>0</v>
      </c>
      <c r="T193">
        <f t="shared" si="31"/>
        <v>0</v>
      </c>
      <c r="U193" t="str">
        <f t="shared" si="32"/>
        <v>Not Improved Enough</v>
      </c>
      <c r="V193" t="str">
        <f t="shared" si="33"/>
        <v>Far</v>
      </c>
      <c r="W193" t="str">
        <f t="shared" si="34"/>
        <v>Normal</v>
      </c>
      <c r="X193" t="str">
        <f t="shared" si="35"/>
        <v>Allowed</v>
      </c>
    </row>
    <row r="194" spans="1:24" x14ac:dyDescent="0.3">
      <c r="A194" t="s">
        <v>10</v>
      </c>
      <c r="B194" t="s">
        <v>28</v>
      </c>
      <c r="C194" t="s">
        <v>12</v>
      </c>
      <c r="D194" s="3">
        <v>45596</v>
      </c>
      <c r="E194" s="6">
        <v>0.31173538740371542</v>
      </c>
      <c r="F194">
        <v>0</v>
      </c>
      <c r="G194" t="s">
        <v>13</v>
      </c>
      <c r="H194" s="6">
        <v>0.27</v>
      </c>
      <c r="I194" s="8">
        <v>1.133632434197388E-2</v>
      </c>
      <c r="J194" s="5">
        <f t="shared" ref="J194:J257" si="36">AVERAGEIF($C:$C,C194,$I:$I)</f>
        <v>1.2504550363164104E-2</v>
      </c>
      <c r="K194" s="5" cm="1">
        <f t="array" ref="K194">_xlfn.STDEV.S(IF($C:$C=C194,$I:$I))</f>
        <v>5.3924507863027986E-2</v>
      </c>
      <c r="L194" s="7">
        <f t="shared" si="27"/>
        <v>-2.1664101676321278E-2</v>
      </c>
      <c r="M194">
        <f t="shared" ref="M194:M257" si="37">IF(L194&lt;=-$Z$4,1,IF(L194&gt;=$Z$4,-1,0))</f>
        <v>0</v>
      </c>
      <c r="N194" s="9">
        <f t="shared" si="28"/>
        <v>0.15457550890264965</v>
      </c>
      <c r="O194">
        <f>COUNTIFS($B$2:B194,B194,$C$2:C194,C194,$D$2:D194,"&lt;"&amp;D194,$F$2:F194,1)</f>
        <v>1</v>
      </c>
      <c r="P194">
        <f t="shared" ref="P194:P257" si="38">IF(AND(R194=1,I194&gt;0),1,IF(R194=1,-1,0))</f>
        <v>1</v>
      </c>
      <c r="Q194" t="str">
        <f t="shared" si="29"/>
        <v>Monitor</v>
      </c>
      <c r="R194">
        <v>1</v>
      </c>
      <c r="S194">
        <f t="shared" si="30"/>
        <v>0</v>
      </c>
      <c r="T194">
        <f t="shared" si="31"/>
        <v>0</v>
      </c>
      <c r="U194" t="str">
        <f t="shared" si="32"/>
        <v>Improved Enough</v>
      </c>
      <c r="V194" t="str">
        <f t="shared" si="33"/>
        <v>Far</v>
      </c>
      <c r="W194" t="str">
        <f t="shared" si="34"/>
        <v>Normal</v>
      </c>
      <c r="X194" t="str">
        <f t="shared" si="35"/>
        <v>Allowed</v>
      </c>
    </row>
    <row r="195" spans="1:24" x14ac:dyDescent="0.3">
      <c r="A195" t="s">
        <v>10</v>
      </c>
      <c r="B195" t="s">
        <v>28</v>
      </c>
      <c r="C195" t="s">
        <v>12</v>
      </c>
      <c r="D195" s="3">
        <v>45626</v>
      </c>
      <c r="E195" s="6">
        <v>0.28353521799999998</v>
      </c>
      <c r="F195">
        <v>0</v>
      </c>
      <c r="G195" t="s">
        <v>13</v>
      </c>
      <c r="H195" s="6">
        <v>0.27</v>
      </c>
      <c r="I195" s="8">
        <v>9.0461880630813951E-2</v>
      </c>
      <c r="J195" s="5">
        <f t="shared" si="36"/>
        <v>1.2504550363164104E-2</v>
      </c>
      <c r="K195" s="5" cm="1">
        <f t="array" ref="K195">_xlfn.STDEV.S(IF($C:$C=C195,$I:$I))</f>
        <v>5.3924507863027986E-2</v>
      </c>
      <c r="L195" s="7">
        <f t="shared" ref="L195:L258" si="39">IFERROR((I195-J195)/K195,0)</f>
        <v>1.4456753219828526</v>
      </c>
      <c r="M195">
        <f t="shared" si="37"/>
        <v>-1</v>
      </c>
      <c r="N195" s="9">
        <f t="shared" ref="N195:N258" si="40">IFERROR(IF(G195="DOWN",(E195-H195)/H195,(H195-E195)/H195),0)</f>
        <v>5.0130437037036887E-2</v>
      </c>
      <c r="O195">
        <f>COUNTIFS($B$2:B195,B195,$C$2:C195,C195,$D$2:D195,"&lt;"&amp;D195,$F$2:F195,1)</f>
        <v>1</v>
      </c>
      <c r="P195">
        <f t="shared" si="38"/>
        <v>0</v>
      </c>
      <c r="Q195" t="str">
        <f t="shared" ref="Q195:Q258" si="41">IF(I195&gt;=$Z$1,"Monitor",IF(AND(N195&gt;=$Z$2,L195&lt;=-$Z$4),IF(O195&lt;$Z$3,"Intervene","Escalate / Bigger Fix"),"Monitor"))</f>
        <v>Monitor</v>
      </c>
      <c r="R195">
        <v>0</v>
      </c>
      <c r="S195">
        <f t="shared" ref="S195:S258" si="42">IF(Q195="Intervene",1,IF(Q195="Escalate / Bigger Fix",-1,0))</f>
        <v>0</v>
      </c>
      <c r="T195">
        <f t="shared" ref="T195:T258" si="43">IF(Q195="Intervene",1,0)</f>
        <v>0</v>
      </c>
      <c r="U195" t="str">
        <f t="shared" ref="U195:U258" si="44">IF(I195&gt;=$Z$1,"Improved Enough","Not Improved Enough")</f>
        <v>Improved Enough</v>
      </c>
      <c r="V195" t="str">
        <f t="shared" ref="V195:V258" si="45">IF(N195&gt;=$Z$2,"Far","Close")</f>
        <v>Far</v>
      </c>
      <c r="W195" t="str">
        <f t="shared" ref="W195:W258" si="46">IF(L195&lt;=-$Z$4,"Abnormal","Normal")</f>
        <v>Normal</v>
      </c>
      <c r="X195" t="str">
        <f t="shared" ref="X195:X258" si="47">IF(O195&lt;$Z$3,"Allowed","Maxed Out")</f>
        <v>Allowed</v>
      </c>
    </row>
    <row r="196" spans="1:24" x14ac:dyDescent="0.3">
      <c r="A196" t="s">
        <v>10</v>
      </c>
      <c r="B196" t="s">
        <v>28</v>
      </c>
      <c r="C196" t="s">
        <v>12</v>
      </c>
      <c r="D196" s="3">
        <v>45657</v>
      </c>
      <c r="E196" s="6">
        <v>0.27688211802987728</v>
      </c>
      <c r="F196">
        <v>0</v>
      </c>
      <c r="G196" t="s">
        <v>13</v>
      </c>
      <c r="H196" s="6">
        <v>0.27</v>
      </c>
      <c r="I196" s="8">
        <v>2.346480982874833E-2</v>
      </c>
      <c r="J196" s="5">
        <f t="shared" si="36"/>
        <v>1.2504550363164104E-2</v>
      </c>
      <c r="K196" s="5" cm="1">
        <f t="array" ref="K196">_xlfn.STDEV.S(IF($C:$C=C196,$I:$I))</f>
        <v>5.3924507863027986E-2</v>
      </c>
      <c r="L196" s="7">
        <f t="shared" si="39"/>
        <v>0.20325191457331515</v>
      </c>
      <c r="M196">
        <f t="shared" si="37"/>
        <v>0</v>
      </c>
      <c r="N196" s="9">
        <f t="shared" si="40"/>
        <v>2.5489326036582442E-2</v>
      </c>
      <c r="O196">
        <f>COUNTIFS($B$2:B196,B196,$C$2:C196,C196,$D$2:D196,"&lt;"&amp;D196,$F$2:F196,1)</f>
        <v>1</v>
      </c>
      <c r="P196">
        <f t="shared" si="38"/>
        <v>0</v>
      </c>
      <c r="Q196" t="str">
        <f t="shared" si="41"/>
        <v>Monitor</v>
      </c>
      <c r="R196">
        <v>0</v>
      </c>
      <c r="S196">
        <f t="shared" si="42"/>
        <v>0</v>
      </c>
      <c r="T196">
        <f t="shared" si="43"/>
        <v>0</v>
      </c>
      <c r="U196" t="str">
        <f t="shared" si="44"/>
        <v>Improved Enough</v>
      </c>
      <c r="V196" t="str">
        <f t="shared" si="45"/>
        <v>Far</v>
      </c>
      <c r="W196" t="str">
        <f t="shared" si="46"/>
        <v>Normal</v>
      </c>
      <c r="X196" t="str">
        <f t="shared" si="47"/>
        <v>Allowed</v>
      </c>
    </row>
    <row r="197" spans="1:24" x14ac:dyDescent="0.3">
      <c r="A197" t="s">
        <v>10</v>
      </c>
      <c r="B197" t="s">
        <v>28</v>
      </c>
      <c r="C197" t="s">
        <v>12</v>
      </c>
      <c r="D197" s="3">
        <v>45688</v>
      </c>
      <c r="E197" s="6">
        <v>0.27228525121555908</v>
      </c>
      <c r="F197">
        <v>0</v>
      </c>
      <c r="G197" t="s">
        <v>13</v>
      </c>
      <c r="H197" s="6">
        <v>0.27</v>
      </c>
      <c r="I197" s="8">
        <v>1.6602252420729359E-2</v>
      </c>
      <c r="J197" s="5">
        <f t="shared" si="36"/>
        <v>1.2504550363164104E-2</v>
      </c>
      <c r="K197" s="5" cm="1">
        <f t="array" ref="K197">_xlfn.STDEV.S(IF($C:$C=C197,$I:$I))</f>
        <v>5.3924507863027986E-2</v>
      </c>
      <c r="L197" s="7">
        <f t="shared" si="39"/>
        <v>7.5989605097068369E-2</v>
      </c>
      <c r="M197">
        <f t="shared" si="37"/>
        <v>0</v>
      </c>
      <c r="N197" s="9">
        <f t="shared" si="40"/>
        <v>8.4638933909594767E-3</v>
      </c>
      <c r="O197">
        <f>COUNTIFS($B$2:B197,B197,$C$2:C197,C197,$D$2:D197,"&lt;"&amp;D197,$F$2:F197,1)</f>
        <v>1</v>
      </c>
      <c r="P197">
        <f t="shared" si="38"/>
        <v>0</v>
      </c>
      <c r="Q197" t="str">
        <f t="shared" si="41"/>
        <v>Monitor</v>
      </c>
      <c r="R197">
        <v>0</v>
      </c>
      <c r="S197">
        <f t="shared" si="42"/>
        <v>0</v>
      </c>
      <c r="T197">
        <f t="shared" si="43"/>
        <v>0</v>
      </c>
      <c r="U197" t="str">
        <f t="shared" si="44"/>
        <v>Improved Enough</v>
      </c>
      <c r="V197" t="str">
        <f t="shared" si="45"/>
        <v>Close</v>
      </c>
      <c r="W197" t="str">
        <f t="shared" si="46"/>
        <v>Normal</v>
      </c>
      <c r="X197" t="str">
        <f t="shared" si="47"/>
        <v>Allowed</v>
      </c>
    </row>
    <row r="198" spans="1:24" x14ac:dyDescent="0.3">
      <c r="A198" t="s">
        <v>10</v>
      </c>
      <c r="B198" t="s">
        <v>28</v>
      </c>
      <c r="C198" t="s">
        <v>12</v>
      </c>
      <c r="D198" s="3">
        <v>45716</v>
      </c>
      <c r="E198" s="6">
        <v>0.27296742001761082</v>
      </c>
      <c r="F198">
        <v>1</v>
      </c>
      <c r="G198" t="s">
        <v>13</v>
      </c>
      <c r="H198" s="6">
        <v>0.27</v>
      </c>
      <c r="I198" s="8">
        <v>-2.5053461361066931E-3</v>
      </c>
      <c r="J198" s="5">
        <f t="shared" si="36"/>
        <v>1.2504550363164104E-2</v>
      </c>
      <c r="K198" s="5" cm="1">
        <f t="array" ref="K198">_xlfn.STDEV.S(IF($C:$C=C198,$I:$I))</f>
        <v>5.3924507863027986E-2</v>
      </c>
      <c r="L198" s="7">
        <f t="shared" si="39"/>
        <v>-0.27835018054122962</v>
      </c>
      <c r="M198">
        <f t="shared" si="37"/>
        <v>0</v>
      </c>
      <c r="N198" s="9">
        <f t="shared" si="40"/>
        <v>1.099044450966963E-2</v>
      </c>
      <c r="O198">
        <f>COUNTIFS($B$2:B198,B198,$C$2:C198,C198,$D$2:D198,"&lt;"&amp;D198,$F$2:F198,1)</f>
        <v>1</v>
      </c>
      <c r="P198">
        <f t="shared" si="38"/>
        <v>0</v>
      </c>
      <c r="Q198" t="str">
        <f t="shared" si="41"/>
        <v>Monitor</v>
      </c>
      <c r="R198">
        <v>0</v>
      </c>
      <c r="S198">
        <f t="shared" si="42"/>
        <v>0</v>
      </c>
      <c r="T198">
        <f t="shared" si="43"/>
        <v>0</v>
      </c>
      <c r="U198" t="str">
        <f t="shared" si="44"/>
        <v>Not Improved Enough</v>
      </c>
      <c r="V198" t="str">
        <f t="shared" si="45"/>
        <v>Close</v>
      </c>
      <c r="W198" t="str">
        <f t="shared" si="46"/>
        <v>Normal</v>
      </c>
      <c r="X198" t="str">
        <f t="shared" si="47"/>
        <v>Allowed</v>
      </c>
    </row>
    <row r="199" spans="1:24" x14ac:dyDescent="0.3">
      <c r="A199" t="s">
        <v>10</v>
      </c>
      <c r="B199" t="s">
        <v>28</v>
      </c>
      <c r="C199" t="s">
        <v>12</v>
      </c>
      <c r="D199" s="3">
        <v>45747</v>
      </c>
      <c r="E199" s="6">
        <v>0.26933101650738489</v>
      </c>
      <c r="F199">
        <v>0</v>
      </c>
      <c r="G199" t="s">
        <v>13</v>
      </c>
      <c r="H199" s="6">
        <v>0.27</v>
      </c>
      <c r="I199" s="8">
        <v>1.332174920359111E-2</v>
      </c>
      <c r="J199" s="5">
        <f t="shared" si="36"/>
        <v>1.2504550363164104E-2</v>
      </c>
      <c r="K199" s="5" cm="1">
        <f t="array" ref="K199">_xlfn.STDEV.S(IF($C:$C=C199,$I:$I))</f>
        <v>5.3924507863027986E-2</v>
      </c>
      <c r="L199" s="7">
        <f t="shared" si="39"/>
        <v>1.5154497886244001E-2</v>
      </c>
      <c r="M199">
        <f t="shared" si="37"/>
        <v>0</v>
      </c>
      <c r="N199" s="9">
        <f t="shared" si="40"/>
        <v>-2.4777166393152861E-3</v>
      </c>
      <c r="O199">
        <f>COUNTIFS($B$2:B199,B199,$C$2:C199,C199,$D$2:D199,"&lt;"&amp;D199,$F$2:F199,1)</f>
        <v>2</v>
      </c>
      <c r="P199">
        <f t="shared" si="38"/>
        <v>1</v>
      </c>
      <c r="Q199" t="str">
        <f t="shared" si="41"/>
        <v>Monitor</v>
      </c>
      <c r="R199">
        <v>1</v>
      </c>
      <c r="S199">
        <f t="shared" si="42"/>
        <v>0</v>
      </c>
      <c r="T199">
        <f t="shared" si="43"/>
        <v>0</v>
      </c>
      <c r="U199" t="str">
        <f t="shared" si="44"/>
        <v>Improved Enough</v>
      </c>
      <c r="V199" t="str">
        <f t="shared" si="45"/>
        <v>Close</v>
      </c>
      <c r="W199" t="str">
        <f t="shared" si="46"/>
        <v>Normal</v>
      </c>
      <c r="X199" t="str">
        <f t="shared" si="47"/>
        <v>Allowed</v>
      </c>
    </row>
    <row r="200" spans="1:24" x14ac:dyDescent="0.3">
      <c r="A200" t="s">
        <v>10</v>
      </c>
      <c r="B200" t="s">
        <v>28</v>
      </c>
      <c r="C200" t="s">
        <v>12</v>
      </c>
      <c r="D200" s="3">
        <v>45777</v>
      </c>
      <c r="E200" s="6">
        <v>0.27830596369922211</v>
      </c>
      <c r="F200">
        <v>1</v>
      </c>
      <c r="G200" t="s">
        <v>13</v>
      </c>
      <c r="H200" s="6">
        <v>0.27</v>
      </c>
      <c r="I200" s="8">
        <v>-3.3323110380014981E-2</v>
      </c>
      <c r="J200" s="5">
        <f t="shared" si="36"/>
        <v>1.2504550363164104E-2</v>
      </c>
      <c r="K200" s="5" cm="1">
        <f t="array" ref="K200">_xlfn.STDEV.S(IF($C:$C=C200,$I:$I))</f>
        <v>5.3924507863027986E-2</v>
      </c>
      <c r="L200" s="7">
        <f t="shared" si="39"/>
        <v>-0.84984847445589196</v>
      </c>
      <c r="M200">
        <f t="shared" si="37"/>
        <v>1</v>
      </c>
      <c r="N200" s="9">
        <f t="shared" si="40"/>
        <v>3.0762828515637393E-2</v>
      </c>
      <c r="O200">
        <f>COUNTIFS($B$2:B200,B200,$C$2:C200,C200,$D$2:D200,"&lt;"&amp;D200,$F$2:F200,1)</f>
        <v>2</v>
      </c>
      <c r="P200">
        <f t="shared" si="38"/>
        <v>0</v>
      </c>
      <c r="Q200" t="str">
        <f t="shared" si="41"/>
        <v>Intervene</v>
      </c>
      <c r="R200">
        <v>0</v>
      </c>
      <c r="S200">
        <f t="shared" si="42"/>
        <v>1</v>
      </c>
      <c r="T200">
        <f t="shared" si="43"/>
        <v>1</v>
      </c>
      <c r="U200" t="str">
        <f t="shared" si="44"/>
        <v>Not Improved Enough</v>
      </c>
      <c r="V200" t="str">
        <f t="shared" si="45"/>
        <v>Far</v>
      </c>
      <c r="W200" t="str">
        <f t="shared" si="46"/>
        <v>Abnormal</v>
      </c>
      <c r="X200" t="str">
        <f t="shared" si="47"/>
        <v>Allowed</v>
      </c>
    </row>
    <row r="201" spans="1:24" x14ac:dyDescent="0.3">
      <c r="A201" t="s">
        <v>10</v>
      </c>
      <c r="B201" t="s">
        <v>28</v>
      </c>
      <c r="C201" t="s">
        <v>12</v>
      </c>
      <c r="D201" s="3">
        <v>45808</v>
      </c>
      <c r="E201" s="6">
        <v>0.27315676449534709</v>
      </c>
      <c r="F201">
        <v>0</v>
      </c>
      <c r="G201" t="s">
        <v>13</v>
      </c>
      <c r="H201" s="6">
        <v>0.27</v>
      </c>
      <c r="I201" s="8">
        <v>1.8501936269824219E-2</v>
      </c>
      <c r="J201" s="5">
        <f t="shared" si="36"/>
        <v>1.2504550363164104E-2</v>
      </c>
      <c r="K201" s="5" cm="1">
        <f t="array" ref="K201">_xlfn.STDEV.S(IF($C:$C=C201,$I:$I))</f>
        <v>5.3924507863027986E-2</v>
      </c>
      <c r="L201" s="7">
        <f t="shared" si="39"/>
        <v>0.1112181852803162</v>
      </c>
      <c r="M201">
        <f t="shared" si="37"/>
        <v>0</v>
      </c>
      <c r="N201" s="9">
        <f t="shared" si="40"/>
        <v>1.1691720353137315E-2</v>
      </c>
      <c r="O201">
        <f>COUNTIFS($B$2:B201,B201,$C$2:C201,C201,$D$2:D201,"&lt;"&amp;D201,$F$2:F201,1)</f>
        <v>3</v>
      </c>
      <c r="P201">
        <f t="shared" si="38"/>
        <v>1</v>
      </c>
      <c r="Q201" t="str">
        <f t="shared" si="41"/>
        <v>Monitor</v>
      </c>
      <c r="R201">
        <v>1</v>
      </c>
      <c r="S201">
        <f t="shared" si="42"/>
        <v>0</v>
      </c>
      <c r="T201">
        <f t="shared" si="43"/>
        <v>0</v>
      </c>
      <c r="U201" t="str">
        <f t="shared" si="44"/>
        <v>Improved Enough</v>
      </c>
      <c r="V201" t="str">
        <f t="shared" si="45"/>
        <v>Close</v>
      </c>
      <c r="W201" t="str">
        <f t="shared" si="46"/>
        <v>Normal</v>
      </c>
      <c r="X201" t="str">
        <f t="shared" si="47"/>
        <v>Allowed</v>
      </c>
    </row>
    <row r="202" spans="1:24" x14ac:dyDescent="0.3">
      <c r="A202" t="s">
        <v>10</v>
      </c>
      <c r="B202" t="s">
        <v>28</v>
      </c>
      <c r="C202" t="s">
        <v>12</v>
      </c>
      <c r="D202" s="3">
        <v>45838</v>
      </c>
      <c r="E202" s="6">
        <v>0.25626423690205008</v>
      </c>
      <c r="F202">
        <v>0</v>
      </c>
      <c r="G202" t="s">
        <v>13</v>
      </c>
      <c r="H202" s="6">
        <v>0.27</v>
      </c>
      <c r="I202" s="8">
        <v>6.1841879056173832E-2</v>
      </c>
      <c r="J202" s="5">
        <f t="shared" si="36"/>
        <v>1.2504550363164104E-2</v>
      </c>
      <c r="K202" s="5" cm="1">
        <f t="array" ref="K202">_xlfn.STDEV.S(IF($C:$C=C202,$I:$I))</f>
        <v>5.3924507863027986E-2</v>
      </c>
      <c r="L202" s="7">
        <f t="shared" si="39"/>
        <v>0.91493331414966239</v>
      </c>
      <c r="M202">
        <f t="shared" si="37"/>
        <v>-1</v>
      </c>
      <c r="N202" s="9">
        <f t="shared" si="40"/>
        <v>-5.087319665907384E-2</v>
      </c>
      <c r="O202">
        <f>COUNTIFS($B$2:B202,B202,$C$2:C202,C202,$D$2:D202,"&lt;"&amp;D202,$F$2:F202,1)</f>
        <v>3</v>
      </c>
      <c r="P202">
        <f t="shared" si="38"/>
        <v>0</v>
      </c>
      <c r="Q202" t="str">
        <f t="shared" si="41"/>
        <v>Monitor</v>
      </c>
      <c r="R202">
        <v>0</v>
      </c>
      <c r="S202">
        <f t="shared" si="42"/>
        <v>0</v>
      </c>
      <c r="T202">
        <f t="shared" si="43"/>
        <v>0</v>
      </c>
      <c r="U202" t="str">
        <f t="shared" si="44"/>
        <v>Improved Enough</v>
      </c>
      <c r="V202" t="str">
        <f t="shared" si="45"/>
        <v>Close</v>
      </c>
      <c r="W202" t="str">
        <f t="shared" si="46"/>
        <v>Normal</v>
      </c>
      <c r="X202" t="str">
        <f t="shared" si="47"/>
        <v>Allowed</v>
      </c>
    </row>
    <row r="203" spans="1:24" x14ac:dyDescent="0.3">
      <c r="A203" t="s">
        <v>10</v>
      </c>
      <c r="B203" t="s">
        <v>28</v>
      </c>
      <c r="C203" t="s">
        <v>12</v>
      </c>
      <c r="D203" s="3">
        <v>45869</v>
      </c>
      <c r="E203" s="6">
        <v>0.2545608824777259</v>
      </c>
      <c r="F203">
        <v>0</v>
      </c>
      <c r="G203" t="s">
        <v>13</v>
      </c>
      <c r="H203" s="6">
        <v>0.27</v>
      </c>
      <c r="I203" s="8">
        <v>6.6468674869183458E-3</v>
      </c>
      <c r="J203" s="5">
        <f t="shared" si="36"/>
        <v>1.2504550363164104E-2</v>
      </c>
      <c r="K203" s="5" cm="1">
        <f t="array" ref="K203">_xlfn.STDEV.S(IF($C:$C=C203,$I:$I))</f>
        <v>5.3924507863027986E-2</v>
      </c>
      <c r="L203" s="7">
        <f t="shared" si="39"/>
        <v>-0.10862747029837864</v>
      </c>
      <c r="M203">
        <f t="shared" si="37"/>
        <v>0</v>
      </c>
      <c r="N203" s="9">
        <f t="shared" si="40"/>
        <v>-5.7181916749163383E-2</v>
      </c>
      <c r="O203">
        <f>COUNTIFS($B$2:B203,B203,$C$2:C203,C203,$D$2:D203,"&lt;"&amp;D203,$F$2:F203,1)</f>
        <v>3</v>
      </c>
      <c r="P203">
        <f t="shared" si="38"/>
        <v>0</v>
      </c>
      <c r="Q203" t="str">
        <f t="shared" si="41"/>
        <v>Monitor</v>
      </c>
      <c r="R203">
        <v>0</v>
      </c>
      <c r="S203">
        <f t="shared" si="42"/>
        <v>0</v>
      </c>
      <c r="T203">
        <f t="shared" si="43"/>
        <v>0</v>
      </c>
      <c r="U203" t="str">
        <f t="shared" si="44"/>
        <v>Not Improved Enough</v>
      </c>
      <c r="V203" t="str">
        <f t="shared" si="45"/>
        <v>Close</v>
      </c>
      <c r="W203" t="str">
        <f t="shared" si="46"/>
        <v>Normal</v>
      </c>
      <c r="X203" t="str">
        <f t="shared" si="47"/>
        <v>Allowed</v>
      </c>
    </row>
    <row r="204" spans="1:24" x14ac:dyDescent="0.3">
      <c r="A204" t="s">
        <v>10</v>
      </c>
      <c r="B204" t="s">
        <v>28</v>
      </c>
      <c r="C204" t="s">
        <v>12</v>
      </c>
      <c r="D204" s="3">
        <v>45900</v>
      </c>
      <c r="E204" s="6">
        <v>0.25162935675828851</v>
      </c>
      <c r="F204">
        <v>0</v>
      </c>
      <c r="G204" t="s">
        <v>13</v>
      </c>
      <c r="H204" s="6">
        <v>0.27</v>
      </c>
      <c r="I204" s="8">
        <v>1.1516010201189881E-2</v>
      </c>
      <c r="J204" s="5">
        <f t="shared" si="36"/>
        <v>1.2504550363164104E-2</v>
      </c>
      <c r="K204" s="5" cm="1">
        <f t="array" ref="K204">_xlfn.STDEV.S(IF($C:$C=C204,$I:$I))</f>
        <v>5.3924507863027986E-2</v>
      </c>
      <c r="L204" s="7">
        <f t="shared" si="39"/>
        <v>-1.8331927376790985E-2</v>
      </c>
      <c r="M204">
        <f t="shared" si="37"/>
        <v>0</v>
      </c>
      <c r="N204" s="9">
        <f t="shared" si="40"/>
        <v>-6.8039419413746305E-2</v>
      </c>
      <c r="O204">
        <f>COUNTIFS($B$2:B204,B204,$C$2:C204,C204,$D$2:D204,"&lt;"&amp;D204,$F$2:F204,1)</f>
        <v>3</v>
      </c>
      <c r="P204">
        <f t="shared" si="38"/>
        <v>0</v>
      </c>
      <c r="Q204" t="str">
        <f t="shared" si="41"/>
        <v>Monitor</v>
      </c>
      <c r="R204">
        <v>0</v>
      </c>
      <c r="S204">
        <f t="shared" si="42"/>
        <v>0</v>
      </c>
      <c r="T204">
        <f t="shared" si="43"/>
        <v>0</v>
      </c>
      <c r="U204" t="str">
        <f t="shared" si="44"/>
        <v>Improved Enough</v>
      </c>
      <c r="V204" t="str">
        <f t="shared" si="45"/>
        <v>Close</v>
      </c>
      <c r="W204" t="str">
        <f t="shared" si="46"/>
        <v>Normal</v>
      </c>
      <c r="X204" t="str">
        <f t="shared" si="47"/>
        <v>Allowed</v>
      </c>
    </row>
    <row r="205" spans="1:24" x14ac:dyDescent="0.3">
      <c r="A205" t="s">
        <v>10</v>
      </c>
      <c r="B205" t="s">
        <v>28</v>
      </c>
      <c r="C205" t="s">
        <v>12</v>
      </c>
      <c r="D205" s="3">
        <v>45930</v>
      </c>
      <c r="E205" s="6">
        <v>0.2522010792388526</v>
      </c>
      <c r="F205">
        <v>0</v>
      </c>
      <c r="G205" t="s">
        <v>13</v>
      </c>
      <c r="H205" s="6">
        <v>0.27</v>
      </c>
      <c r="I205" s="8">
        <v>-2.2720817949444332E-3</v>
      </c>
      <c r="J205" s="5">
        <f t="shared" si="36"/>
        <v>1.2504550363164104E-2</v>
      </c>
      <c r="K205" s="5" cm="1">
        <f t="array" ref="K205">_xlfn.STDEV.S(IF($C:$C=C205,$I:$I))</f>
        <v>5.3924507863027986E-2</v>
      </c>
      <c r="L205" s="7">
        <f t="shared" si="39"/>
        <v>-0.27402442309983088</v>
      </c>
      <c r="M205">
        <f t="shared" si="37"/>
        <v>0</v>
      </c>
      <c r="N205" s="9">
        <f t="shared" si="40"/>
        <v>-6.5921928744990435E-2</v>
      </c>
      <c r="O205">
        <f>COUNTIFS($B$2:B205,B205,$C$2:C205,C205,$D$2:D205,"&lt;"&amp;D205,$F$2:F205,1)</f>
        <v>3</v>
      </c>
      <c r="P205">
        <f t="shared" si="38"/>
        <v>0</v>
      </c>
      <c r="Q205" t="str">
        <f t="shared" si="41"/>
        <v>Monitor</v>
      </c>
      <c r="R205">
        <v>0</v>
      </c>
      <c r="S205">
        <f t="shared" si="42"/>
        <v>0</v>
      </c>
      <c r="T205">
        <f t="shared" si="43"/>
        <v>0</v>
      </c>
      <c r="U205" t="str">
        <f t="shared" si="44"/>
        <v>Not Improved Enough</v>
      </c>
      <c r="V205" t="str">
        <f t="shared" si="45"/>
        <v>Close</v>
      </c>
      <c r="W205" t="str">
        <f t="shared" si="46"/>
        <v>Normal</v>
      </c>
      <c r="X205" t="str">
        <f t="shared" si="47"/>
        <v>Allowed</v>
      </c>
    </row>
    <row r="206" spans="1:24" x14ac:dyDescent="0.3">
      <c r="A206" t="s">
        <v>10</v>
      </c>
      <c r="B206" t="s">
        <v>28</v>
      </c>
      <c r="C206" t="s">
        <v>12</v>
      </c>
      <c r="D206" s="3">
        <v>45961</v>
      </c>
      <c r="E206" s="6">
        <v>0.24580369843527741</v>
      </c>
      <c r="F206">
        <v>0</v>
      </c>
      <c r="G206" t="s">
        <v>13</v>
      </c>
      <c r="H206" s="6">
        <v>0.27</v>
      </c>
      <c r="I206" s="8">
        <v>2.5366191226788549E-2</v>
      </c>
      <c r="J206" s="5">
        <f t="shared" si="36"/>
        <v>1.2504550363164104E-2</v>
      </c>
      <c r="K206" s="5" cm="1">
        <f t="array" ref="K206">_xlfn.STDEV.S(IF($C:$C=C206,$I:$I))</f>
        <v>5.3924507863027986E-2</v>
      </c>
      <c r="L206" s="7">
        <f t="shared" si="39"/>
        <v>0.23851197485740455</v>
      </c>
      <c r="M206">
        <f t="shared" si="37"/>
        <v>0</v>
      </c>
      <c r="N206" s="9">
        <f t="shared" si="40"/>
        <v>-8.9615931721194836E-2</v>
      </c>
      <c r="O206">
        <f>COUNTIFS($B$2:B206,B206,$C$2:C206,C206,$D$2:D206,"&lt;"&amp;D206,$F$2:F206,1)</f>
        <v>3</v>
      </c>
      <c r="P206">
        <f t="shared" si="38"/>
        <v>0</v>
      </c>
      <c r="Q206" t="str">
        <f t="shared" si="41"/>
        <v>Monitor</v>
      </c>
      <c r="R206">
        <v>0</v>
      </c>
      <c r="S206">
        <f t="shared" si="42"/>
        <v>0</v>
      </c>
      <c r="T206">
        <f t="shared" si="43"/>
        <v>0</v>
      </c>
      <c r="U206" t="str">
        <f t="shared" si="44"/>
        <v>Improved Enough</v>
      </c>
      <c r="V206" t="str">
        <f t="shared" si="45"/>
        <v>Close</v>
      </c>
      <c r="W206" t="str">
        <f t="shared" si="46"/>
        <v>Normal</v>
      </c>
      <c r="X206" t="str">
        <f t="shared" si="47"/>
        <v>Allowed</v>
      </c>
    </row>
    <row r="207" spans="1:24" x14ac:dyDescent="0.3">
      <c r="A207" t="s">
        <v>10</v>
      </c>
      <c r="B207" t="s">
        <v>28</v>
      </c>
      <c r="C207" t="s">
        <v>12</v>
      </c>
      <c r="D207" s="3">
        <v>45991</v>
      </c>
      <c r="E207" s="6">
        <v>0.2460215053763441</v>
      </c>
      <c r="F207">
        <v>0</v>
      </c>
      <c r="G207" t="s">
        <v>13</v>
      </c>
      <c r="H207" s="6">
        <v>0.27</v>
      </c>
      <c r="I207" s="8">
        <v>-8.8610115491827973E-4</v>
      </c>
      <c r="J207" s="5">
        <f t="shared" si="36"/>
        <v>1.2504550363164104E-2</v>
      </c>
      <c r="K207" s="5" cm="1">
        <f t="array" ref="K207">_xlfn.STDEV.S(IF($C:$C=C207,$I:$I))</f>
        <v>5.3924507863027986E-2</v>
      </c>
      <c r="L207" s="7">
        <f t="shared" si="39"/>
        <v>-0.2483221831545607</v>
      </c>
      <c r="M207">
        <f t="shared" si="37"/>
        <v>0</v>
      </c>
      <c r="N207" s="9">
        <f t="shared" si="40"/>
        <v>-8.8809239346873778E-2</v>
      </c>
      <c r="O207">
        <f>COUNTIFS($B$2:B207,B207,$C$2:C207,C207,$D$2:D207,"&lt;"&amp;D207,$F$2:F207,1)</f>
        <v>3</v>
      </c>
      <c r="P207">
        <f t="shared" si="38"/>
        <v>0</v>
      </c>
      <c r="Q207" t="str">
        <f t="shared" si="41"/>
        <v>Monitor</v>
      </c>
      <c r="R207">
        <v>0</v>
      </c>
      <c r="S207">
        <f t="shared" si="42"/>
        <v>0</v>
      </c>
      <c r="T207">
        <f t="shared" si="43"/>
        <v>0</v>
      </c>
      <c r="U207" t="str">
        <f t="shared" si="44"/>
        <v>Not Improved Enough</v>
      </c>
      <c r="V207" t="str">
        <f t="shared" si="45"/>
        <v>Close</v>
      </c>
      <c r="W207" t="str">
        <f t="shared" si="46"/>
        <v>Normal</v>
      </c>
      <c r="X207" t="str">
        <f t="shared" si="47"/>
        <v>Allowed</v>
      </c>
    </row>
    <row r="208" spans="1:24" x14ac:dyDescent="0.3">
      <c r="A208" t="s">
        <v>10</v>
      </c>
      <c r="B208" t="s">
        <v>28</v>
      </c>
      <c r="C208" t="s">
        <v>14</v>
      </c>
      <c r="D208" s="3">
        <v>45535</v>
      </c>
      <c r="E208" s="6">
        <v>9.5206611570247929E-2</v>
      </c>
      <c r="F208">
        <v>1</v>
      </c>
      <c r="G208" t="s">
        <v>13</v>
      </c>
      <c r="H208" s="6">
        <v>5.3999999999999999E-2</v>
      </c>
      <c r="I208" s="8">
        <v>-1.135848945619237E-2</v>
      </c>
      <c r="J208" s="5">
        <f t="shared" si="36"/>
        <v>1.0109678696460058E-2</v>
      </c>
      <c r="K208" s="5" cm="1">
        <f t="array" ref="K208">_xlfn.STDEV.S(IF($C:$C=C208,$I:$I))</f>
        <v>0.17556416633612926</v>
      </c>
      <c r="L208" s="7">
        <f t="shared" si="39"/>
        <v>-0.122281036048952</v>
      </c>
      <c r="M208">
        <f t="shared" si="37"/>
        <v>0</v>
      </c>
      <c r="N208" s="9">
        <f t="shared" si="40"/>
        <v>0.76308539944903575</v>
      </c>
      <c r="O208">
        <f>COUNTIFS($B$2:B208,B208,$C$2:C208,C208,$D$2:D208,"&lt;"&amp;D208,$F$2:F208,1)</f>
        <v>0</v>
      </c>
      <c r="P208">
        <f t="shared" si="38"/>
        <v>0</v>
      </c>
      <c r="Q208" t="str">
        <f t="shared" si="41"/>
        <v>Monitor</v>
      </c>
      <c r="R208">
        <v>0</v>
      </c>
      <c r="S208">
        <f t="shared" si="42"/>
        <v>0</v>
      </c>
      <c r="T208">
        <f t="shared" si="43"/>
        <v>0</v>
      </c>
      <c r="U208" t="str">
        <f t="shared" si="44"/>
        <v>Not Improved Enough</v>
      </c>
      <c r="V208" t="str">
        <f t="shared" si="45"/>
        <v>Far</v>
      </c>
      <c r="W208" t="str">
        <f t="shared" si="46"/>
        <v>Normal</v>
      </c>
      <c r="X208" t="str">
        <f t="shared" si="47"/>
        <v>Allowed</v>
      </c>
    </row>
    <row r="209" spans="1:24" x14ac:dyDescent="0.3">
      <c r="A209" t="s">
        <v>10</v>
      </c>
      <c r="B209" t="s">
        <v>28</v>
      </c>
      <c r="C209" t="s">
        <v>14</v>
      </c>
      <c r="D209" s="3">
        <v>45565</v>
      </c>
      <c r="E209" s="6">
        <v>9.3853271645736952E-2</v>
      </c>
      <c r="F209">
        <v>0</v>
      </c>
      <c r="G209" t="s">
        <v>13</v>
      </c>
      <c r="H209" s="6">
        <v>5.3999999999999999E-2</v>
      </c>
      <c r="I209" s="8">
        <v>1.4214768304325359E-2</v>
      </c>
      <c r="J209" s="5">
        <f t="shared" si="36"/>
        <v>1.0109678696460058E-2</v>
      </c>
      <c r="K209" s="5" cm="1">
        <f t="array" ref="K209">_xlfn.STDEV.S(IF($C:$C=C209,$I:$I))</f>
        <v>0.17556416633612926</v>
      </c>
      <c r="L209" s="7">
        <f t="shared" si="39"/>
        <v>2.3382274945593591E-2</v>
      </c>
      <c r="M209">
        <f t="shared" si="37"/>
        <v>0</v>
      </c>
      <c r="N209" s="9">
        <f t="shared" si="40"/>
        <v>0.73802354899512879</v>
      </c>
      <c r="O209">
        <f>COUNTIFS($B$2:B209,B209,$C$2:C209,C209,$D$2:D209,"&lt;"&amp;D209,$F$2:F209,1)</f>
        <v>1</v>
      </c>
      <c r="P209">
        <f t="shared" si="38"/>
        <v>1</v>
      </c>
      <c r="Q209" t="str">
        <f t="shared" si="41"/>
        <v>Monitor</v>
      </c>
      <c r="R209">
        <v>1</v>
      </c>
      <c r="S209">
        <f t="shared" si="42"/>
        <v>0</v>
      </c>
      <c r="T209">
        <f t="shared" si="43"/>
        <v>0</v>
      </c>
      <c r="U209" t="str">
        <f t="shared" si="44"/>
        <v>Improved Enough</v>
      </c>
      <c r="V209" t="str">
        <f t="shared" si="45"/>
        <v>Far</v>
      </c>
      <c r="W209" t="str">
        <f t="shared" si="46"/>
        <v>Normal</v>
      </c>
      <c r="X209" t="str">
        <f t="shared" si="47"/>
        <v>Allowed</v>
      </c>
    </row>
    <row r="210" spans="1:24" x14ac:dyDescent="0.3">
      <c r="A210" t="s">
        <v>10</v>
      </c>
      <c r="B210" t="s">
        <v>28</v>
      </c>
      <c r="C210" t="s">
        <v>14</v>
      </c>
      <c r="D210" s="3">
        <v>45596</v>
      </c>
      <c r="E210" s="6">
        <v>9.49535192563081E-2</v>
      </c>
      <c r="F210">
        <v>1</v>
      </c>
      <c r="G210" t="s">
        <v>13</v>
      </c>
      <c r="H210" s="6">
        <v>5.3999999999999999E-2</v>
      </c>
      <c r="I210" s="8">
        <v>-1.172306080840948E-2</v>
      </c>
      <c r="J210" s="5">
        <f t="shared" si="36"/>
        <v>1.0109678696460058E-2</v>
      </c>
      <c r="K210" s="5" cm="1">
        <f t="array" ref="K210">_xlfn.STDEV.S(IF($C:$C=C210,$I:$I))</f>
        <v>0.17556416633612926</v>
      </c>
      <c r="L210" s="7">
        <f t="shared" si="39"/>
        <v>-0.12435760645523364</v>
      </c>
      <c r="M210">
        <f t="shared" si="37"/>
        <v>0</v>
      </c>
      <c r="N210" s="9">
        <f t="shared" si="40"/>
        <v>0.75839850474644632</v>
      </c>
      <c r="O210">
        <f>COUNTIFS($B$2:B210,B210,$C$2:C210,C210,$D$2:D210,"&lt;"&amp;D210,$F$2:F210,1)</f>
        <v>1</v>
      </c>
      <c r="P210">
        <f t="shared" si="38"/>
        <v>0</v>
      </c>
      <c r="Q210" t="str">
        <f t="shared" si="41"/>
        <v>Monitor</v>
      </c>
      <c r="R210">
        <v>0</v>
      </c>
      <c r="S210">
        <f t="shared" si="42"/>
        <v>0</v>
      </c>
      <c r="T210">
        <f t="shared" si="43"/>
        <v>0</v>
      </c>
      <c r="U210" t="str">
        <f t="shared" si="44"/>
        <v>Not Improved Enough</v>
      </c>
      <c r="V210" t="str">
        <f t="shared" si="45"/>
        <v>Far</v>
      </c>
      <c r="W210" t="str">
        <f t="shared" si="46"/>
        <v>Normal</v>
      </c>
      <c r="X210" t="str">
        <f t="shared" si="47"/>
        <v>Allowed</v>
      </c>
    </row>
    <row r="211" spans="1:24" x14ac:dyDescent="0.3">
      <c r="A211" t="s">
        <v>10</v>
      </c>
      <c r="B211" t="s">
        <v>28</v>
      </c>
      <c r="C211" t="s">
        <v>14</v>
      </c>
      <c r="D211" s="3">
        <v>45626</v>
      </c>
      <c r="E211" s="6">
        <v>8.3221925000000002E-2</v>
      </c>
      <c r="F211">
        <v>0</v>
      </c>
      <c r="G211" t="s">
        <v>13</v>
      </c>
      <c r="H211" s="6">
        <v>5.3999999999999999E-2</v>
      </c>
      <c r="I211" s="8">
        <v>0.1235509157342657</v>
      </c>
      <c r="J211" s="5">
        <f t="shared" si="36"/>
        <v>1.0109678696460058E-2</v>
      </c>
      <c r="K211" s="5" cm="1">
        <f t="array" ref="K211">_xlfn.STDEV.S(IF($C:$C=C211,$I:$I))</f>
        <v>0.17556416633612926</v>
      </c>
      <c r="L211" s="7">
        <f t="shared" si="39"/>
        <v>0.64615256863188619</v>
      </c>
      <c r="M211">
        <f t="shared" si="37"/>
        <v>-1</v>
      </c>
      <c r="N211" s="9">
        <f t="shared" si="40"/>
        <v>0.54114675925925937</v>
      </c>
      <c r="O211">
        <f>COUNTIFS($B$2:B211,B211,$C$2:C211,C211,$D$2:D211,"&lt;"&amp;D211,$F$2:F211,1)</f>
        <v>2</v>
      </c>
      <c r="P211">
        <f t="shared" si="38"/>
        <v>1</v>
      </c>
      <c r="Q211" t="str">
        <f t="shared" si="41"/>
        <v>Monitor</v>
      </c>
      <c r="R211">
        <v>1</v>
      </c>
      <c r="S211">
        <f t="shared" si="42"/>
        <v>0</v>
      </c>
      <c r="T211">
        <f t="shared" si="43"/>
        <v>0</v>
      </c>
      <c r="U211" t="str">
        <f t="shared" si="44"/>
        <v>Improved Enough</v>
      </c>
      <c r="V211" t="str">
        <f t="shared" si="45"/>
        <v>Far</v>
      </c>
      <c r="W211" t="str">
        <f t="shared" si="46"/>
        <v>Normal</v>
      </c>
      <c r="X211" t="str">
        <f t="shared" si="47"/>
        <v>Allowed</v>
      </c>
    </row>
    <row r="212" spans="1:24" x14ac:dyDescent="0.3">
      <c r="A212" t="s">
        <v>10</v>
      </c>
      <c r="B212" t="s">
        <v>28</v>
      </c>
      <c r="C212" t="s">
        <v>14</v>
      </c>
      <c r="D212" s="3">
        <v>45657</v>
      </c>
      <c r="E212" s="6">
        <v>8.3941605839416053E-2</v>
      </c>
      <c r="F212">
        <v>1</v>
      </c>
      <c r="G212" t="s">
        <v>13</v>
      </c>
      <c r="H212" s="6">
        <v>5.3999999999999999E-2</v>
      </c>
      <c r="I212" s="8">
        <v>-8.6477312248671358E-3</v>
      </c>
      <c r="J212" s="5">
        <f t="shared" si="36"/>
        <v>1.0109678696460058E-2</v>
      </c>
      <c r="K212" s="5" cm="1">
        <f t="array" ref="K212">_xlfn.STDEV.S(IF($C:$C=C212,$I:$I))</f>
        <v>0.17556416633612926</v>
      </c>
      <c r="L212" s="7">
        <f t="shared" si="39"/>
        <v>-0.10684076547497105</v>
      </c>
      <c r="M212">
        <f t="shared" si="37"/>
        <v>0</v>
      </c>
      <c r="N212" s="9">
        <f t="shared" si="40"/>
        <v>0.55447418221140843</v>
      </c>
      <c r="O212">
        <f>COUNTIFS($B$2:B212,B212,$C$2:C212,C212,$D$2:D212,"&lt;"&amp;D212,$F$2:F212,1)</f>
        <v>2</v>
      </c>
      <c r="P212">
        <f t="shared" si="38"/>
        <v>0</v>
      </c>
      <c r="Q212" t="str">
        <f t="shared" si="41"/>
        <v>Monitor</v>
      </c>
      <c r="R212">
        <v>0</v>
      </c>
      <c r="S212">
        <f t="shared" si="42"/>
        <v>0</v>
      </c>
      <c r="T212">
        <f t="shared" si="43"/>
        <v>0</v>
      </c>
      <c r="U212" t="str">
        <f t="shared" si="44"/>
        <v>Not Improved Enough</v>
      </c>
      <c r="V212" t="str">
        <f t="shared" si="45"/>
        <v>Far</v>
      </c>
      <c r="W212" t="str">
        <f t="shared" si="46"/>
        <v>Normal</v>
      </c>
      <c r="X212" t="str">
        <f t="shared" si="47"/>
        <v>Allowed</v>
      </c>
    </row>
    <row r="213" spans="1:24" x14ac:dyDescent="0.3">
      <c r="A213" t="s">
        <v>10</v>
      </c>
      <c r="B213" t="s">
        <v>28</v>
      </c>
      <c r="C213" t="s">
        <v>14</v>
      </c>
      <c r="D213" s="3">
        <v>45688</v>
      </c>
      <c r="E213" s="6">
        <v>8.7471226570207172E-2</v>
      </c>
      <c r="F213">
        <v>0</v>
      </c>
      <c r="G213" t="s">
        <v>13</v>
      </c>
      <c r="H213" s="6">
        <v>5.3999999999999999E-2</v>
      </c>
      <c r="I213" s="8">
        <v>-4.2048525227685513E-2</v>
      </c>
      <c r="J213" s="5">
        <f t="shared" si="36"/>
        <v>1.0109678696460058E-2</v>
      </c>
      <c r="K213" s="5" cm="1">
        <f t="array" ref="K213">_xlfn.STDEV.S(IF($C:$C=C213,$I:$I))</f>
        <v>0.17556416633612926</v>
      </c>
      <c r="L213" s="7">
        <f t="shared" si="39"/>
        <v>-0.29708912138873045</v>
      </c>
      <c r="M213">
        <f t="shared" si="37"/>
        <v>0</v>
      </c>
      <c r="N213" s="9">
        <f t="shared" si="40"/>
        <v>0.61983752907791057</v>
      </c>
      <c r="O213">
        <f>COUNTIFS($B$2:B213,B213,$C$2:C213,C213,$D$2:D213,"&lt;"&amp;D213,$F$2:F213,1)</f>
        <v>3</v>
      </c>
      <c r="P213">
        <f t="shared" si="38"/>
        <v>-1</v>
      </c>
      <c r="Q213" t="str">
        <f t="shared" si="41"/>
        <v>Monitor</v>
      </c>
      <c r="R213">
        <v>1</v>
      </c>
      <c r="S213">
        <f t="shared" si="42"/>
        <v>0</v>
      </c>
      <c r="T213">
        <f t="shared" si="43"/>
        <v>0</v>
      </c>
      <c r="U213" t="str">
        <f t="shared" si="44"/>
        <v>Not Improved Enough</v>
      </c>
      <c r="V213" t="str">
        <f t="shared" si="45"/>
        <v>Far</v>
      </c>
      <c r="W213" t="str">
        <f t="shared" si="46"/>
        <v>Normal</v>
      </c>
      <c r="X213" t="str">
        <f t="shared" si="47"/>
        <v>Allowed</v>
      </c>
    </row>
    <row r="214" spans="1:24" x14ac:dyDescent="0.3">
      <c r="A214" t="s">
        <v>10</v>
      </c>
      <c r="B214" t="s">
        <v>28</v>
      </c>
      <c r="C214" t="s">
        <v>14</v>
      </c>
      <c r="D214" s="3">
        <v>45716</v>
      </c>
      <c r="E214" s="6">
        <v>8.8989931796037675E-2</v>
      </c>
      <c r="F214">
        <v>1</v>
      </c>
      <c r="G214" t="s">
        <v>13</v>
      </c>
      <c r="H214" s="6">
        <v>5.3999999999999999E-2</v>
      </c>
      <c r="I214" s="8">
        <v>-1.7362340570490822E-2</v>
      </c>
      <c r="J214" s="5">
        <f t="shared" si="36"/>
        <v>1.0109678696460058E-2</v>
      </c>
      <c r="K214" s="5" cm="1">
        <f t="array" ref="K214">_xlfn.STDEV.S(IF($C:$C=C214,$I:$I))</f>
        <v>0.17556416633612926</v>
      </c>
      <c r="L214" s="7">
        <f t="shared" si="39"/>
        <v>-0.15647851062245738</v>
      </c>
      <c r="M214">
        <f t="shared" si="37"/>
        <v>0</v>
      </c>
      <c r="N214" s="9">
        <f t="shared" si="40"/>
        <v>0.64796169992662367</v>
      </c>
      <c r="O214">
        <f>COUNTIFS($B$2:B214,B214,$C$2:C214,C214,$D$2:D214,"&lt;"&amp;D214,$F$2:F214,1)</f>
        <v>3</v>
      </c>
      <c r="P214">
        <f t="shared" si="38"/>
        <v>0</v>
      </c>
      <c r="Q214" t="str">
        <f t="shared" si="41"/>
        <v>Monitor</v>
      </c>
      <c r="R214">
        <v>0</v>
      </c>
      <c r="S214">
        <f t="shared" si="42"/>
        <v>0</v>
      </c>
      <c r="T214">
        <f t="shared" si="43"/>
        <v>0</v>
      </c>
      <c r="U214" t="str">
        <f t="shared" si="44"/>
        <v>Not Improved Enough</v>
      </c>
      <c r="V214" t="str">
        <f t="shared" si="45"/>
        <v>Far</v>
      </c>
      <c r="W214" t="str">
        <f t="shared" si="46"/>
        <v>Normal</v>
      </c>
      <c r="X214" t="str">
        <f t="shared" si="47"/>
        <v>Allowed</v>
      </c>
    </row>
    <row r="215" spans="1:24" x14ac:dyDescent="0.3">
      <c r="A215" t="s">
        <v>10</v>
      </c>
      <c r="B215" t="s">
        <v>28</v>
      </c>
      <c r="C215" t="s">
        <v>14</v>
      </c>
      <c r="D215" s="3">
        <v>45747</v>
      </c>
      <c r="E215" s="6">
        <v>8.5209003215434079E-2</v>
      </c>
      <c r="F215">
        <v>0</v>
      </c>
      <c r="G215" t="s">
        <v>13</v>
      </c>
      <c r="H215" s="6">
        <v>5.3999999999999999E-2</v>
      </c>
      <c r="I215" s="8">
        <v>4.2487149998826537E-2</v>
      </c>
      <c r="J215" s="5">
        <f t="shared" si="36"/>
        <v>1.0109678696460058E-2</v>
      </c>
      <c r="K215" s="5" cm="1">
        <f t="array" ref="K215">_xlfn.STDEV.S(IF($C:$C=C215,$I:$I))</f>
        <v>0.17556416633612926</v>
      </c>
      <c r="L215" s="7">
        <f t="shared" si="39"/>
        <v>0.18441958845051362</v>
      </c>
      <c r="M215">
        <f t="shared" si="37"/>
        <v>0</v>
      </c>
      <c r="N215" s="9">
        <f t="shared" si="40"/>
        <v>0.57794450398952002</v>
      </c>
      <c r="O215">
        <f>COUNTIFS($B$2:B215,B215,$C$2:C215,C215,$D$2:D215,"&lt;"&amp;D215,$F$2:F215,1)</f>
        <v>4</v>
      </c>
      <c r="P215">
        <f t="shared" si="38"/>
        <v>1</v>
      </c>
      <c r="Q215" t="str">
        <f t="shared" si="41"/>
        <v>Monitor</v>
      </c>
      <c r="R215">
        <v>1</v>
      </c>
      <c r="S215">
        <f t="shared" si="42"/>
        <v>0</v>
      </c>
      <c r="T215">
        <f t="shared" si="43"/>
        <v>0</v>
      </c>
      <c r="U215" t="str">
        <f t="shared" si="44"/>
        <v>Improved Enough</v>
      </c>
      <c r="V215" t="str">
        <f t="shared" si="45"/>
        <v>Far</v>
      </c>
      <c r="W215" t="str">
        <f t="shared" si="46"/>
        <v>Normal</v>
      </c>
      <c r="X215" t="str">
        <f t="shared" si="47"/>
        <v>Allowed</v>
      </c>
    </row>
    <row r="216" spans="1:24" x14ac:dyDescent="0.3">
      <c r="A216" t="s">
        <v>10</v>
      </c>
      <c r="B216" t="s">
        <v>28</v>
      </c>
      <c r="C216" t="s">
        <v>14</v>
      </c>
      <c r="D216" s="3">
        <v>45777</v>
      </c>
      <c r="E216" s="6">
        <v>7.814526588845655E-2</v>
      </c>
      <c r="F216">
        <v>0</v>
      </c>
      <c r="G216" t="s">
        <v>13</v>
      </c>
      <c r="H216" s="6">
        <v>5.3999999999999999E-2</v>
      </c>
      <c r="I216" s="8">
        <v>8.2898955044906103E-2</v>
      </c>
      <c r="J216" s="5">
        <f t="shared" si="36"/>
        <v>1.0109678696460058E-2</v>
      </c>
      <c r="K216" s="5" cm="1">
        <f t="array" ref="K216">_xlfn.STDEV.S(IF($C:$C=C216,$I:$I))</f>
        <v>0.17556416633612926</v>
      </c>
      <c r="L216" s="7">
        <f t="shared" si="39"/>
        <v>0.41460212449667061</v>
      </c>
      <c r="M216">
        <f t="shared" si="37"/>
        <v>0</v>
      </c>
      <c r="N216" s="9">
        <f t="shared" si="40"/>
        <v>0.44713455348993614</v>
      </c>
      <c r="O216">
        <f>COUNTIFS($B$2:B216,B216,$C$2:C216,C216,$D$2:D216,"&lt;"&amp;D216,$F$2:F216,1)</f>
        <v>4</v>
      </c>
      <c r="P216">
        <f t="shared" si="38"/>
        <v>0</v>
      </c>
      <c r="Q216" t="str">
        <f t="shared" si="41"/>
        <v>Monitor</v>
      </c>
      <c r="R216">
        <v>0</v>
      </c>
      <c r="S216">
        <f t="shared" si="42"/>
        <v>0</v>
      </c>
      <c r="T216">
        <f t="shared" si="43"/>
        <v>0</v>
      </c>
      <c r="U216" t="str">
        <f t="shared" si="44"/>
        <v>Improved Enough</v>
      </c>
      <c r="V216" t="str">
        <f t="shared" si="45"/>
        <v>Far</v>
      </c>
      <c r="W216" t="str">
        <f t="shared" si="46"/>
        <v>Normal</v>
      </c>
      <c r="X216" t="str">
        <f t="shared" si="47"/>
        <v>Allowed</v>
      </c>
    </row>
    <row r="217" spans="1:24" x14ac:dyDescent="0.3">
      <c r="A217" t="s">
        <v>10</v>
      </c>
      <c r="B217" t="s">
        <v>28</v>
      </c>
      <c r="C217" t="s">
        <v>14</v>
      </c>
      <c r="D217" s="3">
        <v>45808</v>
      </c>
      <c r="E217" s="6">
        <v>7.9740680713128037E-2</v>
      </c>
      <c r="F217">
        <v>0</v>
      </c>
      <c r="G217" t="s">
        <v>13</v>
      </c>
      <c r="H217" s="6">
        <v>5.3999999999999999E-2</v>
      </c>
      <c r="I217" s="8">
        <v>-2.0416013772974549E-2</v>
      </c>
      <c r="J217" s="5">
        <f t="shared" si="36"/>
        <v>1.0109678696460058E-2</v>
      </c>
      <c r="K217" s="5" cm="1">
        <f t="array" ref="K217">_xlfn.STDEV.S(IF($C:$C=C217,$I:$I))</f>
        <v>0.17556416633612926</v>
      </c>
      <c r="L217" s="7">
        <f t="shared" si="39"/>
        <v>-0.17387199852042212</v>
      </c>
      <c r="M217">
        <f t="shared" si="37"/>
        <v>0</v>
      </c>
      <c r="N217" s="9">
        <f t="shared" si="40"/>
        <v>0.47667927246533404</v>
      </c>
      <c r="O217">
        <f>COUNTIFS($B$2:B217,B217,$C$2:C217,C217,$D$2:D217,"&lt;"&amp;D217,$F$2:F217,1)</f>
        <v>4</v>
      </c>
      <c r="P217">
        <f t="shared" si="38"/>
        <v>0</v>
      </c>
      <c r="Q217" t="str">
        <f t="shared" si="41"/>
        <v>Monitor</v>
      </c>
      <c r="R217">
        <v>0</v>
      </c>
      <c r="S217">
        <f t="shared" si="42"/>
        <v>0</v>
      </c>
      <c r="T217">
        <f t="shared" si="43"/>
        <v>0</v>
      </c>
      <c r="U217" t="str">
        <f t="shared" si="44"/>
        <v>Not Improved Enough</v>
      </c>
      <c r="V217" t="str">
        <f t="shared" si="45"/>
        <v>Far</v>
      </c>
      <c r="W217" t="str">
        <f t="shared" si="46"/>
        <v>Normal</v>
      </c>
      <c r="X217" t="str">
        <f t="shared" si="47"/>
        <v>Allowed</v>
      </c>
    </row>
    <row r="218" spans="1:24" x14ac:dyDescent="0.3">
      <c r="A218" t="s">
        <v>10</v>
      </c>
      <c r="B218" t="s">
        <v>28</v>
      </c>
      <c r="C218" t="s">
        <v>14</v>
      </c>
      <c r="D218" s="3">
        <v>45838</v>
      </c>
      <c r="E218" s="6">
        <v>6.5132858068697341E-2</v>
      </c>
      <c r="F218">
        <v>0</v>
      </c>
      <c r="G218" t="s">
        <v>13</v>
      </c>
      <c r="H218" s="6">
        <v>5.3999999999999999E-2</v>
      </c>
      <c r="I218" s="8">
        <v>0.1831915969840191</v>
      </c>
      <c r="J218" s="5">
        <f t="shared" si="36"/>
        <v>1.0109678696460058E-2</v>
      </c>
      <c r="K218" s="5" cm="1">
        <f t="array" ref="K218">_xlfn.STDEV.S(IF($C:$C=C218,$I:$I))</f>
        <v>0.17556416633612926</v>
      </c>
      <c r="L218" s="7">
        <f t="shared" si="39"/>
        <v>0.98586130586683729</v>
      </c>
      <c r="M218">
        <f t="shared" si="37"/>
        <v>-1</v>
      </c>
      <c r="N218" s="9">
        <f t="shared" si="40"/>
        <v>0.20616403830921004</v>
      </c>
      <c r="O218">
        <f>COUNTIFS($B$2:B218,B218,$C$2:C218,C218,$D$2:D218,"&lt;"&amp;D218,$F$2:F218,1)</f>
        <v>4</v>
      </c>
      <c r="P218">
        <f t="shared" si="38"/>
        <v>0</v>
      </c>
      <c r="Q218" t="str">
        <f t="shared" si="41"/>
        <v>Monitor</v>
      </c>
      <c r="R218">
        <v>0</v>
      </c>
      <c r="S218">
        <f t="shared" si="42"/>
        <v>0</v>
      </c>
      <c r="T218">
        <f t="shared" si="43"/>
        <v>0</v>
      </c>
      <c r="U218" t="str">
        <f t="shared" si="44"/>
        <v>Improved Enough</v>
      </c>
      <c r="V218" t="str">
        <f t="shared" si="45"/>
        <v>Far</v>
      </c>
      <c r="W218" t="str">
        <f t="shared" si="46"/>
        <v>Normal</v>
      </c>
      <c r="X218" t="str">
        <f t="shared" si="47"/>
        <v>Allowed</v>
      </c>
    </row>
    <row r="219" spans="1:24" x14ac:dyDescent="0.3">
      <c r="A219" t="s">
        <v>10</v>
      </c>
      <c r="B219" t="s">
        <v>28</v>
      </c>
      <c r="C219" t="s">
        <v>14</v>
      </c>
      <c r="D219" s="3">
        <v>45869</v>
      </c>
      <c r="E219" s="6">
        <v>6.8844060198527054E-2</v>
      </c>
      <c r="F219">
        <v>0</v>
      </c>
      <c r="G219" t="s">
        <v>13</v>
      </c>
      <c r="H219" s="6">
        <v>5.3999999999999999E-2</v>
      </c>
      <c r="I219" s="8">
        <v>-5.6978954092808433E-2</v>
      </c>
      <c r="J219" s="5">
        <f t="shared" si="36"/>
        <v>1.0109678696460058E-2</v>
      </c>
      <c r="K219" s="5" cm="1">
        <f t="array" ref="K219">_xlfn.STDEV.S(IF($C:$C=C219,$I:$I))</f>
        <v>0.17556416633612926</v>
      </c>
      <c r="L219" s="7">
        <f t="shared" si="39"/>
        <v>-0.38213169685676546</v>
      </c>
      <c r="M219">
        <f t="shared" si="37"/>
        <v>0</v>
      </c>
      <c r="N219" s="9">
        <f t="shared" si="40"/>
        <v>0.27489000367642696</v>
      </c>
      <c r="O219">
        <f>COUNTIFS($B$2:B219,B219,$C$2:C219,C219,$D$2:D219,"&lt;"&amp;D219,$F$2:F219,1)</f>
        <v>4</v>
      </c>
      <c r="P219">
        <f t="shared" si="38"/>
        <v>0</v>
      </c>
      <c r="Q219" t="str">
        <f t="shared" si="41"/>
        <v>Monitor</v>
      </c>
      <c r="R219">
        <v>0</v>
      </c>
      <c r="S219">
        <f t="shared" si="42"/>
        <v>0</v>
      </c>
      <c r="T219">
        <f t="shared" si="43"/>
        <v>0</v>
      </c>
      <c r="U219" t="str">
        <f t="shared" si="44"/>
        <v>Not Improved Enough</v>
      </c>
      <c r="V219" t="str">
        <f t="shared" si="45"/>
        <v>Far</v>
      </c>
      <c r="W219" t="str">
        <f t="shared" si="46"/>
        <v>Normal</v>
      </c>
      <c r="X219" t="str">
        <f t="shared" si="47"/>
        <v>Allowed</v>
      </c>
    </row>
    <row r="220" spans="1:24" x14ac:dyDescent="0.3">
      <c r="A220" t="s">
        <v>10</v>
      </c>
      <c r="B220" t="s">
        <v>28</v>
      </c>
      <c r="C220" t="s">
        <v>14</v>
      </c>
      <c r="D220" s="3">
        <v>45900</v>
      </c>
      <c r="E220" s="6">
        <v>6.7350865939704935E-2</v>
      </c>
      <c r="F220">
        <v>0</v>
      </c>
      <c r="G220" t="s">
        <v>13</v>
      </c>
      <c r="H220" s="6">
        <v>5.3999999999999999E-2</v>
      </c>
      <c r="I220" s="8">
        <v>2.1689514745588279E-2</v>
      </c>
      <c r="J220" s="5">
        <f t="shared" si="36"/>
        <v>1.0109678696460058E-2</v>
      </c>
      <c r="K220" s="5" cm="1">
        <f t="array" ref="K220">_xlfn.STDEV.S(IF($C:$C=C220,$I:$I))</f>
        <v>0.17556416633612926</v>
      </c>
      <c r="L220" s="7">
        <f t="shared" si="39"/>
        <v>6.5957856268675327E-2</v>
      </c>
      <c r="M220">
        <f t="shared" si="37"/>
        <v>0</v>
      </c>
      <c r="N220" s="9">
        <f t="shared" si="40"/>
        <v>0.24723825814268399</v>
      </c>
      <c r="O220">
        <f>COUNTIFS($B$2:B220,B220,$C$2:C220,C220,$D$2:D220,"&lt;"&amp;D220,$F$2:F220,1)</f>
        <v>4</v>
      </c>
      <c r="P220">
        <f t="shared" si="38"/>
        <v>0</v>
      </c>
      <c r="Q220" t="str">
        <f t="shared" si="41"/>
        <v>Monitor</v>
      </c>
      <c r="R220">
        <v>0</v>
      </c>
      <c r="S220">
        <f t="shared" si="42"/>
        <v>0</v>
      </c>
      <c r="T220">
        <f t="shared" si="43"/>
        <v>0</v>
      </c>
      <c r="U220" t="str">
        <f t="shared" si="44"/>
        <v>Improved Enough</v>
      </c>
      <c r="V220" t="str">
        <f t="shared" si="45"/>
        <v>Far</v>
      </c>
      <c r="W220" t="str">
        <f t="shared" si="46"/>
        <v>Normal</v>
      </c>
      <c r="X220" t="str">
        <f t="shared" si="47"/>
        <v>Allowed</v>
      </c>
    </row>
    <row r="221" spans="1:24" x14ac:dyDescent="0.3">
      <c r="A221" t="s">
        <v>10</v>
      </c>
      <c r="B221" t="s">
        <v>28</v>
      </c>
      <c r="C221" t="s">
        <v>14</v>
      </c>
      <c r="D221" s="3">
        <v>45930</v>
      </c>
      <c r="E221" s="6">
        <v>6.0038734667527439E-2</v>
      </c>
      <c r="F221">
        <v>0</v>
      </c>
      <c r="G221" t="s">
        <v>13</v>
      </c>
      <c r="H221" s="6">
        <v>5.3999999999999999E-2</v>
      </c>
      <c r="I221" s="8">
        <v>0.1085677395554735</v>
      </c>
      <c r="J221" s="5">
        <f t="shared" si="36"/>
        <v>1.0109678696460058E-2</v>
      </c>
      <c r="K221" s="5" cm="1">
        <f t="array" ref="K221">_xlfn.STDEV.S(IF($C:$C=C221,$I:$I))</f>
        <v>0.17556416633612926</v>
      </c>
      <c r="L221" s="7">
        <f t="shared" si="39"/>
        <v>0.56080954851862508</v>
      </c>
      <c r="M221">
        <f t="shared" si="37"/>
        <v>-1</v>
      </c>
      <c r="N221" s="9">
        <f t="shared" si="40"/>
        <v>0.11182841976902667</v>
      </c>
      <c r="O221">
        <f>COUNTIFS($B$2:B221,B221,$C$2:C221,C221,$D$2:D221,"&lt;"&amp;D221,$F$2:F221,1)</f>
        <v>4</v>
      </c>
      <c r="P221">
        <f t="shared" si="38"/>
        <v>0</v>
      </c>
      <c r="Q221" t="str">
        <f t="shared" si="41"/>
        <v>Monitor</v>
      </c>
      <c r="R221">
        <v>0</v>
      </c>
      <c r="S221">
        <f t="shared" si="42"/>
        <v>0</v>
      </c>
      <c r="T221">
        <f t="shared" si="43"/>
        <v>0</v>
      </c>
      <c r="U221" t="str">
        <f t="shared" si="44"/>
        <v>Improved Enough</v>
      </c>
      <c r="V221" t="str">
        <f t="shared" si="45"/>
        <v>Far</v>
      </c>
      <c r="W221" t="str">
        <f t="shared" si="46"/>
        <v>Normal</v>
      </c>
      <c r="X221" t="str">
        <f t="shared" si="47"/>
        <v>Allowed</v>
      </c>
    </row>
    <row r="222" spans="1:24" x14ac:dyDescent="0.3">
      <c r="A222" t="s">
        <v>10</v>
      </c>
      <c r="B222" t="s">
        <v>28</v>
      </c>
      <c r="C222" t="s">
        <v>14</v>
      </c>
      <c r="D222" s="3">
        <v>45961</v>
      </c>
      <c r="E222" s="6">
        <v>5.8538163001293657E-2</v>
      </c>
      <c r="F222">
        <v>0</v>
      </c>
      <c r="G222" t="s">
        <v>13</v>
      </c>
      <c r="H222" s="6">
        <v>5.3999999999999999E-2</v>
      </c>
      <c r="I222" s="8">
        <v>2.4993392591356231E-2</v>
      </c>
      <c r="J222" s="5">
        <f t="shared" si="36"/>
        <v>1.0109678696460058E-2</v>
      </c>
      <c r="K222" s="5" cm="1">
        <f t="array" ref="K222">_xlfn.STDEV.S(IF($C:$C=C222,$I:$I))</f>
        <v>0.17556416633612926</v>
      </c>
      <c r="L222" s="7">
        <f t="shared" si="39"/>
        <v>8.4776490587494452E-2</v>
      </c>
      <c r="M222">
        <f t="shared" si="37"/>
        <v>0</v>
      </c>
      <c r="N222" s="9">
        <f t="shared" si="40"/>
        <v>8.4040055579512177E-2</v>
      </c>
      <c r="O222">
        <f>COUNTIFS($B$2:B222,B222,$C$2:C222,C222,$D$2:D222,"&lt;"&amp;D222,$F$2:F222,1)</f>
        <v>4</v>
      </c>
      <c r="P222">
        <f t="shared" si="38"/>
        <v>0</v>
      </c>
      <c r="Q222" t="str">
        <f t="shared" si="41"/>
        <v>Monitor</v>
      </c>
      <c r="R222">
        <v>0</v>
      </c>
      <c r="S222">
        <f t="shared" si="42"/>
        <v>0</v>
      </c>
      <c r="T222">
        <f t="shared" si="43"/>
        <v>0</v>
      </c>
      <c r="U222" t="str">
        <f t="shared" si="44"/>
        <v>Improved Enough</v>
      </c>
      <c r="V222" t="str">
        <f t="shared" si="45"/>
        <v>Far</v>
      </c>
      <c r="W222" t="str">
        <f t="shared" si="46"/>
        <v>Normal</v>
      </c>
      <c r="X222" t="str">
        <f t="shared" si="47"/>
        <v>Allowed</v>
      </c>
    </row>
    <row r="223" spans="1:24" x14ac:dyDescent="0.3">
      <c r="A223" t="s">
        <v>10</v>
      </c>
      <c r="B223" t="s">
        <v>28</v>
      </c>
      <c r="C223" t="s">
        <v>14</v>
      </c>
      <c r="D223" s="3">
        <v>45991</v>
      </c>
      <c r="E223" s="6">
        <v>4.9951028403525957E-2</v>
      </c>
      <c r="F223">
        <v>0</v>
      </c>
      <c r="G223" t="s">
        <v>13</v>
      </c>
      <c r="H223" s="6">
        <v>5.3999999999999999E-2</v>
      </c>
      <c r="I223" s="8">
        <v>0.14669292915081619</v>
      </c>
      <c r="J223" s="5">
        <f t="shared" si="36"/>
        <v>1.0109678696460058E-2</v>
      </c>
      <c r="K223" s="5" cm="1">
        <f t="array" ref="K223">_xlfn.STDEV.S(IF($C:$C=C223,$I:$I))</f>
        <v>0.17556416633612926</v>
      </c>
      <c r="L223" s="7">
        <f t="shared" si="39"/>
        <v>0.7779676986752434</v>
      </c>
      <c r="M223">
        <f t="shared" si="37"/>
        <v>-1</v>
      </c>
      <c r="N223" s="9">
        <f t="shared" si="40"/>
        <v>-7.4980955490260043E-2</v>
      </c>
      <c r="O223">
        <f>COUNTIFS($B$2:B223,B223,$C$2:C223,C223,$D$2:D223,"&lt;"&amp;D223,$F$2:F223,1)</f>
        <v>4</v>
      </c>
      <c r="P223">
        <f t="shared" si="38"/>
        <v>0</v>
      </c>
      <c r="Q223" t="str">
        <f t="shared" si="41"/>
        <v>Monitor</v>
      </c>
      <c r="R223">
        <v>0</v>
      </c>
      <c r="S223">
        <f t="shared" si="42"/>
        <v>0</v>
      </c>
      <c r="T223">
        <f t="shared" si="43"/>
        <v>0</v>
      </c>
      <c r="U223" t="str">
        <f t="shared" si="44"/>
        <v>Improved Enough</v>
      </c>
      <c r="V223" t="str">
        <f t="shared" si="45"/>
        <v>Close</v>
      </c>
      <c r="W223" t="str">
        <f t="shared" si="46"/>
        <v>Normal</v>
      </c>
      <c r="X223" t="str">
        <f t="shared" si="47"/>
        <v>Allowed</v>
      </c>
    </row>
    <row r="224" spans="1:24" x14ac:dyDescent="0.3">
      <c r="A224" t="s">
        <v>10</v>
      </c>
      <c r="B224" t="s">
        <v>28</v>
      </c>
      <c r="C224" t="s">
        <v>15</v>
      </c>
      <c r="D224" s="3">
        <v>45535</v>
      </c>
      <c r="E224" s="6">
        <v>0.10130111524163569</v>
      </c>
      <c r="F224">
        <v>0</v>
      </c>
      <c r="G224" t="s">
        <v>13</v>
      </c>
      <c r="H224" s="6">
        <v>6.6000000000000003E-2</v>
      </c>
      <c r="I224" s="8">
        <v>8.4884883321357837E-2</v>
      </c>
      <c r="J224" s="5">
        <f t="shared" si="36"/>
        <v>-2.475667272801203E-2</v>
      </c>
      <c r="K224" s="5" cm="1">
        <f t="array" ref="K224">_xlfn.STDEV.S(IF($C:$C=C224,$I:$I))</f>
        <v>0.42334565134305008</v>
      </c>
      <c r="L224" s="7">
        <f t="shared" si="39"/>
        <v>0.25898826573873068</v>
      </c>
      <c r="M224">
        <f t="shared" si="37"/>
        <v>0</v>
      </c>
      <c r="N224" s="9">
        <f t="shared" si="40"/>
        <v>0.53486538244902559</v>
      </c>
      <c r="O224">
        <f>COUNTIFS($B$2:B224,B224,$C$2:C224,C224,$D$2:D224,"&lt;"&amp;D224,$F$2:F224,1)</f>
        <v>0</v>
      </c>
      <c r="P224">
        <f t="shared" si="38"/>
        <v>0</v>
      </c>
      <c r="Q224" t="str">
        <f t="shared" si="41"/>
        <v>Monitor</v>
      </c>
      <c r="R224">
        <v>0</v>
      </c>
      <c r="S224">
        <f t="shared" si="42"/>
        <v>0</v>
      </c>
      <c r="T224">
        <f t="shared" si="43"/>
        <v>0</v>
      </c>
      <c r="U224" t="str">
        <f t="shared" si="44"/>
        <v>Improved Enough</v>
      </c>
      <c r="V224" t="str">
        <f t="shared" si="45"/>
        <v>Far</v>
      </c>
      <c r="W224" t="str">
        <f t="shared" si="46"/>
        <v>Normal</v>
      </c>
      <c r="X224" t="str">
        <f t="shared" si="47"/>
        <v>Allowed</v>
      </c>
    </row>
    <row r="225" spans="1:24" x14ac:dyDescent="0.3">
      <c r="A225" t="s">
        <v>10</v>
      </c>
      <c r="B225" t="s">
        <v>28</v>
      </c>
      <c r="C225" t="s">
        <v>15</v>
      </c>
      <c r="D225" s="3">
        <v>45565</v>
      </c>
      <c r="E225" s="6">
        <v>9.1417910447761194E-2</v>
      </c>
      <c r="F225">
        <v>1</v>
      </c>
      <c r="G225" t="s">
        <v>13</v>
      </c>
      <c r="H225" s="6">
        <v>6.6000000000000003E-2</v>
      </c>
      <c r="I225" s="8">
        <v>9.7562645488155617E-2</v>
      </c>
      <c r="J225" s="5">
        <f t="shared" si="36"/>
        <v>-2.475667272801203E-2</v>
      </c>
      <c r="K225" s="5" cm="1">
        <f t="array" ref="K225">_xlfn.STDEV.S(IF($C:$C=C225,$I:$I))</f>
        <v>0.42334565134305008</v>
      </c>
      <c r="L225" s="7">
        <f t="shared" si="39"/>
        <v>0.28893486404812158</v>
      </c>
      <c r="M225">
        <f t="shared" si="37"/>
        <v>0</v>
      </c>
      <c r="N225" s="9">
        <f t="shared" si="40"/>
        <v>0.38511985526910891</v>
      </c>
      <c r="O225">
        <f>COUNTIFS($B$2:B225,B225,$C$2:C225,C225,$D$2:D225,"&lt;"&amp;D225,$F$2:F225,1)</f>
        <v>0</v>
      </c>
      <c r="P225">
        <f t="shared" si="38"/>
        <v>0</v>
      </c>
      <c r="Q225" t="str">
        <f t="shared" si="41"/>
        <v>Monitor</v>
      </c>
      <c r="R225">
        <v>0</v>
      </c>
      <c r="S225">
        <f t="shared" si="42"/>
        <v>0</v>
      </c>
      <c r="T225">
        <f t="shared" si="43"/>
        <v>0</v>
      </c>
      <c r="U225" t="str">
        <f t="shared" si="44"/>
        <v>Improved Enough</v>
      </c>
      <c r="V225" t="str">
        <f t="shared" si="45"/>
        <v>Far</v>
      </c>
      <c r="W225" t="str">
        <f t="shared" si="46"/>
        <v>Normal</v>
      </c>
      <c r="X225" t="str">
        <f t="shared" si="47"/>
        <v>Allowed</v>
      </c>
    </row>
    <row r="226" spans="1:24" x14ac:dyDescent="0.3">
      <c r="A226" t="s">
        <v>10</v>
      </c>
      <c r="B226" t="s">
        <v>28</v>
      </c>
      <c r="C226" t="s">
        <v>15</v>
      </c>
      <c r="D226" s="3">
        <v>45596</v>
      </c>
      <c r="E226" s="6">
        <v>0.10925925925925931</v>
      </c>
      <c r="F226">
        <v>1</v>
      </c>
      <c r="G226" t="s">
        <v>13</v>
      </c>
      <c r="H226" s="6">
        <v>6.6000000000000003E-2</v>
      </c>
      <c r="I226" s="8">
        <v>-0.19516250944822419</v>
      </c>
      <c r="J226" s="5">
        <f t="shared" si="36"/>
        <v>-2.475667272801203E-2</v>
      </c>
      <c r="K226" s="5" cm="1">
        <f t="array" ref="K226">_xlfn.STDEV.S(IF($C:$C=C226,$I:$I))</f>
        <v>0.42334565134305008</v>
      </c>
      <c r="L226" s="7">
        <f t="shared" si="39"/>
        <v>-0.40252176012581042</v>
      </c>
      <c r="M226">
        <f t="shared" si="37"/>
        <v>0</v>
      </c>
      <c r="N226" s="9">
        <f t="shared" si="40"/>
        <v>0.65544332210998946</v>
      </c>
      <c r="O226">
        <f>COUNTIFS($B$2:B226,B226,$C$2:C226,C226,$D$2:D226,"&lt;"&amp;D226,$F$2:F226,1)</f>
        <v>1</v>
      </c>
      <c r="P226">
        <f t="shared" si="38"/>
        <v>-1</v>
      </c>
      <c r="Q226" t="str">
        <f t="shared" si="41"/>
        <v>Monitor</v>
      </c>
      <c r="R226">
        <v>1</v>
      </c>
      <c r="S226">
        <f t="shared" si="42"/>
        <v>0</v>
      </c>
      <c r="T226">
        <f t="shared" si="43"/>
        <v>0</v>
      </c>
      <c r="U226" t="str">
        <f t="shared" si="44"/>
        <v>Not Improved Enough</v>
      </c>
      <c r="V226" t="str">
        <f t="shared" si="45"/>
        <v>Far</v>
      </c>
      <c r="W226" t="str">
        <f t="shared" si="46"/>
        <v>Normal</v>
      </c>
      <c r="X226" t="str">
        <f t="shared" si="47"/>
        <v>Allowed</v>
      </c>
    </row>
    <row r="227" spans="1:24" x14ac:dyDescent="0.3">
      <c r="A227" t="s">
        <v>10</v>
      </c>
      <c r="B227" t="s">
        <v>28</v>
      </c>
      <c r="C227" t="s">
        <v>15</v>
      </c>
      <c r="D227" s="3">
        <v>45626</v>
      </c>
      <c r="E227" s="6">
        <v>9.5595127000000002E-2</v>
      </c>
      <c r="F227">
        <v>0</v>
      </c>
      <c r="G227" t="s">
        <v>13</v>
      </c>
      <c r="H227" s="6">
        <v>6.6000000000000003E-2</v>
      </c>
      <c r="I227" s="8">
        <v>0.12506154949152579</v>
      </c>
      <c r="J227" s="5">
        <f t="shared" si="36"/>
        <v>-2.475667272801203E-2</v>
      </c>
      <c r="K227" s="5" cm="1">
        <f t="array" ref="K227">_xlfn.STDEV.S(IF($C:$C=C227,$I:$I))</f>
        <v>0.42334565134305008</v>
      </c>
      <c r="L227" s="7">
        <f t="shared" si="39"/>
        <v>0.35389101492892261</v>
      </c>
      <c r="M227">
        <f t="shared" si="37"/>
        <v>0</v>
      </c>
      <c r="N227" s="9">
        <f t="shared" si="40"/>
        <v>0.4484110151515151</v>
      </c>
      <c r="O227">
        <f>COUNTIFS($B$2:B227,B227,$C$2:C227,C227,$D$2:D227,"&lt;"&amp;D227,$F$2:F227,1)</f>
        <v>2</v>
      </c>
      <c r="P227">
        <f t="shared" si="38"/>
        <v>1</v>
      </c>
      <c r="Q227" t="str">
        <f t="shared" si="41"/>
        <v>Monitor</v>
      </c>
      <c r="R227">
        <v>1</v>
      </c>
      <c r="S227">
        <f t="shared" si="42"/>
        <v>0</v>
      </c>
      <c r="T227">
        <f t="shared" si="43"/>
        <v>0</v>
      </c>
      <c r="U227" t="str">
        <f t="shared" si="44"/>
        <v>Improved Enough</v>
      </c>
      <c r="V227" t="str">
        <f t="shared" si="45"/>
        <v>Far</v>
      </c>
      <c r="W227" t="str">
        <f t="shared" si="46"/>
        <v>Normal</v>
      </c>
      <c r="X227" t="str">
        <f t="shared" si="47"/>
        <v>Allowed</v>
      </c>
    </row>
    <row r="228" spans="1:24" x14ac:dyDescent="0.3">
      <c r="A228" t="s">
        <v>10</v>
      </c>
      <c r="B228" t="s">
        <v>28</v>
      </c>
      <c r="C228" t="s">
        <v>15</v>
      </c>
      <c r="D228" s="3">
        <v>45657</v>
      </c>
      <c r="E228" s="6">
        <v>9.5238095238095233E-2</v>
      </c>
      <c r="F228">
        <v>0</v>
      </c>
      <c r="G228" t="s">
        <v>13</v>
      </c>
      <c r="H228" s="6">
        <v>6.6000000000000003E-2</v>
      </c>
      <c r="I228" s="8">
        <v>3.7348322357976379E-3</v>
      </c>
      <c r="J228" s="5">
        <f t="shared" si="36"/>
        <v>-2.475667272801203E-2</v>
      </c>
      <c r="K228" s="5" cm="1">
        <f t="array" ref="K228">_xlfn.STDEV.S(IF($C:$C=C228,$I:$I))</f>
        <v>0.42334565134305008</v>
      </c>
      <c r="L228" s="7">
        <f t="shared" si="39"/>
        <v>6.7300809334928352E-2</v>
      </c>
      <c r="M228">
        <f t="shared" si="37"/>
        <v>0</v>
      </c>
      <c r="N228" s="9">
        <f t="shared" si="40"/>
        <v>0.44300144300144284</v>
      </c>
      <c r="O228">
        <f>COUNTIFS($B$2:B228,B228,$C$2:C228,C228,$D$2:D228,"&lt;"&amp;D228,$F$2:F228,1)</f>
        <v>2</v>
      </c>
      <c r="P228">
        <f t="shared" si="38"/>
        <v>0</v>
      </c>
      <c r="Q228" t="str">
        <f t="shared" si="41"/>
        <v>Monitor</v>
      </c>
      <c r="R228">
        <v>0</v>
      </c>
      <c r="S228">
        <f t="shared" si="42"/>
        <v>0</v>
      </c>
      <c r="T228">
        <f t="shared" si="43"/>
        <v>0</v>
      </c>
      <c r="U228" t="str">
        <f t="shared" si="44"/>
        <v>Not Improved Enough</v>
      </c>
      <c r="V228" t="str">
        <f t="shared" si="45"/>
        <v>Far</v>
      </c>
      <c r="W228" t="str">
        <f t="shared" si="46"/>
        <v>Normal</v>
      </c>
      <c r="X228" t="str">
        <f t="shared" si="47"/>
        <v>Allowed</v>
      </c>
    </row>
    <row r="229" spans="1:24" x14ac:dyDescent="0.3">
      <c r="A229" t="s">
        <v>10</v>
      </c>
      <c r="B229" t="s">
        <v>28</v>
      </c>
      <c r="C229" t="s">
        <v>15</v>
      </c>
      <c r="D229" s="3">
        <v>45688</v>
      </c>
      <c r="E229" s="6">
        <v>9.4619666048237475E-2</v>
      </c>
      <c r="F229">
        <v>0</v>
      </c>
      <c r="G229" t="s">
        <v>13</v>
      </c>
      <c r="H229" s="6">
        <v>6.6000000000000003E-2</v>
      </c>
      <c r="I229" s="8">
        <v>6.493506493506461E-3</v>
      </c>
      <c r="J229" s="5">
        <f t="shared" si="36"/>
        <v>-2.475667272801203E-2</v>
      </c>
      <c r="K229" s="5" cm="1">
        <f t="array" ref="K229">_xlfn.STDEV.S(IF($C:$C=C229,$I:$I))</f>
        <v>0.42334565134305008</v>
      </c>
      <c r="L229" s="7">
        <f t="shared" si="39"/>
        <v>7.3817173088653029E-2</v>
      </c>
      <c r="M229">
        <f t="shared" si="37"/>
        <v>0</v>
      </c>
      <c r="N229" s="9">
        <f t="shared" si="40"/>
        <v>0.43363130376117381</v>
      </c>
      <c r="O229">
        <f>COUNTIFS($B$2:B229,B229,$C$2:C229,C229,$D$2:D229,"&lt;"&amp;D229,$F$2:F229,1)</f>
        <v>2</v>
      </c>
      <c r="P229">
        <f t="shared" si="38"/>
        <v>0</v>
      </c>
      <c r="Q229" t="str">
        <f t="shared" si="41"/>
        <v>Monitor</v>
      </c>
      <c r="R229">
        <v>0</v>
      </c>
      <c r="S229">
        <f t="shared" si="42"/>
        <v>0</v>
      </c>
      <c r="T229">
        <f t="shared" si="43"/>
        <v>0</v>
      </c>
      <c r="U229" t="str">
        <f t="shared" si="44"/>
        <v>Not Improved Enough</v>
      </c>
      <c r="V229" t="str">
        <f t="shared" si="45"/>
        <v>Far</v>
      </c>
      <c r="W229" t="str">
        <f t="shared" si="46"/>
        <v>Normal</v>
      </c>
      <c r="X229" t="str">
        <f t="shared" si="47"/>
        <v>Allowed</v>
      </c>
    </row>
    <row r="230" spans="1:24" x14ac:dyDescent="0.3">
      <c r="A230" t="s">
        <v>10</v>
      </c>
      <c r="B230" t="s">
        <v>28</v>
      </c>
      <c r="C230" t="s">
        <v>15</v>
      </c>
      <c r="D230" s="3">
        <v>45716</v>
      </c>
      <c r="E230" s="6">
        <v>0.1008174386920981</v>
      </c>
      <c r="F230">
        <v>1</v>
      </c>
      <c r="G230" t="s">
        <v>13</v>
      </c>
      <c r="H230" s="6">
        <v>6.6000000000000003E-2</v>
      </c>
      <c r="I230" s="8">
        <v>-6.5501950098840689E-2</v>
      </c>
      <c r="J230" s="5">
        <f t="shared" si="36"/>
        <v>-2.475667272801203E-2</v>
      </c>
      <c r="K230" s="5" cm="1">
        <f t="array" ref="K230">_xlfn.STDEV.S(IF($C:$C=C230,$I:$I))</f>
        <v>0.42334565134305008</v>
      </c>
      <c r="L230" s="7">
        <f t="shared" si="39"/>
        <v>-9.6245886172600589E-2</v>
      </c>
      <c r="M230">
        <f t="shared" si="37"/>
        <v>0</v>
      </c>
      <c r="N230" s="9">
        <f t="shared" si="40"/>
        <v>0.52753694988027411</v>
      </c>
      <c r="O230">
        <f>COUNTIFS($B$2:B230,B230,$C$2:C230,C230,$D$2:D230,"&lt;"&amp;D230,$F$2:F230,1)</f>
        <v>2</v>
      </c>
      <c r="P230">
        <f t="shared" si="38"/>
        <v>0</v>
      </c>
      <c r="Q230" t="str">
        <f t="shared" si="41"/>
        <v>Monitor</v>
      </c>
      <c r="R230">
        <v>0</v>
      </c>
      <c r="S230">
        <f t="shared" si="42"/>
        <v>0</v>
      </c>
      <c r="T230">
        <f t="shared" si="43"/>
        <v>0</v>
      </c>
      <c r="U230" t="str">
        <f t="shared" si="44"/>
        <v>Not Improved Enough</v>
      </c>
      <c r="V230" t="str">
        <f t="shared" si="45"/>
        <v>Far</v>
      </c>
      <c r="W230" t="str">
        <f t="shared" si="46"/>
        <v>Normal</v>
      </c>
      <c r="X230" t="str">
        <f t="shared" si="47"/>
        <v>Allowed</v>
      </c>
    </row>
    <row r="231" spans="1:24" x14ac:dyDescent="0.3">
      <c r="A231" t="s">
        <v>10</v>
      </c>
      <c r="B231" t="s">
        <v>28</v>
      </c>
      <c r="C231" t="s">
        <v>15</v>
      </c>
      <c r="D231" s="3">
        <v>45747</v>
      </c>
      <c r="E231" s="6">
        <v>9.329710144927536E-2</v>
      </c>
      <c r="F231">
        <v>0</v>
      </c>
      <c r="G231" t="s">
        <v>13</v>
      </c>
      <c r="H231" s="6">
        <v>6.6000000000000003E-2</v>
      </c>
      <c r="I231" s="8">
        <v>7.4593615354484971E-2</v>
      </c>
      <c r="J231" s="5">
        <f t="shared" si="36"/>
        <v>-2.475667272801203E-2</v>
      </c>
      <c r="K231" s="5" cm="1">
        <f t="array" ref="K231">_xlfn.STDEV.S(IF($C:$C=C231,$I:$I))</f>
        <v>0.42334565134305008</v>
      </c>
      <c r="L231" s="7">
        <f t="shared" si="39"/>
        <v>0.23467889127315114</v>
      </c>
      <c r="M231">
        <f t="shared" si="37"/>
        <v>0</v>
      </c>
      <c r="N231" s="9">
        <f t="shared" si="40"/>
        <v>0.41359244620114177</v>
      </c>
      <c r="O231">
        <f>COUNTIFS($B$2:B231,B231,$C$2:C231,C231,$D$2:D231,"&lt;"&amp;D231,$F$2:F231,1)</f>
        <v>3</v>
      </c>
      <c r="P231">
        <f t="shared" si="38"/>
        <v>1</v>
      </c>
      <c r="Q231" t="str">
        <f t="shared" si="41"/>
        <v>Monitor</v>
      </c>
      <c r="R231">
        <v>1</v>
      </c>
      <c r="S231">
        <f t="shared" si="42"/>
        <v>0</v>
      </c>
      <c r="T231">
        <f t="shared" si="43"/>
        <v>0</v>
      </c>
      <c r="U231" t="str">
        <f t="shared" si="44"/>
        <v>Improved Enough</v>
      </c>
      <c r="V231" t="str">
        <f t="shared" si="45"/>
        <v>Far</v>
      </c>
      <c r="W231" t="str">
        <f t="shared" si="46"/>
        <v>Normal</v>
      </c>
      <c r="X231" t="str">
        <f t="shared" si="47"/>
        <v>Allowed</v>
      </c>
    </row>
    <row r="232" spans="1:24" x14ac:dyDescent="0.3">
      <c r="A232" t="s">
        <v>10</v>
      </c>
      <c r="B232" t="s">
        <v>28</v>
      </c>
      <c r="C232" t="s">
        <v>15</v>
      </c>
      <c r="D232" s="3">
        <v>45777</v>
      </c>
      <c r="E232" s="6">
        <v>8.4095063985374766E-2</v>
      </c>
      <c r="F232">
        <v>0</v>
      </c>
      <c r="G232" t="s">
        <v>13</v>
      </c>
      <c r="H232" s="6">
        <v>6.6000000000000003E-2</v>
      </c>
      <c r="I232" s="8">
        <v>9.8631547185885987E-2</v>
      </c>
      <c r="J232" s="5">
        <f t="shared" si="36"/>
        <v>-2.475667272801203E-2</v>
      </c>
      <c r="K232" s="5" cm="1">
        <f t="array" ref="K232">_xlfn.STDEV.S(IF($C:$C=C232,$I:$I))</f>
        <v>0.42334565134305008</v>
      </c>
      <c r="L232" s="7">
        <f t="shared" si="39"/>
        <v>0.29145975522000278</v>
      </c>
      <c r="M232">
        <f t="shared" si="37"/>
        <v>0</v>
      </c>
      <c r="N232" s="9">
        <f t="shared" si="40"/>
        <v>0.27416763614204182</v>
      </c>
      <c r="O232">
        <f>COUNTIFS($B$2:B232,B232,$C$2:C232,C232,$D$2:D232,"&lt;"&amp;D232,$F$2:F232,1)</f>
        <v>3</v>
      </c>
      <c r="P232">
        <f t="shared" si="38"/>
        <v>0</v>
      </c>
      <c r="Q232" t="str">
        <f t="shared" si="41"/>
        <v>Monitor</v>
      </c>
      <c r="R232">
        <v>0</v>
      </c>
      <c r="S232">
        <f t="shared" si="42"/>
        <v>0</v>
      </c>
      <c r="T232">
        <f t="shared" si="43"/>
        <v>0</v>
      </c>
      <c r="U232" t="str">
        <f t="shared" si="44"/>
        <v>Improved Enough</v>
      </c>
      <c r="V232" t="str">
        <f t="shared" si="45"/>
        <v>Far</v>
      </c>
      <c r="W232" t="str">
        <f t="shared" si="46"/>
        <v>Normal</v>
      </c>
      <c r="X232" t="str">
        <f t="shared" si="47"/>
        <v>Allowed</v>
      </c>
    </row>
    <row r="233" spans="1:24" x14ac:dyDescent="0.3">
      <c r="A233" t="s">
        <v>10</v>
      </c>
      <c r="B233" t="s">
        <v>28</v>
      </c>
      <c r="C233" t="s">
        <v>15</v>
      </c>
      <c r="D233" s="3">
        <v>45808</v>
      </c>
      <c r="E233" s="6">
        <v>8.356290174471992E-2</v>
      </c>
      <c r="F233">
        <v>0</v>
      </c>
      <c r="G233" t="s">
        <v>13</v>
      </c>
      <c r="H233" s="6">
        <v>6.6000000000000003E-2</v>
      </c>
      <c r="I233" s="8">
        <v>6.3281031660478429E-3</v>
      </c>
      <c r="J233" s="5">
        <f t="shared" si="36"/>
        <v>-2.475667272801203E-2</v>
      </c>
      <c r="K233" s="5" cm="1">
        <f t="array" ref="K233">_xlfn.STDEV.S(IF($C:$C=C233,$I:$I))</f>
        <v>0.42334565134305008</v>
      </c>
      <c r="L233" s="7">
        <f t="shared" si="39"/>
        <v>7.3426467935703246E-2</v>
      </c>
      <c r="M233">
        <f t="shared" si="37"/>
        <v>0</v>
      </c>
      <c r="N233" s="9">
        <f t="shared" si="40"/>
        <v>0.26610457188969572</v>
      </c>
      <c r="O233">
        <f>COUNTIFS($B$2:B233,B233,$C$2:C233,C233,$D$2:D233,"&lt;"&amp;D233,$F$2:F233,1)</f>
        <v>3</v>
      </c>
      <c r="P233">
        <f t="shared" si="38"/>
        <v>0</v>
      </c>
      <c r="Q233" t="str">
        <f t="shared" si="41"/>
        <v>Monitor</v>
      </c>
      <c r="R233">
        <v>0</v>
      </c>
      <c r="S233">
        <f t="shared" si="42"/>
        <v>0</v>
      </c>
      <c r="T233">
        <f t="shared" si="43"/>
        <v>0</v>
      </c>
      <c r="U233" t="str">
        <f t="shared" si="44"/>
        <v>Not Improved Enough</v>
      </c>
      <c r="V233" t="str">
        <f t="shared" si="45"/>
        <v>Far</v>
      </c>
      <c r="W233" t="str">
        <f t="shared" si="46"/>
        <v>Normal</v>
      </c>
      <c r="X233" t="str">
        <f t="shared" si="47"/>
        <v>Allowed</v>
      </c>
    </row>
    <row r="234" spans="1:24" x14ac:dyDescent="0.3">
      <c r="A234" t="s">
        <v>10</v>
      </c>
      <c r="B234" t="s">
        <v>28</v>
      </c>
      <c r="C234" t="s">
        <v>15</v>
      </c>
      <c r="D234" s="3">
        <v>45838</v>
      </c>
      <c r="E234" s="6">
        <v>7.6853526220614823E-2</v>
      </c>
      <c r="F234">
        <v>0</v>
      </c>
      <c r="G234" t="s">
        <v>13</v>
      </c>
      <c r="H234" s="6">
        <v>6.6000000000000003E-2</v>
      </c>
      <c r="I234" s="8">
        <v>8.0291318085169788E-2</v>
      </c>
      <c r="J234" s="5">
        <f t="shared" si="36"/>
        <v>-2.475667272801203E-2</v>
      </c>
      <c r="K234" s="5" cm="1">
        <f t="array" ref="K234">_xlfn.STDEV.S(IF($C:$C=C234,$I:$I))</f>
        <v>0.42334565134305008</v>
      </c>
      <c r="L234" s="7">
        <f t="shared" si="39"/>
        <v>0.24813763996375196</v>
      </c>
      <c r="M234">
        <f t="shared" si="37"/>
        <v>0</v>
      </c>
      <c r="N234" s="9">
        <f t="shared" si="40"/>
        <v>0.16444736697901241</v>
      </c>
      <c r="O234">
        <f>COUNTIFS($B$2:B234,B234,$C$2:C234,C234,$D$2:D234,"&lt;"&amp;D234,$F$2:F234,1)</f>
        <v>3</v>
      </c>
      <c r="P234">
        <f t="shared" si="38"/>
        <v>0</v>
      </c>
      <c r="Q234" t="str">
        <f t="shared" si="41"/>
        <v>Monitor</v>
      </c>
      <c r="R234">
        <v>0</v>
      </c>
      <c r="S234">
        <f t="shared" si="42"/>
        <v>0</v>
      </c>
      <c r="T234">
        <f t="shared" si="43"/>
        <v>0</v>
      </c>
      <c r="U234" t="str">
        <f t="shared" si="44"/>
        <v>Improved Enough</v>
      </c>
      <c r="V234" t="str">
        <f t="shared" si="45"/>
        <v>Far</v>
      </c>
      <c r="W234" t="str">
        <f t="shared" si="46"/>
        <v>Normal</v>
      </c>
      <c r="X234" t="str">
        <f t="shared" si="47"/>
        <v>Allowed</v>
      </c>
    </row>
    <row r="235" spans="1:24" x14ac:dyDescent="0.3">
      <c r="A235" t="s">
        <v>10</v>
      </c>
      <c r="B235" t="s">
        <v>28</v>
      </c>
      <c r="C235" t="s">
        <v>15</v>
      </c>
      <c r="D235" s="3">
        <v>45869</v>
      </c>
      <c r="E235" s="6">
        <v>8.3848190644307152E-2</v>
      </c>
      <c r="F235">
        <v>1</v>
      </c>
      <c r="G235" t="s">
        <v>13</v>
      </c>
      <c r="H235" s="6">
        <v>6.6000000000000003E-2</v>
      </c>
      <c r="I235" s="8">
        <v>-9.1012927677690786E-2</v>
      </c>
      <c r="J235" s="5">
        <f t="shared" si="36"/>
        <v>-2.475667272801203E-2</v>
      </c>
      <c r="K235" s="5" cm="1">
        <f t="array" ref="K235">_xlfn.STDEV.S(IF($C:$C=C235,$I:$I))</f>
        <v>0.42334565134305008</v>
      </c>
      <c r="L235" s="7">
        <f t="shared" si="39"/>
        <v>-0.15650628449703682</v>
      </c>
      <c r="M235">
        <f t="shared" si="37"/>
        <v>0</v>
      </c>
      <c r="N235" s="9">
        <f t="shared" si="40"/>
        <v>0.27042713097435073</v>
      </c>
      <c r="O235">
        <f>COUNTIFS($B$2:B235,B235,$C$2:C235,C235,$D$2:D235,"&lt;"&amp;D235,$F$2:F235,1)</f>
        <v>3</v>
      </c>
      <c r="P235">
        <f t="shared" si="38"/>
        <v>0</v>
      </c>
      <c r="Q235" t="str">
        <f t="shared" si="41"/>
        <v>Monitor</v>
      </c>
      <c r="R235">
        <v>0</v>
      </c>
      <c r="S235">
        <f t="shared" si="42"/>
        <v>0</v>
      </c>
      <c r="T235">
        <f t="shared" si="43"/>
        <v>0</v>
      </c>
      <c r="U235" t="str">
        <f t="shared" si="44"/>
        <v>Not Improved Enough</v>
      </c>
      <c r="V235" t="str">
        <f t="shared" si="45"/>
        <v>Far</v>
      </c>
      <c r="W235" t="str">
        <f t="shared" si="46"/>
        <v>Normal</v>
      </c>
      <c r="X235" t="str">
        <f t="shared" si="47"/>
        <v>Allowed</v>
      </c>
    </row>
    <row r="236" spans="1:24" x14ac:dyDescent="0.3">
      <c r="A236" t="s">
        <v>10</v>
      </c>
      <c r="B236" t="s">
        <v>28</v>
      </c>
      <c r="C236" t="s">
        <v>15</v>
      </c>
      <c r="D236" s="3">
        <v>45900</v>
      </c>
      <c r="E236" s="6">
        <v>9.2657342657342656E-2</v>
      </c>
      <c r="F236">
        <v>0</v>
      </c>
      <c r="G236" t="s">
        <v>13</v>
      </c>
      <c r="H236" s="6">
        <v>6.6000000000000003E-2</v>
      </c>
      <c r="I236" s="8">
        <v>-0.1050607287449392</v>
      </c>
      <c r="J236" s="5">
        <f t="shared" si="36"/>
        <v>-2.475667272801203E-2</v>
      </c>
      <c r="K236" s="5" cm="1">
        <f t="array" ref="K236">_xlfn.STDEV.S(IF($C:$C=C236,$I:$I))</f>
        <v>0.42334565134305008</v>
      </c>
      <c r="L236" s="7">
        <f t="shared" si="39"/>
        <v>-0.18968910100331776</v>
      </c>
      <c r="M236">
        <f t="shared" si="37"/>
        <v>0</v>
      </c>
      <c r="N236" s="9">
        <f t="shared" si="40"/>
        <v>0.40389913117185838</v>
      </c>
      <c r="O236">
        <f>COUNTIFS($B$2:B236,B236,$C$2:C236,C236,$D$2:D236,"&lt;"&amp;D236,$F$2:F236,1)</f>
        <v>4</v>
      </c>
      <c r="P236">
        <f t="shared" si="38"/>
        <v>-1</v>
      </c>
      <c r="Q236" t="str">
        <f t="shared" si="41"/>
        <v>Monitor</v>
      </c>
      <c r="R236">
        <v>1</v>
      </c>
      <c r="S236">
        <f t="shared" si="42"/>
        <v>0</v>
      </c>
      <c r="T236">
        <f t="shared" si="43"/>
        <v>0</v>
      </c>
      <c r="U236" t="str">
        <f t="shared" si="44"/>
        <v>Not Improved Enough</v>
      </c>
      <c r="V236" t="str">
        <f t="shared" si="45"/>
        <v>Far</v>
      </c>
      <c r="W236" t="str">
        <f t="shared" si="46"/>
        <v>Normal</v>
      </c>
      <c r="X236" t="str">
        <f t="shared" si="47"/>
        <v>Allowed</v>
      </c>
    </row>
    <row r="237" spans="1:24" x14ac:dyDescent="0.3">
      <c r="A237" t="s">
        <v>10</v>
      </c>
      <c r="B237" t="s">
        <v>28</v>
      </c>
      <c r="C237" t="s">
        <v>15</v>
      </c>
      <c r="D237" s="3">
        <v>45930</v>
      </c>
      <c r="E237" s="6">
        <v>7.5287865367581933E-2</v>
      </c>
      <c r="F237">
        <v>0</v>
      </c>
      <c r="G237" t="s">
        <v>13</v>
      </c>
      <c r="H237" s="6">
        <v>6.6000000000000003E-2</v>
      </c>
      <c r="I237" s="8">
        <v>0.18745926433477611</v>
      </c>
      <c r="J237" s="5">
        <f t="shared" si="36"/>
        <v>-2.475667272801203E-2</v>
      </c>
      <c r="K237" s="5" cm="1">
        <f t="array" ref="K237">_xlfn.STDEV.S(IF($C:$C=C237,$I:$I))</f>
        <v>0.42334565134305008</v>
      </c>
      <c r="L237" s="7">
        <f t="shared" si="39"/>
        <v>0.50128290296484701</v>
      </c>
      <c r="M237">
        <f t="shared" si="37"/>
        <v>-1</v>
      </c>
      <c r="N237" s="9">
        <f t="shared" si="40"/>
        <v>0.14072523284215044</v>
      </c>
      <c r="O237">
        <f>COUNTIFS($B$2:B237,B237,$C$2:C237,C237,$D$2:D237,"&lt;"&amp;D237,$F$2:F237,1)</f>
        <v>4</v>
      </c>
      <c r="P237">
        <f t="shared" si="38"/>
        <v>0</v>
      </c>
      <c r="Q237" t="str">
        <f t="shared" si="41"/>
        <v>Monitor</v>
      </c>
      <c r="R237">
        <v>0</v>
      </c>
      <c r="S237">
        <f t="shared" si="42"/>
        <v>0</v>
      </c>
      <c r="T237">
        <f t="shared" si="43"/>
        <v>0</v>
      </c>
      <c r="U237" t="str">
        <f t="shared" si="44"/>
        <v>Improved Enough</v>
      </c>
      <c r="V237" t="str">
        <f t="shared" si="45"/>
        <v>Far</v>
      </c>
      <c r="W237" t="str">
        <f t="shared" si="46"/>
        <v>Normal</v>
      </c>
      <c r="X237" t="str">
        <f t="shared" si="47"/>
        <v>Allowed</v>
      </c>
    </row>
    <row r="238" spans="1:24" x14ac:dyDescent="0.3">
      <c r="A238" t="s">
        <v>10</v>
      </c>
      <c r="B238" t="s">
        <v>28</v>
      </c>
      <c r="C238" t="s">
        <v>15</v>
      </c>
      <c r="D238" s="3">
        <v>45961</v>
      </c>
      <c r="E238" s="6">
        <v>6.8688670829616411E-2</v>
      </c>
      <c r="F238">
        <v>0</v>
      </c>
      <c r="G238" t="s">
        <v>13</v>
      </c>
      <c r="H238" s="6">
        <v>6.6000000000000003E-2</v>
      </c>
      <c r="I238" s="8">
        <v>8.7652830980742044E-2</v>
      </c>
      <c r="J238" s="5">
        <f t="shared" si="36"/>
        <v>-2.475667272801203E-2</v>
      </c>
      <c r="K238" s="5" cm="1">
        <f t="array" ref="K238">_xlfn.STDEV.S(IF($C:$C=C238,$I:$I))</f>
        <v>0.42334565134305008</v>
      </c>
      <c r="L238" s="7">
        <f t="shared" si="39"/>
        <v>0.26552653452831898</v>
      </c>
      <c r="M238">
        <f t="shared" si="37"/>
        <v>0</v>
      </c>
      <c r="N238" s="9">
        <f t="shared" si="40"/>
        <v>4.0737436812369805E-2</v>
      </c>
      <c r="O238">
        <f>COUNTIFS($B$2:B238,B238,$C$2:C238,C238,$D$2:D238,"&lt;"&amp;D238,$F$2:F238,1)</f>
        <v>4</v>
      </c>
      <c r="P238">
        <f t="shared" si="38"/>
        <v>0</v>
      </c>
      <c r="Q238" t="str">
        <f t="shared" si="41"/>
        <v>Monitor</v>
      </c>
      <c r="R238">
        <v>0</v>
      </c>
      <c r="S238">
        <f t="shared" si="42"/>
        <v>0</v>
      </c>
      <c r="T238">
        <f t="shared" si="43"/>
        <v>0</v>
      </c>
      <c r="U238" t="str">
        <f t="shared" si="44"/>
        <v>Improved Enough</v>
      </c>
      <c r="V238" t="str">
        <f t="shared" si="45"/>
        <v>Far</v>
      </c>
      <c r="W238" t="str">
        <f t="shared" si="46"/>
        <v>Normal</v>
      </c>
      <c r="X238" t="str">
        <f t="shared" si="47"/>
        <v>Allowed</v>
      </c>
    </row>
    <row r="239" spans="1:24" x14ac:dyDescent="0.3">
      <c r="A239" t="s">
        <v>10</v>
      </c>
      <c r="B239" t="s">
        <v>28</v>
      </c>
      <c r="C239" t="s">
        <v>15</v>
      </c>
      <c r="D239" s="3">
        <v>45991</v>
      </c>
      <c r="E239" s="6">
        <v>5.7657657657657659E-2</v>
      </c>
      <c r="F239">
        <v>0</v>
      </c>
      <c r="G239" t="s">
        <v>13</v>
      </c>
      <c r="H239" s="6">
        <v>6.6000000000000003E-2</v>
      </c>
      <c r="I239" s="8">
        <v>0.16059436059436061</v>
      </c>
      <c r="J239" s="5">
        <f t="shared" si="36"/>
        <v>-2.475667272801203E-2</v>
      </c>
      <c r="K239" s="5" cm="1">
        <f t="array" ref="K239">_xlfn.STDEV.S(IF($C:$C=C239,$I:$I))</f>
        <v>0.42334565134305008</v>
      </c>
      <c r="L239" s="7">
        <f t="shared" si="39"/>
        <v>0.43782434692396771</v>
      </c>
      <c r="M239">
        <f t="shared" si="37"/>
        <v>0</v>
      </c>
      <c r="N239" s="9">
        <f t="shared" si="40"/>
        <v>-0.12639912639912643</v>
      </c>
      <c r="O239">
        <f>COUNTIFS($B$2:B239,B239,$C$2:C239,C239,$D$2:D239,"&lt;"&amp;D239,$F$2:F239,1)</f>
        <v>4</v>
      </c>
      <c r="P239">
        <f t="shared" si="38"/>
        <v>0</v>
      </c>
      <c r="Q239" t="str">
        <f t="shared" si="41"/>
        <v>Monitor</v>
      </c>
      <c r="R239">
        <v>0</v>
      </c>
      <c r="S239">
        <f t="shared" si="42"/>
        <v>0</v>
      </c>
      <c r="T239">
        <f t="shared" si="43"/>
        <v>0</v>
      </c>
      <c r="U239" t="str">
        <f t="shared" si="44"/>
        <v>Improved Enough</v>
      </c>
      <c r="V239" t="str">
        <f t="shared" si="45"/>
        <v>Close</v>
      </c>
      <c r="W239" t="str">
        <f t="shared" si="46"/>
        <v>Normal</v>
      </c>
      <c r="X239" t="str">
        <f t="shared" si="47"/>
        <v>Allowed</v>
      </c>
    </row>
    <row r="240" spans="1:24" x14ac:dyDescent="0.3">
      <c r="A240" t="s">
        <v>10</v>
      </c>
      <c r="B240" t="s">
        <v>28</v>
      </c>
      <c r="C240" t="s">
        <v>16</v>
      </c>
      <c r="D240" s="3">
        <v>45535</v>
      </c>
      <c r="E240" s="6">
        <v>0.15573770491803279</v>
      </c>
      <c r="F240">
        <v>0</v>
      </c>
      <c r="G240" t="s">
        <v>17</v>
      </c>
      <c r="H240" s="6">
        <v>0.16400000000000001</v>
      </c>
      <c r="I240" s="8">
        <v>2.0947176684881951E-2</v>
      </c>
      <c r="J240" s="5">
        <f t="shared" si="36"/>
        <v>2.6472445732452773E-2</v>
      </c>
      <c r="K240" s="5" cm="1">
        <f t="array" ref="K240">_xlfn.STDEV.S(IF($C:$C=C240,$I:$I))</f>
        <v>0.13493378643970674</v>
      </c>
      <c r="L240" s="7">
        <f t="shared" si="39"/>
        <v>-4.0948002671219119E-2</v>
      </c>
      <c r="M240">
        <f t="shared" si="37"/>
        <v>0</v>
      </c>
      <c r="N240" s="9">
        <f t="shared" si="40"/>
        <v>5.0379848060775688E-2</v>
      </c>
      <c r="O240">
        <f>COUNTIFS($B$2:B240,B240,$C$2:C240,C240,$D$2:D240,"&lt;"&amp;D240,$F$2:F240,1)</f>
        <v>0</v>
      </c>
      <c r="P240">
        <f t="shared" si="38"/>
        <v>0</v>
      </c>
      <c r="Q240" t="str">
        <f t="shared" si="41"/>
        <v>Monitor</v>
      </c>
      <c r="R240">
        <v>0</v>
      </c>
      <c r="S240">
        <f t="shared" si="42"/>
        <v>0</v>
      </c>
      <c r="T240">
        <f t="shared" si="43"/>
        <v>0</v>
      </c>
      <c r="U240" t="str">
        <f t="shared" si="44"/>
        <v>Improved Enough</v>
      </c>
      <c r="V240" t="str">
        <f t="shared" si="45"/>
        <v>Far</v>
      </c>
      <c r="W240" t="str">
        <f t="shared" si="46"/>
        <v>Normal</v>
      </c>
      <c r="X240" t="str">
        <f t="shared" si="47"/>
        <v>Allowed</v>
      </c>
    </row>
    <row r="241" spans="1:24" x14ac:dyDescent="0.3">
      <c r="A241" t="s">
        <v>10</v>
      </c>
      <c r="B241" t="s">
        <v>28</v>
      </c>
      <c r="C241" t="s">
        <v>16</v>
      </c>
      <c r="D241" s="3">
        <v>45565</v>
      </c>
      <c r="E241" s="6">
        <v>0.14399999999999999</v>
      </c>
      <c r="F241">
        <v>0</v>
      </c>
      <c r="G241" t="s">
        <v>17</v>
      </c>
      <c r="H241" s="6">
        <v>0.16400000000000001</v>
      </c>
      <c r="I241" s="8">
        <v>-7.5368421052631682E-2</v>
      </c>
      <c r="J241" s="5">
        <f t="shared" si="36"/>
        <v>2.6472445732452773E-2</v>
      </c>
      <c r="K241" s="5" cm="1">
        <f t="array" ref="K241">_xlfn.STDEV.S(IF($C:$C=C241,$I:$I))</f>
        <v>0.13493378643970674</v>
      </c>
      <c r="L241" s="7">
        <f t="shared" si="39"/>
        <v>-0.75474697236477994</v>
      </c>
      <c r="M241">
        <f t="shared" si="37"/>
        <v>1</v>
      </c>
      <c r="N241" s="9">
        <f t="shared" si="40"/>
        <v>0.12195121951219523</v>
      </c>
      <c r="O241">
        <f>COUNTIFS($B$2:B241,B241,$C$2:C241,C241,$D$2:D241,"&lt;"&amp;D241,$F$2:F241,1)</f>
        <v>0</v>
      </c>
      <c r="P241">
        <f t="shared" si="38"/>
        <v>0</v>
      </c>
      <c r="Q241" t="str">
        <f t="shared" si="41"/>
        <v>Intervene</v>
      </c>
      <c r="R241">
        <v>0</v>
      </c>
      <c r="S241">
        <f t="shared" si="42"/>
        <v>1</v>
      </c>
      <c r="T241">
        <f t="shared" si="43"/>
        <v>1</v>
      </c>
      <c r="U241" t="str">
        <f t="shared" si="44"/>
        <v>Not Improved Enough</v>
      </c>
      <c r="V241" t="str">
        <f t="shared" si="45"/>
        <v>Far</v>
      </c>
      <c r="W241" t="str">
        <f t="shared" si="46"/>
        <v>Abnormal</v>
      </c>
      <c r="X241" t="str">
        <f t="shared" si="47"/>
        <v>Allowed</v>
      </c>
    </row>
    <row r="242" spans="1:24" x14ac:dyDescent="0.3">
      <c r="A242" t="s">
        <v>10</v>
      </c>
      <c r="B242" t="s">
        <v>28</v>
      </c>
      <c r="C242" t="s">
        <v>16</v>
      </c>
      <c r="D242" s="3">
        <v>45596</v>
      </c>
      <c r="E242" s="6">
        <v>0.14399999999999999</v>
      </c>
      <c r="F242">
        <v>0</v>
      </c>
      <c r="G242" t="s">
        <v>17</v>
      </c>
      <c r="H242" s="6">
        <v>0.16400000000000001</v>
      </c>
      <c r="I242" s="8">
        <v>0</v>
      </c>
      <c r="J242" s="5">
        <f t="shared" si="36"/>
        <v>2.6472445732452773E-2</v>
      </c>
      <c r="K242" s="5" cm="1">
        <f t="array" ref="K242">_xlfn.STDEV.S(IF($C:$C=C242,$I:$I))</f>
        <v>0.13493378643970674</v>
      </c>
      <c r="L242" s="7">
        <f t="shared" si="39"/>
        <v>-0.19618841530309838</v>
      </c>
      <c r="M242">
        <f t="shared" si="37"/>
        <v>0</v>
      </c>
      <c r="N242" s="9">
        <f t="shared" si="40"/>
        <v>0.12195121951219523</v>
      </c>
      <c r="O242">
        <f>COUNTIFS($B$2:B242,B242,$C$2:C242,C242,$D$2:D242,"&lt;"&amp;D242,$F$2:F242,1)</f>
        <v>0</v>
      </c>
      <c r="P242">
        <f t="shared" si="38"/>
        <v>0</v>
      </c>
      <c r="Q242" t="str">
        <f t="shared" si="41"/>
        <v>Monitor</v>
      </c>
      <c r="R242">
        <v>0</v>
      </c>
      <c r="S242">
        <f t="shared" si="42"/>
        <v>0</v>
      </c>
      <c r="T242">
        <f t="shared" si="43"/>
        <v>0</v>
      </c>
      <c r="U242" t="str">
        <f t="shared" si="44"/>
        <v>Not Improved Enough</v>
      </c>
      <c r="V242" t="str">
        <f t="shared" si="45"/>
        <v>Far</v>
      </c>
      <c r="W242" t="str">
        <f t="shared" si="46"/>
        <v>Normal</v>
      </c>
      <c r="X242" t="str">
        <f t="shared" si="47"/>
        <v>Allowed</v>
      </c>
    </row>
    <row r="243" spans="1:24" x14ac:dyDescent="0.3">
      <c r="A243" t="s">
        <v>10</v>
      </c>
      <c r="B243" t="s">
        <v>28</v>
      </c>
      <c r="C243" t="s">
        <v>16</v>
      </c>
      <c r="D243" s="3">
        <v>45626</v>
      </c>
      <c r="E243" s="6">
        <v>0.133858268</v>
      </c>
      <c r="F243">
        <v>0</v>
      </c>
      <c r="G243" t="s">
        <v>17</v>
      </c>
      <c r="H243" s="6">
        <v>0.16400000000000001</v>
      </c>
      <c r="I243" s="8">
        <v>-7.0428694444444356E-2</v>
      </c>
      <c r="J243" s="5">
        <f t="shared" si="36"/>
        <v>2.6472445732452773E-2</v>
      </c>
      <c r="K243" s="5" cm="1">
        <f t="array" ref="K243">_xlfn.STDEV.S(IF($C:$C=C243,$I:$I))</f>
        <v>0.13493378643970674</v>
      </c>
      <c r="L243" s="7">
        <f t="shared" si="39"/>
        <v>-0.71813844948459993</v>
      </c>
      <c r="M243">
        <f t="shared" si="37"/>
        <v>1</v>
      </c>
      <c r="N243" s="9">
        <f t="shared" si="40"/>
        <v>0.18379104878048783</v>
      </c>
      <c r="O243">
        <f>COUNTIFS($B$2:B243,B243,$C$2:C243,C243,$D$2:D243,"&lt;"&amp;D243,$F$2:F243,1)</f>
        <v>0</v>
      </c>
      <c r="P243">
        <f t="shared" si="38"/>
        <v>0</v>
      </c>
      <c r="Q243" t="str">
        <f t="shared" si="41"/>
        <v>Intervene</v>
      </c>
      <c r="R243">
        <v>0</v>
      </c>
      <c r="S243">
        <f t="shared" si="42"/>
        <v>1</v>
      </c>
      <c r="T243">
        <f t="shared" si="43"/>
        <v>1</v>
      </c>
      <c r="U243" t="str">
        <f t="shared" si="44"/>
        <v>Not Improved Enough</v>
      </c>
      <c r="V243" t="str">
        <f t="shared" si="45"/>
        <v>Far</v>
      </c>
      <c r="W243" t="str">
        <f t="shared" si="46"/>
        <v>Abnormal</v>
      </c>
      <c r="X243" t="str">
        <f t="shared" si="47"/>
        <v>Allowed</v>
      </c>
    </row>
    <row r="244" spans="1:24" x14ac:dyDescent="0.3">
      <c r="A244" t="s">
        <v>10</v>
      </c>
      <c r="B244" t="s">
        <v>28</v>
      </c>
      <c r="C244" t="s">
        <v>16</v>
      </c>
      <c r="D244" s="3">
        <v>45657</v>
      </c>
      <c r="E244" s="6">
        <v>0.13178294573643409</v>
      </c>
      <c r="F244">
        <v>0</v>
      </c>
      <c r="G244" t="s">
        <v>17</v>
      </c>
      <c r="H244" s="6">
        <v>0.16400000000000001</v>
      </c>
      <c r="I244" s="8">
        <v>-1.55038780538077E-2</v>
      </c>
      <c r="J244" s="5">
        <f t="shared" si="36"/>
        <v>2.6472445732452773E-2</v>
      </c>
      <c r="K244" s="5" cm="1">
        <f t="array" ref="K244">_xlfn.STDEV.S(IF($C:$C=C244,$I:$I))</f>
        <v>0.13493378643970674</v>
      </c>
      <c r="L244" s="7">
        <f t="shared" si="39"/>
        <v>-0.31108831148836841</v>
      </c>
      <c r="M244">
        <f t="shared" si="37"/>
        <v>0</v>
      </c>
      <c r="N244" s="9">
        <f t="shared" si="40"/>
        <v>0.19644545282662143</v>
      </c>
      <c r="O244">
        <f>COUNTIFS($B$2:B244,B244,$C$2:C244,C244,$D$2:D244,"&lt;"&amp;D244,$F$2:F244,1)</f>
        <v>0</v>
      </c>
      <c r="P244">
        <f t="shared" si="38"/>
        <v>0</v>
      </c>
      <c r="Q244" t="str">
        <f t="shared" si="41"/>
        <v>Monitor</v>
      </c>
      <c r="R244">
        <v>0</v>
      </c>
      <c r="S244">
        <f t="shared" si="42"/>
        <v>0</v>
      </c>
      <c r="T244">
        <f t="shared" si="43"/>
        <v>0</v>
      </c>
      <c r="U244" t="str">
        <f t="shared" si="44"/>
        <v>Not Improved Enough</v>
      </c>
      <c r="V244" t="str">
        <f t="shared" si="45"/>
        <v>Far</v>
      </c>
      <c r="W244" t="str">
        <f t="shared" si="46"/>
        <v>Normal</v>
      </c>
      <c r="X244" t="str">
        <f t="shared" si="47"/>
        <v>Allowed</v>
      </c>
    </row>
    <row r="245" spans="1:24" x14ac:dyDescent="0.3">
      <c r="A245" t="s">
        <v>10</v>
      </c>
      <c r="B245" t="s">
        <v>28</v>
      </c>
      <c r="C245" t="s">
        <v>16</v>
      </c>
      <c r="D245" s="3">
        <v>45688</v>
      </c>
      <c r="E245" s="6">
        <v>0.1328125</v>
      </c>
      <c r="F245">
        <v>0</v>
      </c>
      <c r="G245" t="s">
        <v>17</v>
      </c>
      <c r="H245" s="6">
        <v>0.16400000000000001</v>
      </c>
      <c r="I245" s="8">
        <v>7.8125000000001197E-3</v>
      </c>
      <c r="J245" s="5">
        <f t="shared" si="36"/>
        <v>2.6472445732452773E-2</v>
      </c>
      <c r="K245" s="5" cm="1">
        <f t="array" ref="K245">_xlfn.STDEV.S(IF($C:$C=C245,$I:$I))</f>
        <v>0.13493378643970674</v>
      </c>
      <c r="L245" s="7">
        <f t="shared" si="39"/>
        <v>-0.13828964727667065</v>
      </c>
      <c r="M245">
        <f t="shared" si="37"/>
        <v>0</v>
      </c>
      <c r="N245" s="9">
        <f t="shared" si="40"/>
        <v>0.19016768292682931</v>
      </c>
      <c r="O245">
        <f>COUNTIFS($B$2:B245,B245,$C$2:C245,C245,$D$2:D245,"&lt;"&amp;D245,$F$2:F245,1)</f>
        <v>0</v>
      </c>
      <c r="P245">
        <f t="shared" si="38"/>
        <v>0</v>
      </c>
      <c r="Q245" t="str">
        <f t="shared" si="41"/>
        <v>Monitor</v>
      </c>
      <c r="R245">
        <v>0</v>
      </c>
      <c r="S245">
        <f t="shared" si="42"/>
        <v>0</v>
      </c>
      <c r="T245">
        <f t="shared" si="43"/>
        <v>0</v>
      </c>
      <c r="U245" t="str">
        <f t="shared" si="44"/>
        <v>Not Improved Enough</v>
      </c>
      <c r="V245" t="str">
        <f t="shared" si="45"/>
        <v>Far</v>
      </c>
      <c r="W245" t="str">
        <f t="shared" si="46"/>
        <v>Normal</v>
      </c>
      <c r="X245" t="str">
        <f t="shared" si="47"/>
        <v>Allowed</v>
      </c>
    </row>
    <row r="246" spans="1:24" x14ac:dyDescent="0.3">
      <c r="A246" t="s">
        <v>10</v>
      </c>
      <c r="B246" t="s">
        <v>28</v>
      </c>
      <c r="C246" t="s">
        <v>16</v>
      </c>
      <c r="D246" s="3">
        <v>45716</v>
      </c>
      <c r="E246" s="6">
        <v>0.1328125</v>
      </c>
      <c r="F246">
        <v>1</v>
      </c>
      <c r="G246" t="s">
        <v>17</v>
      </c>
      <c r="H246" s="6">
        <v>0.16400000000000001</v>
      </c>
      <c r="I246" s="8">
        <v>0</v>
      </c>
      <c r="J246" s="5">
        <f t="shared" si="36"/>
        <v>2.6472445732452773E-2</v>
      </c>
      <c r="K246" s="5" cm="1">
        <f t="array" ref="K246">_xlfn.STDEV.S(IF($C:$C=C246,$I:$I))</f>
        <v>0.13493378643970674</v>
      </c>
      <c r="L246" s="7">
        <f t="shared" si="39"/>
        <v>-0.19618841530309838</v>
      </c>
      <c r="M246">
        <f t="shared" si="37"/>
        <v>0</v>
      </c>
      <c r="N246" s="9">
        <f t="shared" si="40"/>
        <v>0.19016768292682931</v>
      </c>
      <c r="O246">
        <f>COUNTIFS($B$2:B246,B246,$C$2:C246,C246,$D$2:D246,"&lt;"&amp;D246,$F$2:F246,1)</f>
        <v>0</v>
      </c>
      <c r="P246">
        <f t="shared" si="38"/>
        <v>0</v>
      </c>
      <c r="Q246" t="str">
        <f t="shared" si="41"/>
        <v>Monitor</v>
      </c>
      <c r="R246">
        <v>0</v>
      </c>
      <c r="S246">
        <f t="shared" si="42"/>
        <v>0</v>
      </c>
      <c r="T246">
        <f t="shared" si="43"/>
        <v>0</v>
      </c>
      <c r="U246" t="str">
        <f t="shared" si="44"/>
        <v>Not Improved Enough</v>
      </c>
      <c r="V246" t="str">
        <f t="shared" si="45"/>
        <v>Far</v>
      </c>
      <c r="W246" t="str">
        <f t="shared" si="46"/>
        <v>Normal</v>
      </c>
      <c r="X246" t="str">
        <f t="shared" si="47"/>
        <v>Allowed</v>
      </c>
    </row>
    <row r="247" spans="1:24" x14ac:dyDescent="0.3">
      <c r="A247" t="s">
        <v>10</v>
      </c>
      <c r="B247" t="s">
        <v>28</v>
      </c>
      <c r="C247" t="s">
        <v>16</v>
      </c>
      <c r="D247" s="3">
        <v>45747</v>
      </c>
      <c r="E247" s="6">
        <v>0.14615384615384619</v>
      </c>
      <c r="F247">
        <v>0</v>
      </c>
      <c r="G247" t="s">
        <v>17</v>
      </c>
      <c r="H247" s="6">
        <v>0.16400000000000001</v>
      </c>
      <c r="I247" s="8">
        <v>0.1004524886877831</v>
      </c>
      <c r="J247" s="5">
        <f t="shared" si="36"/>
        <v>2.6472445732452773E-2</v>
      </c>
      <c r="K247" s="5" cm="1">
        <f t="array" ref="K247">_xlfn.STDEV.S(IF($C:$C=C247,$I:$I))</f>
        <v>0.13493378643970674</v>
      </c>
      <c r="L247" s="7">
        <f t="shared" si="39"/>
        <v>0.54826922824393776</v>
      </c>
      <c r="M247">
        <f t="shared" si="37"/>
        <v>-1</v>
      </c>
      <c r="N247" s="9">
        <f t="shared" si="40"/>
        <v>0.10881801125703547</v>
      </c>
      <c r="O247">
        <f>COUNTIFS($B$2:B247,B247,$C$2:C247,C247,$D$2:D247,"&lt;"&amp;D247,$F$2:F247,1)</f>
        <v>1</v>
      </c>
      <c r="P247">
        <f t="shared" si="38"/>
        <v>1</v>
      </c>
      <c r="Q247" t="str">
        <f t="shared" si="41"/>
        <v>Monitor</v>
      </c>
      <c r="R247">
        <v>1</v>
      </c>
      <c r="S247">
        <f t="shared" si="42"/>
        <v>0</v>
      </c>
      <c r="T247">
        <f t="shared" si="43"/>
        <v>0</v>
      </c>
      <c r="U247" t="str">
        <f t="shared" si="44"/>
        <v>Improved Enough</v>
      </c>
      <c r="V247" t="str">
        <f t="shared" si="45"/>
        <v>Far</v>
      </c>
      <c r="W247" t="str">
        <f t="shared" si="46"/>
        <v>Normal</v>
      </c>
      <c r="X247" t="str">
        <f t="shared" si="47"/>
        <v>Allowed</v>
      </c>
    </row>
    <row r="248" spans="1:24" x14ac:dyDescent="0.3">
      <c r="A248" t="s">
        <v>10</v>
      </c>
      <c r="B248" t="s">
        <v>28</v>
      </c>
      <c r="C248" t="s">
        <v>16</v>
      </c>
      <c r="D248" s="3">
        <v>45777</v>
      </c>
      <c r="E248" s="6">
        <v>0.15267175572519079</v>
      </c>
      <c r="F248">
        <v>1</v>
      </c>
      <c r="G248" t="s">
        <v>17</v>
      </c>
      <c r="H248" s="6">
        <v>0.16400000000000001</v>
      </c>
      <c r="I248" s="8">
        <v>4.459622338288409E-2</v>
      </c>
      <c r="J248" s="5">
        <f t="shared" si="36"/>
        <v>2.6472445732452773E-2</v>
      </c>
      <c r="K248" s="5" cm="1">
        <f t="array" ref="K248">_xlfn.STDEV.S(IF($C:$C=C248,$I:$I))</f>
        <v>0.13493378643970674</v>
      </c>
      <c r="L248" s="7">
        <f t="shared" si="39"/>
        <v>0.13431608293694233</v>
      </c>
      <c r="M248">
        <f t="shared" si="37"/>
        <v>0</v>
      </c>
      <c r="N248" s="9">
        <f t="shared" si="40"/>
        <v>6.9074660212251324E-2</v>
      </c>
      <c r="O248">
        <f>COUNTIFS($B$2:B248,B248,$C$2:C248,C248,$D$2:D248,"&lt;"&amp;D248,$F$2:F248,1)</f>
        <v>1</v>
      </c>
      <c r="P248">
        <f t="shared" si="38"/>
        <v>0</v>
      </c>
      <c r="Q248" t="str">
        <f t="shared" si="41"/>
        <v>Monitor</v>
      </c>
      <c r="R248">
        <v>0</v>
      </c>
      <c r="S248">
        <f t="shared" si="42"/>
        <v>0</v>
      </c>
      <c r="T248">
        <f t="shared" si="43"/>
        <v>0</v>
      </c>
      <c r="U248" t="str">
        <f t="shared" si="44"/>
        <v>Improved Enough</v>
      </c>
      <c r="V248" t="str">
        <f t="shared" si="45"/>
        <v>Far</v>
      </c>
      <c r="W248" t="str">
        <f t="shared" si="46"/>
        <v>Normal</v>
      </c>
      <c r="X248" t="str">
        <f t="shared" si="47"/>
        <v>Allowed</v>
      </c>
    </row>
    <row r="249" spans="1:24" x14ac:dyDescent="0.3">
      <c r="A249" t="s">
        <v>10</v>
      </c>
      <c r="B249" t="s">
        <v>28</v>
      </c>
      <c r="C249" t="s">
        <v>16</v>
      </c>
      <c r="D249" s="3">
        <v>45808</v>
      </c>
      <c r="E249" s="6">
        <v>0.15037593984962411</v>
      </c>
      <c r="F249">
        <v>0</v>
      </c>
      <c r="G249" t="s">
        <v>17</v>
      </c>
      <c r="H249" s="6">
        <v>0.16400000000000001</v>
      </c>
      <c r="I249" s="8">
        <v>-1.503759398496177E-2</v>
      </c>
      <c r="J249" s="5">
        <f t="shared" si="36"/>
        <v>2.6472445732452773E-2</v>
      </c>
      <c r="K249" s="5" cm="1">
        <f t="array" ref="K249">_xlfn.STDEV.S(IF($C:$C=C249,$I:$I))</f>
        <v>0.13493378643970674</v>
      </c>
      <c r="L249" s="7">
        <f t="shared" si="39"/>
        <v>-0.3076326605268927</v>
      </c>
      <c r="M249">
        <f t="shared" si="37"/>
        <v>0</v>
      </c>
      <c r="N249" s="9">
        <f t="shared" si="40"/>
        <v>8.3073537502292072E-2</v>
      </c>
      <c r="O249">
        <f>COUNTIFS($B$2:B249,B249,$C$2:C249,C249,$D$2:D249,"&lt;"&amp;D249,$F$2:F249,1)</f>
        <v>2</v>
      </c>
      <c r="P249">
        <f t="shared" si="38"/>
        <v>-1</v>
      </c>
      <c r="Q249" t="str">
        <f t="shared" si="41"/>
        <v>Monitor</v>
      </c>
      <c r="R249">
        <v>1</v>
      </c>
      <c r="S249">
        <f t="shared" si="42"/>
        <v>0</v>
      </c>
      <c r="T249">
        <f t="shared" si="43"/>
        <v>0</v>
      </c>
      <c r="U249" t="str">
        <f t="shared" si="44"/>
        <v>Not Improved Enough</v>
      </c>
      <c r="V249" t="str">
        <f t="shared" si="45"/>
        <v>Far</v>
      </c>
      <c r="W249" t="str">
        <f t="shared" si="46"/>
        <v>Normal</v>
      </c>
      <c r="X249" t="str">
        <f t="shared" si="47"/>
        <v>Allowed</v>
      </c>
    </row>
    <row r="250" spans="1:24" x14ac:dyDescent="0.3">
      <c r="A250" t="s">
        <v>10</v>
      </c>
      <c r="B250" t="s">
        <v>28</v>
      </c>
      <c r="C250" t="s">
        <v>16</v>
      </c>
      <c r="D250" s="3">
        <v>45838</v>
      </c>
      <c r="E250" s="6">
        <v>0.15037593984962411</v>
      </c>
      <c r="F250">
        <v>0</v>
      </c>
      <c r="G250" t="s">
        <v>17</v>
      </c>
      <c r="H250" s="6">
        <v>0.16400000000000001</v>
      </c>
      <c r="I250" s="8">
        <v>0</v>
      </c>
      <c r="J250" s="5">
        <f t="shared" si="36"/>
        <v>2.6472445732452773E-2</v>
      </c>
      <c r="K250" s="5" cm="1">
        <f t="array" ref="K250">_xlfn.STDEV.S(IF($C:$C=C250,$I:$I))</f>
        <v>0.13493378643970674</v>
      </c>
      <c r="L250" s="7">
        <f t="shared" si="39"/>
        <v>-0.19618841530309838</v>
      </c>
      <c r="M250">
        <f t="shared" si="37"/>
        <v>0</v>
      </c>
      <c r="N250" s="9">
        <f t="shared" si="40"/>
        <v>8.3073537502292072E-2</v>
      </c>
      <c r="O250">
        <f>COUNTIFS($B$2:B250,B250,$C$2:C250,C250,$D$2:D250,"&lt;"&amp;D250,$F$2:F250,1)</f>
        <v>2</v>
      </c>
      <c r="P250">
        <f t="shared" si="38"/>
        <v>0</v>
      </c>
      <c r="Q250" t="str">
        <f t="shared" si="41"/>
        <v>Monitor</v>
      </c>
      <c r="R250">
        <v>0</v>
      </c>
      <c r="S250">
        <f t="shared" si="42"/>
        <v>0</v>
      </c>
      <c r="T250">
        <f t="shared" si="43"/>
        <v>0</v>
      </c>
      <c r="U250" t="str">
        <f t="shared" si="44"/>
        <v>Not Improved Enough</v>
      </c>
      <c r="V250" t="str">
        <f t="shared" si="45"/>
        <v>Far</v>
      </c>
      <c r="W250" t="str">
        <f t="shared" si="46"/>
        <v>Normal</v>
      </c>
      <c r="X250" t="str">
        <f t="shared" si="47"/>
        <v>Allowed</v>
      </c>
    </row>
    <row r="251" spans="1:24" x14ac:dyDescent="0.3">
      <c r="A251" t="s">
        <v>10</v>
      </c>
      <c r="B251" t="s">
        <v>28</v>
      </c>
      <c r="C251" t="s">
        <v>16</v>
      </c>
      <c r="D251" s="3">
        <v>45869</v>
      </c>
      <c r="E251" s="6">
        <v>0.1470588235294118</v>
      </c>
      <c r="F251">
        <v>0</v>
      </c>
      <c r="G251" t="s">
        <v>17</v>
      </c>
      <c r="H251" s="6">
        <v>0.16400000000000001</v>
      </c>
      <c r="I251" s="8">
        <v>-2.2058823529411849E-2</v>
      </c>
      <c r="J251" s="5">
        <f t="shared" si="36"/>
        <v>2.6472445732452773E-2</v>
      </c>
      <c r="K251" s="5" cm="1">
        <f t="array" ref="K251">_xlfn.STDEV.S(IF($C:$C=C251,$I:$I))</f>
        <v>0.13493378643970674</v>
      </c>
      <c r="L251" s="7">
        <f t="shared" si="39"/>
        <v>-0.35966728973065715</v>
      </c>
      <c r="M251">
        <f t="shared" si="37"/>
        <v>0</v>
      </c>
      <c r="N251" s="9">
        <f t="shared" si="40"/>
        <v>0.10329985652797688</v>
      </c>
      <c r="O251">
        <f>COUNTIFS($B$2:B251,B251,$C$2:C251,C251,$D$2:D251,"&lt;"&amp;D251,$F$2:F251,1)</f>
        <v>2</v>
      </c>
      <c r="P251">
        <f t="shared" si="38"/>
        <v>0</v>
      </c>
      <c r="Q251" t="str">
        <f t="shared" si="41"/>
        <v>Monitor</v>
      </c>
      <c r="R251">
        <v>0</v>
      </c>
      <c r="S251">
        <f t="shared" si="42"/>
        <v>0</v>
      </c>
      <c r="T251">
        <f t="shared" si="43"/>
        <v>0</v>
      </c>
      <c r="U251" t="str">
        <f t="shared" si="44"/>
        <v>Not Improved Enough</v>
      </c>
      <c r="V251" t="str">
        <f t="shared" si="45"/>
        <v>Far</v>
      </c>
      <c r="W251" t="str">
        <f t="shared" si="46"/>
        <v>Normal</v>
      </c>
      <c r="X251" t="str">
        <f t="shared" si="47"/>
        <v>Allowed</v>
      </c>
    </row>
    <row r="252" spans="1:24" x14ac:dyDescent="0.3">
      <c r="A252" t="s">
        <v>10</v>
      </c>
      <c r="B252" t="s">
        <v>28</v>
      </c>
      <c r="C252" t="s">
        <v>16</v>
      </c>
      <c r="D252" s="3">
        <v>45900</v>
      </c>
      <c r="E252" s="6">
        <v>0.15328467153284669</v>
      </c>
      <c r="F252">
        <v>0</v>
      </c>
      <c r="G252" t="s">
        <v>17</v>
      </c>
      <c r="H252" s="6">
        <v>0.16400000000000001</v>
      </c>
      <c r="I252" s="8">
        <v>4.2335766423357291E-2</v>
      </c>
      <c r="J252" s="5">
        <f t="shared" si="36"/>
        <v>2.6472445732452773E-2</v>
      </c>
      <c r="K252" s="5" cm="1">
        <f t="array" ref="K252">_xlfn.STDEV.S(IF($C:$C=C252,$I:$I))</f>
        <v>0.13493378643970674</v>
      </c>
      <c r="L252" s="7">
        <f t="shared" si="39"/>
        <v>0.11756374077587171</v>
      </c>
      <c r="M252">
        <f t="shared" si="37"/>
        <v>0</v>
      </c>
      <c r="N252" s="9">
        <f t="shared" si="40"/>
        <v>6.5337368702154341E-2</v>
      </c>
      <c r="O252">
        <f>COUNTIFS($B$2:B252,B252,$C$2:C252,C252,$D$2:D252,"&lt;"&amp;D252,$F$2:F252,1)</f>
        <v>2</v>
      </c>
      <c r="P252">
        <f t="shared" si="38"/>
        <v>0</v>
      </c>
      <c r="Q252" t="str">
        <f t="shared" si="41"/>
        <v>Monitor</v>
      </c>
      <c r="R252">
        <v>0</v>
      </c>
      <c r="S252">
        <f t="shared" si="42"/>
        <v>0</v>
      </c>
      <c r="T252">
        <f t="shared" si="43"/>
        <v>0</v>
      </c>
      <c r="U252" t="str">
        <f t="shared" si="44"/>
        <v>Improved Enough</v>
      </c>
      <c r="V252" t="str">
        <f t="shared" si="45"/>
        <v>Far</v>
      </c>
      <c r="W252" t="str">
        <f t="shared" si="46"/>
        <v>Normal</v>
      </c>
      <c r="X252" t="str">
        <f t="shared" si="47"/>
        <v>Allowed</v>
      </c>
    </row>
    <row r="253" spans="1:24" x14ac:dyDescent="0.3">
      <c r="A253" t="s">
        <v>10</v>
      </c>
      <c r="B253" t="s">
        <v>28</v>
      </c>
      <c r="C253" t="s">
        <v>16</v>
      </c>
      <c r="D253" s="3">
        <v>45930</v>
      </c>
      <c r="E253" s="6">
        <v>0.16666666666666671</v>
      </c>
      <c r="F253">
        <v>0</v>
      </c>
      <c r="G253" t="s">
        <v>17</v>
      </c>
      <c r="H253" s="6">
        <v>0.16400000000000001</v>
      </c>
      <c r="I253" s="8">
        <v>8.7301587301587755E-2</v>
      </c>
      <c r="J253" s="5">
        <f t="shared" si="36"/>
        <v>2.6472445732452773E-2</v>
      </c>
      <c r="K253" s="5" cm="1">
        <f t="array" ref="K253">_xlfn.STDEV.S(IF($C:$C=C253,$I:$I))</f>
        <v>0.13493378643970674</v>
      </c>
      <c r="L253" s="7">
        <f t="shared" si="39"/>
        <v>0.45080734169062708</v>
      </c>
      <c r="M253">
        <f t="shared" si="37"/>
        <v>0</v>
      </c>
      <c r="N253" s="9">
        <f t="shared" si="40"/>
        <v>-1.6260162601626257E-2</v>
      </c>
      <c r="O253">
        <f>COUNTIFS($B$2:B253,B253,$C$2:C253,C253,$D$2:D253,"&lt;"&amp;D253,$F$2:F253,1)</f>
        <v>2</v>
      </c>
      <c r="P253">
        <f t="shared" si="38"/>
        <v>0</v>
      </c>
      <c r="Q253" t="str">
        <f t="shared" si="41"/>
        <v>Monitor</v>
      </c>
      <c r="R253">
        <v>0</v>
      </c>
      <c r="S253">
        <f t="shared" si="42"/>
        <v>0</v>
      </c>
      <c r="T253">
        <f t="shared" si="43"/>
        <v>0</v>
      </c>
      <c r="U253" t="str">
        <f t="shared" si="44"/>
        <v>Improved Enough</v>
      </c>
      <c r="V253" t="str">
        <f t="shared" si="45"/>
        <v>Close</v>
      </c>
      <c r="W253" t="str">
        <f t="shared" si="46"/>
        <v>Normal</v>
      </c>
      <c r="X253" t="str">
        <f t="shared" si="47"/>
        <v>Allowed</v>
      </c>
    </row>
    <row r="254" spans="1:24" x14ac:dyDescent="0.3">
      <c r="A254" t="s">
        <v>10</v>
      </c>
      <c r="B254" t="s">
        <v>28</v>
      </c>
      <c r="C254" t="s">
        <v>16</v>
      </c>
      <c r="D254" s="3">
        <v>45961</v>
      </c>
      <c r="E254" s="6">
        <v>0.17164179104477609</v>
      </c>
      <c r="F254">
        <v>0</v>
      </c>
      <c r="G254" t="s">
        <v>17</v>
      </c>
      <c r="H254" s="6">
        <v>0.16400000000000001</v>
      </c>
      <c r="I254" s="8">
        <v>2.9850746268656241E-2</v>
      </c>
      <c r="J254" s="5">
        <f t="shared" si="36"/>
        <v>2.6472445732452773E-2</v>
      </c>
      <c r="K254" s="5" cm="1">
        <f t="array" ref="K254">_xlfn.STDEV.S(IF($C:$C=C254,$I:$I))</f>
        <v>0.13493378643970674</v>
      </c>
      <c r="L254" s="7">
        <f t="shared" si="39"/>
        <v>2.5036728200857342E-2</v>
      </c>
      <c r="M254">
        <f t="shared" si="37"/>
        <v>0</v>
      </c>
      <c r="N254" s="9">
        <f t="shared" si="40"/>
        <v>-4.6596286858390734E-2</v>
      </c>
      <c r="O254">
        <f>COUNTIFS($B$2:B254,B254,$C$2:C254,C254,$D$2:D254,"&lt;"&amp;D254,$F$2:F254,1)</f>
        <v>2</v>
      </c>
      <c r="P254">
        <f t="shared" si="38"/>
        <v>0</v>
      </c>
      <c r="Q254" t="str">
        <f t="shared" si="41"/>
        <v>Monitor</v>
      </c>
      <c r="R254">
        <v>0</v>
      </c>
      <c r="S254">
        <f t="shared" si="42"/>
        <v>0</v>
      </c>
      <c r="T254">
        <f t="shared" si="43"/>
        <v>0</v>
      </c>
      <c r="U254" t="str">
        <f t="shared" si="44"/>
        <v>Improved Enough</v>
      </c>
      <c r="V254" t="str">
        <f t="shared" si="45"/>
        <v>Close</v>
      </c>
      <c r="W254" t="str">
        <f t="shared" si="46"/>
        <v>Normal</v>
      </c>
      <c r="X254" t="str">
        <f t="shared" si="47"/>
        <v>Allowed</v>
      </c>
    </row>
    <row r="255" spans="1:24" x14ac:dyDescent="0.3">
      <c r="A255" t="s">
        <v>10</v>
      </c>
      <c r="B255" t="s">
        <v>28</v>
      </c>
      <c r="C255" t="s">
        <v>16</v>
      </c>
      <c r="D255" s="3">
        <v>45991</v>
      </c>
      <c r="E255" s="6">
        <v>0.1764705882352941</v>
      </c>
      <c r="F255">
        <v>0</v>
      </c>
      <c r="G255" t="s">
        <v>17</v>
      </c>
      <c r="H255" s="6">
        <v>0.16400000000000001</v>
      </c>
      <c r="I255" s="8">
        <v>2.8132992327365821E-2</v>
      </c>
      <c r="J255" s="5">
        <f t="shared" si="36"/>
        <v>2.6472445732452773E-2</v>
      </c>
      <c r="K255" s="5" cm="1">
        <f t="array" ref="K255">_xlfn.STDEV.S(IF($C:$C=C255,$I:$I))</f>
        <v>0.13493378643970674</v>
      </c>
      <c r="L255" s="7">
        <f t="shared" si="39"/>
        <v>1.2306381068280775E-2</v>
      </c>
      <c r="M255">
        <f t="shared" si="37"/>
        <v>0</v>
      </c>
      <c r="N255" s="9">
        <f t="shared" si="40"/>
        <v>-7.6040172166427403E-2</v>
      </c>
      <c r="O255">
        <f>COUNTIFS($B$2:B255,B255,$C$2:C255,C255,$D$2:D255,"&lt;"&amp;D255,$F$2:F255,1)</f>
        <v>2</v>
      </c>
      <c r="P255">
        <f t="shared" si="38"/>
        <v>0</v>
      </c>
      <c r="Q255" t="str">
        <f t="shared" si="41"/>
        <v>Monitor</v>
      </c>
      <c r="R255">
        <v>0</v>
      </c>
      <c r="S255">
        <f t="shared" si="42"/>
        <v>0</v>
      </c>
      <c r="T255">
        <f t="shared" si="43"/>
        <v>0</v>
      </c>
      <c r="U255" t="str">
        <f t="shared" si="44"/>
        <v>Improved Enough</v>
      </c>
      <c r="V255" t="str">
        <f t="shared" si="45"/>
        <v>Close</v>
      </c>
      <c r="W255" t="str">
        <f t="shared" si="46"/>
        <v>Normal</v>
      </c>
      <c r="X255" t="str">
        <f t="shared" si="47"/>
        <v>Allowed</v>
      </c>
    </row>
    <row r="256" spans="1:24" x14ac:dyDescent="0.3">
      <c r="A256" t="s">
        <v>10</v>
      </c>
      <c r="B256" t="s">
        <v>28</v>
      </c>
      <c r="C256" t="s">
        <v>18</v>
      </c>
      <c r="D256" s="3">
        <v>45535</v>
      </c>
      <c r="E256" s="6">
        <v>0.13626012145748989</v>
      </c>
      <c r="F256">
        <v>0</v>
      </c>
      <c r="G256" t="s">
        <v>13</v>
      </c>
      <c r="H256" s="6">
        <v>0.104</v>
      </c>
      <c r="I256" s="8">
        <v>1.091885520988695E-2</v>
      </c>
      <c r="J256" s="5">
        <f t="shared" si="36"/>
        <v>1.7244519882342341E-3</v>
      </c>
      <c r="K256" s="5" cm="1">
        <f t="array" ref="K256">_xlfn.STDEV.S(IF($C:$C=C256,$I:$I))</f>
        <v>8.3117651155014696E-2</v>
      </c>
      <c r="L256" s="7">
        <f t="shared" si="39"/>
        <v>0.11061914158889215</v>
      </c>
      <c r="M256">
        <f t="shared" si="37"/>
        <v>0</v>
      </c>
      <c r="N256" s="9">
        <f t="shared" si="40"/>
        <v>0.31019347555278748</v>
      </c>
      <c r="O256">
        <f>COUNTIFS($B$2:B256,B256,$C$2:C256,C256,$D$2:D256,"&lt;"&amp;D256,$F$2:F256,1)</f>
        <v>0</v>
      </c>
      <c r="P256">
        <f t="shared" si="38"/>
        <v>0</v>
      </c>
      <c r="Q256" t="str">
        <f t="shared" si="41"/>
        <v>Monitor</v>
      </c>
      <c r="R256">
        <v>0</v>
      </c>
      <c r="S256">
        <f t="shared" si="42"/>
        <v>0</v>
      </c>
      <c r="T256">
        <f t="shared" si="43"/>
        <v>0</v>
      </c>
      <c r="U256" t="str">
        <f t="shared" si="44"/>
        <v>Improved Enough</v>
      </c>
      <c r="V256" t="str">
        <f t="shared" si="45"/>
        <v>Far</v>
      </c>
      <c r="W256" t="str">
        <f t="shared" si="46"/>
        <v>Normal</v>
      </c>
      <c r="X256" t="str">
        <f t="shared" si="47"/>
        <v>Allowed</v>
      </c>
    </row>
    <row r="257" spans="1:24" x14ac:dyDescent="0.3">
      <c r="A257" t="s">
        <v>10</v>
      </c>
      <c r="B257" t="s">
        <v>28</v>
      </c>
      <c r="C257" t="s">
        <v>18</v>
      </c>
      <c r="D257" s="3">
        <v>45565</v>
      </c>
      <c r="E257" s="6">
        <v>0.13558255177188899</v>
      </c>
      <c r="F257">
        <v>0</v>
      </c>
      <c r="G257" t="s">
        <v>13</v>
      </c>
      <c r="H257" s="6">
        <v>0.104</v>
      </c>
      <c r="I257" s="8">
        <v>4.9726191225529246E-3</v>
      </c>
      <c r="J257" s="5">
        <f t="shared" si="36"/>
        <v>1.7244519882342341E-3</v>
      </c>
      <c r="K257" s="5" cm="1">
        <f t="array" ref="K257">_xlfn.STDEV.S(IF($C:$C=C257,$I:$I))</f>
        <v>8.3117651155014696E-2</v>
      </c>
      <c r="L257" s="7">
        <f t="shared" si="39"/>
        <v>3.9079149725499918E-2</v>
      </c>
      <c r="M257">
        <f t="shared" si="37"/>
        <v>0</v>
      </c>
      <c r="N257" s="9">
        <f t="shared" si="40"/>
        <v>0.30367838242200962</v>
      </c>
      <c r="O257">
        <f>COUNTIFS($B$2:B257,B257,$C$2:C257,C257,$D$2:D257,"&lt;"&amp;D257,$F$2:F257,1)</f>
        <v>0</v>
      </c>
      <c r="P257">
        <f t="shared" si="38"/>
        <v>0</v>
      </c>
      <c r="Q257" t="str">
        <f t="shared" si="41"/>
        <v>Monitor</v>
      </c>
      <c r="R257">
        <v>0</v>
      </c>
      <c r="S257">
        <f t="shared" si="42"/>
        <v>0</v>
      </c>
      <c r="T257">
        <f t="shared" si="43"/>
        <v>0</v>
      </c>
      <c r="U257" t="str">
        <f t="shared" si="44"/>
        <v>Not Improved Enough</v>
      </c>
      <c r="V257" t="str">
        <f t="shared" si="45"/>
        <v>Far</v>
      </c>
      <c r="W257" t="str">
        <f t="shared" si="46"/>
        <v>Normal</v>
      </c>
      <c r="X257" t="str">
        <f t="shared" si="47"/>
        <v>Allowed</v>
      </c>
    </row>
    <row r="258" spans="1:24" x14ac:dyDescent="0.3">
      <c r="A258" t="s">
        <v>10</v>
      </c>
      <c r="B258" t="s">
        <v>28</v>
      </c>
      <c r="C258" t="s">
        <v>18</v>
      </c>
      <c r="D258" s="3">
        <v>45596</v>
      </c>
      <c r="E258" s="6">
        <v>0.13774502116982909</v>
      </c>
      <c r="F258">
        <v>1</v>
      </c>
      <c r="G258" t="s">
        <v>13</v>
      </c>
      <c r="H258" s="6">
        <v>0.104</v>
      </c>
      <c r="I258" s="8">
        <v>-1.5949466724732742E-2</v>
      </c>
      <c r="J258" s="5">
        <f t="shared" ref="J258:J321" si="48">AVERAGEIF($C:$C,C258,$I:$I)</f>
        <v>1.7244519882342341E-3</v>
      </c>
      <c r="K258" s="5" cm="1">
        <f t="array" ref="K258">_xlfn.STDEV.S(IF($C:$C=C258,$I:$I))</f>
        <v>8.3117651155014696E-2</v>
      </c>
      <c r="L258" s="7">
        <f t="shared" si="39"/>
        <v>-0.21263736964853658</v>
      </c>
      <c r="M258">
        <f t="shared" ref="M258:M321" si="49">IF(L258&lt;=-$Z$4,1,IF(L258&gt;=$Z$4,-1,0))</f>
        <v>0</v>
      </c>
      <c r="N258" s="9">
        <f t="shared" si="40"/>
        <v>0.32447135740220284</v>
      </c>
      <c r="O258">
        <f>COUNTIFS($B$2:B258,B258,$C$2:C258,C258,$D$2:D258,"&lt;"&amp;D258,$F$2:F258,1)</f>
        <v>0</v>
      </c>
      <c r="P258">
        <f t="shared" ref="P258:P321" si="50">IF(AND(R258=1,I258&gt;0),1,IF(R258=1,-1,0))</f>
        <v>0</v>
      </c>
      <c r="Q258" t="str">
        <f t="shared" si="41"/>
        <v>Monitor</v>
      </c>
      <c r="R258">
        <v>0</v>
      </c>
      <c r="S258">
        <f t="shared" si="42"/>
        <v>0</v>
      </c>
      <c r="T258">
        <f t="shared" si="43"/>
        <v>0</v>
      </c>
      <c r="U258" t="str">
        <f t="shared" si="44"/>
        <v>Not Improved Enough</v>
      </c>
      <c r="V258" t="str">
        <f t="shared" si="45"/>
        <v>Far</v>
      </c>
      <c r="W258" t="str">
        <f t="shared" si="46"/>
        <v>Normal</v>
      </c>
      <c r="X258" t="str">
        <f t="shared" si="47"/>
        <v>Allowed</v>
      </c>
    </row>
    <row r="259" spans="1:24" x14ac:dyDescent="0.3">
      <c r="A259" t="s">
        <v>10</v>
      </c>
      <c r="B259" t="s">
        <v>28</v>
      </c>
      <c r="C259" t="s">
        <v>18</v>
      </c>
      <c r="D259" s="3">
        <v>45626</v>
      </c>
      <c r="E259" s="6">
        <v>0.130043723</v>
      </c>
      <c r="F259">
        <v>0</v>
      </c>
      <c r="G259" t="s">
        <v>13</v>
      </c>
      <c r="H259" s="6">
        <v>0.104</v>
      </c>
      <c r="I259" s="8">
        <v>5.5909811508424528E-2</v>
      </c>
      <c r="J259" s="5">
        <f t="shared" si="48"/>
        <v>1.7244519882342341E-3</v>
      </c>
      <c r="K259" s="5" cm="1">
        <f t="array" ref="K259">_xlfn.STDEV.S(IF($C:$C=C259,$I:$I))</f>
        <v>8.3117651155014696E-2</v>
      </c>
      <c r="L259" s="7">
        <f t="shared" ref="L259:L322" si="51">IFERROR((I259-J259)/K259,0)</f>
        <v>0.6519115827651869</v>
      </c>
      <c r="M259">
        <f t="shared" si="49"/>
        <v>-1</v>
      </c>
      <c r="N259" s="9">
        <f t="shared" ref="N259:N322" si="52">IFERROR(IF(G259="DOWN",(E259-H259)/H259,(H259-E259)/H259),0)</f>
        <v>0.25042041346153854</v>
      </c>
      <c r="O259">
        <f>COUNTIFS($B$2:B259,B259,$C$2:C259,C259,$D$2:D259,"&lt;"&amp;D259,$F$2:F259,1)</f>
        <v>1</v>
      </c>
      <c r="P259">
        <f t="shared" si="50"/>
        <v>1</v>
      </c>
      <c r="Q259" t="str">
        <f t="shared" ref="Q259:Q322" si="53">IF(I259&gt;=$Z$1,"Monitor",IF(AND(N259&gt;=$Z$2,L259&lt;=-$Z$4),IF(O259&lt;$Z$3,"Intervene","Escalate / Bigger Fix"),"Monitor"))</f>
        <v>Monitor</v>
      </c>
      <c r="R259">
        <v>1</v>
      </c>
      <c r="S259">
        <f t="shared" ref="S259:S322" si="54">IF(Q259="Intervene",1,IF(Q259="Escalate / Bigger Fix",-1,0))</f>
        <v>0</v>
      </c>
      <c r="T259">
        <f t="shared" ref="T259:T322" si="55">IF(Q259="Intervene",1,0)</f>
        <v>0</v>
      </c>
      <c r="U259" t="str">
        <f t="shared" ref="U259:U322" si="56">IF(I259&gt;=$Z$1,"Improved Enough","Not Improved Enough")</f>
        <v>Improved Enough</v>
      </c>
      <c r="V259" t="str">
        <f t="shared" ref="V259:V322" si="57">IF(N259&gt;=$Z$2,"Far","Close")</f>
        <v>Far</v>
      </c>
      <c r="W259" t="str">
        <f t="shared" ref="W259:W322" si="58">IF(L259&lt;=-$Z$4,"Abnormal","Normal")</f>
        <v>Normal</v>
      </c>
      <c r="X259" t="str">
        <f t="shared" ref="X259:X322" si="59">IF(O259&lt;$Z$3,"Allowed","Maxed Out")</f>
        <v>Allowed</v>
      </c>
    </row>
    <row r="260" spans="1:24" x14ac:dyDescent="0.3">
      <c r="A260" t="s">
        <v>10</v>
      </c>
      <c r="B260" t="s">
        <v>28</v>
      </c>
      <c r="C260" t="s">
        <v>18</v>
      </c>
      <c r="D260" s="3">
        <v>45657</v>
      </c>
      <c r="E260" s="6">
        <v>0.12861136999068029</v>
      </c>
      <c r="F260">
        <v>0</v>
      </c>
      <c r="G260" t="s">
        <v>13</v>
      </c>
      <c r="H260" s="6">
        <v>0.104</v>
      </c>
      <c r="I260" s="8">
        <v>1.101439559154815E-2</v>
      </c>
      <c r="J260" s="5">
        <f t="shared" si="48"/>
        <v>1.7244519882342341E-3</v>
      </c>
      <c r="K260" s="5" cm="1">
        <f t="array" ref="K260">_xlfn.STDEV.S(IF($C:$C=C260,$I:$I))</f>
        <v>8.3117651155014696E-2</v>
      </c>
      <c r="L260" s="7">
        <f t="shared" si="51"/>
        <v>0.11176860118421947</v>
      </c>
      <c r="M260">
        <f t="shared" si="49"/>
        <v>0</v>
      </c>
      <c r="N260" s="9">
        <f t="shared" si="52"/>
        <v>0.23664778837192593</v>
      </c>
      <c r="O260">
        <f>COUNTIFS($B$2:B260,B260,$C$2:C260,C260,$D$2:D260,"&lt;"&amp;D260,$F$2:F260,1)</f>
        <v>1</v>
      </c>
      <c r="P260">
        <f t="shared" si="50"/>
        <v>0</v>
      </c>
      <c r="Q260" t="str">
        <f t="shared" si="53"/>
        <v>Monitor</v>
      </c>
      <c r="R260">
        <v>0</v>
      </c>
      <c r="S260">
        <f t="shared" si="54"/>
        <v>0</v>
      </c>
      <c r="T260">
        <f t="shared" si="55"/>
        <v>0</v>
      </c>
      <c r="U260" t="str">
        <f t="shared" si="56"/>
        <v>Improved Enough</v>
      </c>
      <c r="V260" t="str">
        <f t="shared" si="57"/>
        <v>Far</v>
      </c>
      <c r="W260" t="str">
        <f t="shared" si="58"/>
        <v>Normal</v>
      </c>
      <c r="X260" t="str">
        <f t="shared" si="59"/>
        <v>Allowed</v>
      </c>
    </row>
    <row r="261" spans="1:24" x14ac:dyDescent="0.3">
      <c r="A261" t="s">
        <v>10</v>
      </c>
      <c r="B261" t="s">
        <v>28</v>
      </c>
      <c r="C261" t="s">
        <v>18</v>
      </c>
      <c r="D261" s="3">
        <v>45688</v>
      </c>
      <c r="E261" s="6">
        <v>0.13019287833827889</v>
      </c>
      <c r="F261">
        <v>0</v>
      </c>
      <c r="G261" t="s">
        <v>13</v>
      </c>
      <c r="H261" s="6">
        <v>0.104</v>
      </c>
      <c r="I261" s="8">
        <v>-1.229680041284997E-2</v>
      </c>
      <c r="J261" s="5">
        <f t="shared" si="48"/>
        <v>1.7244519882342341E-3</v>
      </c>
      <c r="K261" s="5" cm="1">
        <f t="array" ref="K261">_xlfn.STDEV.S(IF($C:$C=C261,$I:$I))</f>
        <v>8.3117651155014696E-2</v>
      </c>
      <c r="L261" s="7">
        <f t="shared" si="51"/>
        <v>-0.16869163416245392</v>
      </c>
      <c r="M261">
        <f t="shared" si="49"/>
        <v>0</v>
      </c>
      <c r="N261" s="9">
        <f t="shared" si="52"/>
        <v>0.25185459940652782</v>
      </c>
      <c r="O261">
        <f>COUNTIFS($B$2:B261,B261,$C$2:C261,C261,$D$2:D261,"&lt;"&amp;D261,$F$2:F261,1)</f>
        <v>1</v>
      </c>
      <c r="P261">
        <f t="shared" si="50"/>
        <v>0</v>
      </c>
      <c r="Q261" t="str">
        <f t="shared" si="53"/>
        <v>Monitor</v>
      </c>
      <c r="R261">
        <v>0</v>
      </c>
      <c r="S261">
        <f t="shared" si="54"/>
        <v>0</v>
      </c>
      <c r="T261">
        <f t="shared" si="55"/>
        <v>0</v>
      </c>
      <c r="U261" t="str">
        <f t="shared" si="56"/>
        <v>Not Improved Enough</v>
      </c>
      <c r="V261" t="str">
        <f t="shared" si="57"/>
        <v>Far</v>
      </c>
      <c r="W261" t="str">
        <f t="shared" si="58"/>
        <v>Normal</v>
      </c>
      <c r="X261" t="str">
        <f t="shared" si="59"/>
        <v>Allowed</v>
      </c>
    </row>
    <row r="262" spans="1:24" x14ac:dyDescent="0.3">
      <c r="A262" t="s">
        <v>10</v>
      </c>
      <c r="B262" t="s">
        <v>28</v>
      </c>
      <c r="C262" t="s">
        <v>18</v>
      </c>
      <c r="D262" s="3">
        <v>45716</v>
      </c>
      <c r="E262" s="6">
        <v>0.12616822429906541</v>
      </c>
      <c r="F262">
        <v>0</v>
      </c>
      <c r="G262" t="s">
        <v>13</v>
      </c>
      <c r="H262" s="6">
        <v>0.104</v>
      </c>
      <c r="I262" s="8">
        <v>3.091301222142322E-2</v>
      </c>
      <c r="J262" s="5">
        <f t="shared" si="48"/>
        <v>1.7244519882342341E-3</v>
      </c>
      <c r="K262" s="5" cm="1">
        <f t="array" ref="K262">_xlfn.STDEV.S(IF($C:$C=C262,$I:$I))</f>
        <v>8.3117651155014696E-2</v>
      </c>
      <c r="L262" s="7">
        <f t="shared" si="51"/>
        <v>0.35117162031867605</v>
      </c>
      <c r="M262">
        <f t="shared" si="49"/>
        <v>0</v>
      </c>
      <c r="N262" s="9">
        <f t="shared" si="52"/>
        <v>0.21315600287562897</v>
      </c>
      <c r="O262">
        <f>COUNTIFS($B$2:B262,B262,$C$2:C262,C262,$D$2:D262,"&lt;"&amp;D262,$F$2:F262,1)</f>
        <v>1</v>
      </c>
      <c r="P262">
        <f t="shared" si="50"/>
        <v>0</v>
      </c>
      <c r="Q262" t="str">
        <f t="shared" si="53"/>
        <v>Monitor</v>
      </c>
      <c r="R262">
        <v>0</v>
      </c>
      <c r="S262">
        <f t="shared" si="54"/>
        <v>0</v>
      </c>
      <c r="T262">
        <f t="shared" si="55"/>
        <v>0</v>
      </c>
      <c r="U262" t="str">
        <f t="shared" si="56"/>
        <v>Improved Enough</v>
      </c>
      <c r="V262" t="str">
        <f t="shared" si="57"/>
        <v>Far</v>
      </c>
      <c r="W262" t="str">
        <f t="shared" si="58"/>
        <v>Normal</v>
      </c>
      <c r="X262" t="str">
        <f t="shared" si="59"/>
        <v>Allowed</v>
      </c>
    </row>
    <row r="263" spans="1:24" x14ac:dyDescent="0.3">
      <c r="A263" t="s">
        <v>10</v>
      </c>
      <c r="B263" t="s">
        <v>28</v>
      </c>
      <c r="C263" t="s">
        <v>18</v>
      </c>
      <c r="D263" s="3">
        <v>45747</v>
      </c>
      <c r="E263" s="6">
        <v>0.1237566363580887</v>
      </c>
      <c r="F263">
        <v>0</v>
      </c>
      <c r="G263" t="s">
        <v>13</v>
      </c>
      <c r="H263" s="6">
        <v>0.104</v>
      </c>
      <c r="I263" s="8">
        <v>1.9114067384037599E-2</v>
      </c>
      <c r="J263" s="5">
        <f t="shared" si="48"/>
        <v>1.7244519882342341E-3</v>
      </c>
      <c r="K263" s="5" cm="1">
        <f t="array" ref="K263">_xlfn.STDEV.S(IF($C:$C=C263,$I:$I))</f>
        <v>8.3117651155014696E-2</v>
      </c>
      <c r="L263" s="7">
        <f t="shared" si="51"/>
        <v>0.20921687697083349</v>
      </c>
      <c r="M263">
        <f t="shared" si="49"/>
        <v>0</v>
      </c>
      <c r="N263" s="9">
        <f t="shared" si="52"/>
        <v>0.18996765728931447</v>
      </c>
      <c r="O263">
        <f>COUNTIFS($B$2:B263,B263,$C$2:C263,C263,$D$2:D263,"&lt;"&amp;D263,$F$2:F263,1)</f>
        <v>1</v>
      </c>
      <c r="P263">
        <f t="shared" si="50"/>
        <v>0</v>
      </c>
      <c r="Q263" t="str">
        <f t="shared" si="53"/>
        <v>Monitor</v>
      </c>
      <c r="R263">
        <v>0</v>
      </c>
      <c r="S263">
        <f t="shared" si="54"/>
        <v>0</v>
      </c>
      <c r="T263">
        <f t="shared" si="55"/>
        <v>0</v>
      </c>
      <c r="U263" t="str">
        <f t="shared" si="56"/>
        <v>Improved Enough</v>
      </c>
      <c r="V263" t="str">
        <f t="shared" si="57"/>
        <v>Far</v>
      </c>
      <c r="W263" t="str">
        <f t="shared" si="58"/>
        <v>Normal</v>
      </c>
      <c r="X263" t="str">
        <f t="shared" si="59"/>
        <v>Allowed</v>
      </c>
    </row>
    <row r="264" spans="1:24" x14ac:dyDescent="0.3">
      <c r="A264" t="s">
        <v>10</v>
      </c>
      <c r="B264" t="s">
        <v>28</v>
      </c>
      <c r="C264" t="s">
        <v>18</v>
      </c>
      <c r="D264" s="3">
        <v>45777</v>
      </c>
      <c r="E264" s="6">
        <v>0.1226420816400801</v>
      </c>
      <c r="F264">
        <v>0</v>
      </c>
      <c r="G264" t="s">
        <v>13</v>
      </c>
      <c r="H264" s="6">
        <v>0.104</v>
      </c>
      <c r="I264" s="8">
        <v>9.0060198047371524E-3</v>
      </c>
      <c r="J264" s="5">
        <f t="shared" si="48"/>
        <v>1.7244519882342341E-3</v>
      </c>
      <c r="K264" s="5" cm="1">
        <f t="array" ref="K264">_xlfn.STDEV.S(IF($C:$C=C264,$I:$I))</f>
        <v>8.3117651155014696E-2</v>
      </c>
      <c r="L264" s="7">
        <f t="shared" si="51"/>
        <v>8.7605553276797615E-2</v>
      </c>
      <c r="M264">
        <f t="shared" si="49"/>
        <v>0</v>
      </c>
      <c r="N264" s="9">
        <f t="shared" si="52"/>
        <v>0.17925078500077024</v>
      </c>
      <c r="O264">
        <f>COUNTIFS($B$2:B264,B264,$C$2:C264,C264,$D$2:D264,"&lt;"&amp;D264,$F$2:F264,1)</f>
        <v>1</v>
      </c>
      <c r="P264">
        <f t="shared" si="50"/>
        <v>0</v>
      </c>
      <c r="Q264" t="str">
        <f t="shared" si="53"/>
        <v>Monitor</v>
      </c>
      <c r="R264">
        <v>0</v>
      </c>
      <c r="S264">
        <f t="shared" si="54"/>
        <v>0</v>
      </c>
      <c r="T264">
        <f t="shared" si="55"/>
        <v>0</v>
      </c>
      <c r="U264" t="str">
        <f t="shared" si="56"/>
        <v>Not Improved Enough</v>
      </c>
      <c r="V264" t="str">
        <f t="shared" si="57"/>
        <v>Far</v>
      </c>
      <c r="W264" t="str">
        <f t="shared" si="58"/>
        <v>Normal</v>
      </c>
      <c r="X264" t="str">
        <f t="shared" si="59"/>
        <v>Allowed</v>
      </c>
    </row>
    <row r="265" spans="1:24" x14ac:dyDescent="0.3">
      <c r="A265" t="s">
        <v>10</v>
      </c>
      <c r="B265" t="s">
        <v>28</v>
      </c>
      <c r="C265" t="s">
        <v>18</v>
      </c>
      <c r="D265" s="3">
        <v>45808</v>
      </c>
      <c r="E265" s="6">
        <v>0.1259120786347464</v>
      </c>
      <c r="F265">
        <v>0</v>
      </c>
      <c r="G265" t="s">
        <v>13</v>
      </c>
      <c r="H265" s="6">
        <v>0.104</v>
      </c>
      <c r="I265" s="8">
        <v>-2.666292801734093E-2</v>
      </c>
      <c r="J265" s="5">
        <f t="shared" si="48"/>
        <v>1.7244519882342341E-3</v>
      </c>
      <c r="K265" s="5" cm="1">
        <f t="array" ref="K265">_xlfn.STDEV.S(IF($C:$C=C265,$I:$I))</f>
        <v>8.3117651155014696E-2</v>
      </c>
      <c r="L265" s="7">
        <f t="shared" si="51"/>
        <v>-0.34153250977500077</v>
      </c>
      <c r="M265">
        <f t="shared" si="49"/>
        <v>0</v>
      </c>
      <c r="N265" s="9">
        <f t="shared" si="52"/>
        <v>0.21069306379563857</v>
      </c>
      <c r="O265">
        <f>COUNTIFS($B$2:B265,B265,$C$2:C265,C265,$D$2:D265,"&lt;"&amp;D265,$F$2:F265,1)</f>
        <v>1</v>
      </c>
      <c r="P265">
        <f t="shared" si="50"/>
        <v>0</v>
      </c>
      <c r="Q265" t="str">
        <f t="shared" si="53"/>
        <v>Monitor</v>
      </c>
      <c r="R265">
        <v>0</v>
      </c>
      <c r="S265">
        <f t="shared" si="54"/>
        <v>0</v>
      </c>
      <c r="T265">
        <f t="shared" si="55"/>
        <v>0</v>
      </c>
      <c r="U265" t="str">
        <f t="shared" si="56"/>
        <v>Not Improved Enough</v>
      </c>
      <c r="V265" t="str">
        <f t="shared" si="57"/>
        <v>Far</v>
      </c>
      <c r="W265" t="str">
        <f t="shared" si="58"/>
        <v>Normal</v>
      </c>
      <c r="X265" t="str">
        <f t="shared" si="59"/>
        <v>Allowed</v>
      </c>
    </row>
    <row r="266" spans="1:24" x14ac:dyDescent="0.3">
      <c r="A266" t="s">
        <v>10</v>
      </c>
      <c r="B266" t="s">
        <v>28</v>
      </c>
      <c r="C266" t="s">
        <v>18</v>
      </c>
      <c r="D266" s="3">
        <v>45838</v>
      </c>
      <c r="E266" s="6">
        <v>0.12263981298327641</v>
      </c>
      <c r="F266">
        <v>0</v>
      </c>
      <c r="G266" t="s">
        <v>13</v>
      </c>
      <c r="H266" s="6">
        <v>0.104</v>
      </c>
      <c r="I266" s="8">
        <v>2.5988496790386499E-2</v>
      </c>
      <c r="J266" s="5">
        <f t="shared" si="48"/>
        <v>1.7244519882342341E-3</v>
      </c>
      <c r="K266" s="5" cm="1">
        <f t="array" ref="K266">_xlfn.STDEV.S(IF($C:$C=C266,$I:$I))</f>
        <v>8.3117651155014696E-2</v>
      </c>
      <c r="L266" s="7">
        <f t="shared" si="51"/>
        <v>0.29192409151336268</v>
      </c>
      <c r="M266">
        <f t="shared" si="49"/>
        <v>0</v>
      </c>
      <c r="N266" s="9">
        <f t="shared" si="52"/>
        <v>0.17922897099304241</v>
      </c>
      <c r="O266">
        <f>COUNTIFS($B$2:B266,B266,$C$2:C266,C266,$D$2:D266,"&lt;"&amp;D266,$F$2:F266,1)</f>
        <v>1</v>
      </c>
      <c r="P266">
        <f t="shared" si="50"/>
        <v>0</v>
      </c>
      <c r="Q266" t="str">
        <f t="shared" si="53"/>
        <v>Monitor</v>
      </c>
      <c r="R266">
        <v>0</v>
      </c>
      <c r="S266">
        <f t="shared" si="54"/>
        <v>0</v>
      </c>
      <c r="T266">
        <f t="shared" si="55"/>
        <v>0</v>
      </c>
      <c r="U266" t="str">
        <f t="shared" si="56"/>
        <v>Improved Enough</v>
      </c>
      <c r="V266" t="str">
        <f t="shared" si="57"/>
        <v>Far</v>
      </c>
      <c r="W266" t="str">
        <f t="shared" si="58"/>
        <v>Normal</v>
      </c>
      <c r="X266" t="str">
        <f t="shared" si="59"/>
        <v>Allowed</v>
      </c>
    </row>
    <row r="267" spans="1:24" x14ac:dyDescent="0.3">
      <c r="A267" t="s">
        <v>10</v>
      </c>
      <c r="B267" t="s">
        <v>28</v>
      </c>
      <c r="C267" t="s">
        <v>18</v>
      </c>
      <c r="D267" s="3">
        <v>45869</v>
      </c>
      <c r="E267" s="6">
        <v>0.1208221626452189</v>
      </c>
      <c r="F267">
        <v>0</v>
      </c>
      <c r="G267" t="s">
        <v>13</v>
      </c>
      <c r="H267" s="6">
        <v>0.104</v>
      </c>
      <c r="I267" s="8">
        <v>1.482104623158031E-2</v>
      </c>
      <c r="J267" s="5">
        <f t="shared" si="48"/>
        <v>1.7244519882342341E-3</v>
      </c>
      <c r="K267" s="5" cm="1">
        <f t="array" ref="K267">_xlfn.STDEV.S(IF($C:$C=C267,$I:$I))</f>
        <v>8.3117651155014696E-2</v>
      </c>
      <c r="L267" s="7">
        <f t="shared" si="51"/>
        <v>0.15756694349941247</v>
      </c>
      <c r="M267">
        <f t="shared" si="49"/>
        <v>0</v>
      </c>
      <c r="N267" s="9">
        <f t="shared" si="52"/>
        <v>0.16175156389633566</v>
      </c>
      <c r="O267">
        <f>COUNTIFS($B$2:B267,B267,$C$2:C267,C267,$D$2:D267,"&lt;"&amp;D267,$F$2:F267,1)</f>
        <v>1</v>
      </c>
      <c r="P267">
        <f t="shared" si="50"/>
        <v>0</v>
      </c>
      <c r="Q267" t="str">
        <f t="shared" si="53"/>
        <v>Monitor</v>
      </c>
      <c r="R267">
        <v>0</v>
      </c>
      <c r="S267">
        <f t="shared" si="54"/>
        <v>0</v>
      </c>
      <c r="T267">
        <f t="shared" si="55"/>
        <v>0</v>
      </c>
      <c r="U267" t="str">
        <f t="shared" si="56"/>
        <v>Improved Enough</v>
      </c>
      <c r="V267" t="str">
        <f t="shared" si="57"/>
        <v>Far</v>
      </c>
      <c r="W267" t="str">
        <f t="shared" si="58"/>
        <v>Normal</v>
      </c>
      <c r="X267" t="str">
        <f t="shared" si="59"/>
        <v>Allowed</v>
      </c>
    </row>
    <row r="268" spans="1:24" x14ac:dyDescent="0.3">
      <c r="A268" t="s">
        <v>10</v>
      </c>
      <c r="B268" t="s">
        <v>28</v>
      </c>
      <c r="C268" t="s">
        <v>18</v>
      </c>
      <c r="D268" s="3">
        <v>45900</v>
      </c>
      <c r="E268" s="6">
        <v>0.12092113452476221</v>
      </c>
      <c r="F268">
        <v>0</v>
      </c>
      <c r="G268" t="s">
        <v>13</v>
      </c>
      <c r="H268" s="6">
        <v>0.104</v>
      </c>
      <c r="I268" s="8">
        <v>-8.1915335213724556E-4</v>
      </c>
      <c r="J268" s="5">
        <f t="shared" si="48"/>
        <v>1.7244519882342341E-3</v>
      </c>
      <c r="K268" s="5" cm="1">
        <f t="array" ref="K268">_xlfn.STDEV.S(IF($C:$C=C268,$I:$I))</f>
        <v>8.3117651155014696E-2</v>
      </c>
      <c r="L268" s="7">
        <f t="shared" si="51"/>
        <v>-3.0602468970491566E-2</v>
      </c>
      <c r="M268">
        <f t="shared" si="49"/>
        <v>0</v>
      </c>
      <c r="N268" s="9">
        <f t="shared" si="52"/>
        <v>0.16270321658425202</v>
      </c>
      <c r="O268">
        <f>COUNTIFS($B$2:B268,B268,$C$2:C268,C268,$D$2:D268,"&lt;"&amp;D268,$F$2:F268,1)</f>
        <v>1</v>
      </c>
      <c r="P268">
        <f t="shared" si="50"/>
        <v>0</v>
      </c>
      <c r="Q268" t="str">
        <f t="shared" si="53"/>
        <v>Monitor</v>
      </c>
      <c r="R268">
        <v>0</v>
      </c>
      <c r="S268">
        <f t="shared" si="54"/>
        <v>0</v>
      </c>
      <c r="T268">
        <f t="shared" si="55"/>
        <v>0</v>
      </c>
      <c r="U268" t="str">
        <f t="shared" si="56"/>
        <v>Not Improved Enough</v>
      </c>
      <c r="V268" t="str">
        <f t="shared" si="57"/>
        <v>Far</v>
      </c>
      <c r="W268" t="str">
        <f t="shared" si="58"/>
        <v>Normal</v>
      </c>
      <c r="X268" t="str">
        <f t="shared" si="59"/>
        <v>Allowed</v>
      </c>
    </row>
    <row r="269" spans="1:24" x14ac:dyDescent="0.3">
      <c r="A269" t="s">
        <v>10</v>
      </c>
      <c r="B269" t="s">
        <v>28</v>
      </c>
      <c r="C269" t="s">
        <v>18</v>
      </c>
      <c r="D269" s="3">
        <v>45930</v>
      </c>
      <c r="E269" s="6">
        <v>0.1210119714572153</v>
      </c>
      <c r="F269">
        <v>0</v>
      </c>
      <c r="G269" t="s">
        <v>13</v>
      </c>
      <c r="H269" s="6">
        <v>0.104</v>
      </c>
      <c r="I269" s="8">
        <v>-7.5120807301469862E-4</v>
      </c>
      <c r="J269" s="5">
        <f t="shared" si="48"/>
        <v>1.7244519882342341E-3</v>
      </c>
      <c r="K269" s="5" cm="1">
        <f t="array" ref="K269">_xlfn.STDEV.S(IF($C:$C=C269,$I:$I))</f>
        <v>8.3117651155014696E-2</v>
      </c>
      <c r="L269" s="7">
        <f t="shared" si="51"/>
        <v>-2.9785009884745403E-2</v>
      </c>
      <c r="M269">
        <f t="shared" si="49"/>
        <v>0</v>
      </c>
      <c r="N269" s="9">
        <f t="shared" si="52"/>
        <v>0.16357664862707028</v>
      </c>
      <c r="O269">
        <f>COUNTIFS($B$2:B269,B269,$C$2:C269,C269,$D$2:D269,"&lt;"&amp;D269,$F$2:F269,1)</f>
        <v>1</v>
      </c>
      <c r="P269">
        <f t="shared" si="50"/>
        <v>0</v>
      </c>
      <c r="Q269" t="str">
        <f t="shared" si="53"/>
        <v>Monitor</v>
      </c>
      <c r="R269">
        <v>0</v>
      </c>
      <c r="S269">
        <f t="shared" si="54"/>
        <v>0</v>
      </c>
      <c r="T269">
        <f t="shared" si="55"/>
        <v>0</v>
      </c>
      <c r="U269" t="str">
        <f t="shared" si="56"/>
        <v>Not Improved Enough</v>
      </c>
      <c r="V269" t="str">
        <f t="shared" si="57"/>
        <v>Far</v>
      </c>
      <c r="W269" t="str">
        <f t="shared" si="58"/>
        <v>Normal</v>
      </c>
      <c r="X269" t="str">
        <f t="shared" si="59"/>
        <v>Allowed</v>
      </c>
    </row>
    <row r="270" spans="1:24" x14ac:dyDescent="0.3">
      <c r="A270" t="s">
        <v>10</v>
      </c>
      <c r="B270" t="s">
        <v>28</v>
      </c>
      <c r="C270" t="s">
        <v>18</v>
      </c>
      <c r="D270" s="3">
        <v>45961</v>
      </c>
      <c r="E270" s="6">
        <v>0.1185888976862849</v>
      </c>
      <c r="F270">
        <v>0</v>
      </c>
      <c r="G270" t="s">
        <v>13</v>
      </c>
      <c r="H270" s="6">
        <v>0.104</v>
      </c>
      <c r="I270" s="8">
        <v>2.0023421994964329E-2</v>
      </c>
      <c r="J270" s="5">
        <f t="shared" si="48"/>
        <v>1.7244519882342341E-3</v>
      </c>
      <c r="K270" s="5" cm="1">
        <f t="array" ref="K270">_xlfn.STDEV.S(IF($C:$C=C270,$I:$I))</f>
        <v>8.3117651155014696E-2</v>
      </c>
      <c r="L270" s="7">
        <f t="shared" si="51"/>
        <v>0.22015744853764518</v>
      </c>
      <c r="M270">
        <f t="shared" si="49"/>
        <v>0</v>
      </c>
      <c r="N270" s="9">
        <f t="shared" si="52"/>
        <v>0.14027786236812412</v>
      </c>
      <c r="O270">
        <f>COUNTIFS($B$2:B270,B270,$C$2:C270,C270,$D$2:D270,"&lt;"&amp;D270,$F$2:F270,1)</f>
        <v>1</v>
      </c>
      <c r="P270">
        <f t="shared" si="50"/>
        <v>0</v>
      </c>
      <c r="Q270" t="str">
        <f t="shared" si="53"/>
        <v>Monitor</v>
      </c>
      <c r="R270">
        <v>0</v>
      </c>
      <c r="S270">
        <f t="shared" si="54"/>
        <v>0</v>
      </c>
      <c r="T270">
        <f t="shared" si="55"/>
        <v>0</v>
      </c>
      <c r="U270" t="str">
        <f t="shared" si="56"/>
        <v>Improved Enough</v>
      </c>
      <c r="V270" t="str">
        <f t="shared" si="57"/>
        <v>Far</v>
      </c>
      <c r="W270" t="str">
        <f t="shared" si="58"/>
        <v>Normal</v>
      </c>
      <c r="X270" t="str">
        <f t="shared" si="59"/>
        <v>Allowed</v>
      </c>
    </row>
    <row r="271" spans="1:24" x14ac:dyDescent="0.3">
      <c r="A271" t="s">
        <v>10</v>
      </c>
      <c r="B271" t="s">
        <v>28</v>
      </c>
      <c r="C271" t="s">
        <v>18</v>
      </c>
      <c r="D271" s="3">
        <v>45991</v>
      </c>
      <c r="E271" s="6">
        <v>0.1191449597009695</v>
      </c>
      <c r="F271">
        <v>0</v>
      </c>
      <c r="G271" t="s">
        <v>13</v>
      </c>
      <c r="H271" s="6">
        <v>0.104</v>
      </c>
      <c r="I271" s="8">
        <v>-4.6889888137387316E-3</v>
      </c>
      <c r="J271" s="5">
        <f t="shared" si="48"/>
        <v>1.7244519882342341E-3</v>
      </c>
      <c r="K271" s="5" cm="1">
        <f t="array" ref="K271">_xlfn.STDEV.S(IF($C:$C=C271,$I:$I))</f>
        <v>8.3117651155014696E-2</v>
      </c>
      <c r="L271" s="7">
        <f t="shared" si="51"/>
        <v>-7.7160996645729049E-2</v>
      </c>
      <c r="M271">
        <f t="shared" si="49"/>
        <v>0</v>
      </c>
      <c r="N271" s="9">
        <f t="shared" si="52"/>
        <v>0.14562461250932215</v>
      </c>
      <c r="O271">
        <f>COUNTIFS($B$2:B271,B271,$C$2:C271,C271,$D$2:D271,"&lt;"&amp;D271,$F$2:F271,1)</f>
        <v>1</v>
      </c>
      <c r="P271">
        <f t="shared" si="50"/>
        <v>0</v>
      </c>
      <c r="Q271" t="str">
        <f t="shared" si="53"/>
        <v>Monitor</v>
      </c>
      <c r="R271">
        <v>0</v>
      </c>
      <c r="S271">
        <f t="shared" si="54"/>
        <v>0</v>
      </c>
      <c r="T271">
        <f t="shared" si="55"/>
        <v>0</v>
      </c>
      <c r="U271" t="str">
        <f t="shared" si="56"/>
        <v>Not Improved Enough</v>
      </c>
      <c r="V271" t="str">
        <f t="shared" si="57"/>
        <v>Far</v>
      </c>
      <c r="W271" t="str">
        <f t="shared" si="58"/>
        <v>Normal</v>
      </c>
      <c r="X271" t="str">
        <f t="shared" si="59"/>
        <v>Allowed</v>
      </c>
    </row>
    <row r="272" spans="1:24" x14ac:dyDescent="0.3">
      <c r="A272" t="s">
        <v>10</v>
      </c>
      <c r="B272" t="s">
        <v>28</v>
      </c>
      <c r="C272" t="s">
        <v>19</v>
      </c>
      <c r="D272" s="3">
        <v>45535</v>
      </c>
      <c r="E272" s="6">
        <v>0.14545454545454539</v>
      </c>
      <c r="F272">
        <v>1</v>
      </c>
      <c r="G272" t="s">
        <v>13</v>
      </c>
      <c r="H272" s="6">
        <v>0.1</v>
      </c>
      <c r="I272" s="8">
        <v>-3.8567493112947491E-3</v>
      </c>
      <c r="J272" s="5">
        <f t="shared" si="48"/>
        <v>-3.0570725046180952E-3</v>
      </c>
      <c r="K272" s="5" cm="1">
        <f t="array" ref="K272">_xlfn.STDEV.S(IF($C:$C=C272,$I:$I))</f>
        <v>0.17799866497296365</v>
      </c>
      <c r="L272" s="7">
        <f t="shared" si="51"/>
        <v>-4.4926000248266887E-3</v>
      </c>
      <c r="M272">
        <f t="shared" si="49"/>
        <v>0</v>
      </c>
      <c r="N272" s="9">
        <f t="shared" si="52"/>
        <v>0.45454545454545386</v>
      </c>
      <c r="O272">
        <f>COUNTIFS($B$2:B272,B272,$C$2:C272,C272,$D$2:D272,"&lt;"&amp;D272,$F$2:F272,1)</f>
        <v>0</v>
      </c>
      <c r="P272">
        <f t="shared" si="50"/>
        <v>0</v>
      </c>
      <c r="Q272" t="str">
        <f t="shared" si="53"/>
        <v>Monitor</v>
      </c>
      <c r="R272">
        <v>0</v>
      </c>
      <c r="S272">
        <f t="shared" si="54"/>
        <v>0</v>
      </c>
      <c r="T272">
        <f t="shared" si="55"/>
        <v>0</v>
      </c>
      <c r="U272" t="str">
        <f t="shared" si="56"/>
        <v>Not Improved Enough</v>
      </c>
      <c r="V272" t="str">
        <f t="shared" si="57"/>
        <v>Far</v>
      </c>
      <c r="W272" t="str">
        <f t="shared" si="58"/>
        <v>Normal</v>
      </c>
      <c r="X272" t="str">
        <f t="shared" si="59"/>
        <v>Allowed</v>
      </c>
    </row>
    <row r="273" spans="1:24" x14ac:dyDescent="0.3">
      <c r="A273" t="s">
        <v>10</v>
      </c>
      <c r="B273" t="s">
        <v>28</v>
      </c>
      <c r="C273" t="s">
        <v>19</v>
      </c>
      <c r="D273" s="3">
        <v>45565</v>
      </c>
      <c r="E273" s="6">
        <v>0.14309484193011651</v>
      </c>
      <c r="F273">
        <v>0</v>
      </c>
      <c r="G273" t="s">
        <v>13</v>
      </c>
      <c r="H273" s="6">
        <v>0.1</v>
      </c>
      <c r="I273" s="8">
        <v>1.622296173044856E-2</v>
      </c>
      <c r="J273" s="5">
        <f t="shared" si="48"/>
        <v>-3.0570725046180952E-3</v>
      </c>
      <c r="K273" s="5" cm="1">
        <f t="array" ref="K273">_xlfn.STDEV.S(IF($C:$C=C273,$I:$I))</f>
        <v>0.17799866497296365</v>
      </c>
      <c r="L273" s="7">
        <f t="shared" si="51"/>
        <v>0.10831561145694611</v>
      </c>
      <c r="M273">
        <f t="shared" si="49"/>
        <v>0</v>
      </c>
      <c r="N273" s="9">
        <f t="shared" si="52"/>
        <v>0.43094841930116506</v>
      </c>
      <c r="O273">
        <f>COUNTIFS($B$2:B273,B273,$C$2:C273,C273,$D$2:D273,"&lt;"&amp;D273,$F$2:F273,1)</f>
        <v>1</v>
      </c>
      <c r="P273">
        <f t="shared" si="50"/>
        <v>1</v>
      </c>
      <c r="Q273" t="str">
        <f t="shared" si="53"/>
        <v>Monitor</v>
      </c>
      <c r="R273">
        <v>1</v>
      </c>
      <c r="S273">
        <f t="shared" si="54"/>
        <v>0</v>
      </c>
      <c r="T273">
        <f t="shared" si="55"/>
        <v>0</v>
      </c>
      <c r="U273" t="str">
        <f t="shared" si="56"/>
        <v>Improved Enough</v>
      </c>
      <c r="V273" t="str">
        <f t="shared" si="57"/>
        <v>Far</v>
      </c>
      <c r="W273" t="str">
        <f t="shared" si="58"/>
        <v>Normal</v>
      </c>
      <c r="X273" t="str">
        <f t="shared" si="59"/>
        <v>Allowed</v>
      </c>
    </row>
    <row r="274" spans="1:24" x14ac:dyDescent="0.3">
      <c r="A274" t="s">
        <v>10</v>
      </c>
      <c r="B274" t="s">
        <v>28</v>
      </c>
      <c r="C274" t="s">
        <v>19</v>
      </c>
      <c r="D274" s="3">
        <v>45596</v>
      </c>
      <c r="E274" s="6">
        <v>0.13735343383584589</v>
      </c>
      <c r="F274">
        <v>0</v>
      </c>
      <c r="G274" t="s">
        <v>13</v>
      </c>
      <c r="H274" s="6">
        <v>0.1</v>
      </c>
      <c r="I274" s="8">
        <v>4.0123096100658638E-2</v>
      </c>
      <c r="J274" s="5">
        <f t="shared" si="48"/>
        <v>-3.0570725046180952E-3</v>
      </c>
      <c r="K274" s="5" cm="1">
        <f t="array" ref="K274">_xlfn.STDEV.S(IF($C:$C=C274,$I:$I))</f>
        <v>0.17799866497296365</v>
      </c>
      <c r="L274" s="7">
        <f t="shared" si="51"/>
        <v>0.24258703632319603</v>
      </c>
      <c r="M274">
        <f t="shared" si="49"/>
        <v>0</v>
      </c>
      <c r="N274" s="9">
        <f t="shared" si="52"/>
        <v>0.37353433835845884</v>
      </c>
      <c r="O274">
        <f>COUNTIFS($B$2:B274,B274,$C$2:C274,C274,$D$2:D274,"&lt;"&amp;D274,$F$2:F274,1)</f>
        <v>1</v>
      </c>
      <c r="P274">
        <f t="shared" si="50"/>
        <v>0</v>
      </c>
      <c r="Q274" t="str">
        <f t="shared" si="53"/>
        <v>Monitor</v>
      </c>
      <c r="R274">
        <v>0</v>
      </c>
      <c r="S274">
        <f t="shared" si="54"/>
        <v>0</v>
      </c>
      <c r="T274">
        <f t="shared" si="55"/>
        <v>0</v>
      </c>
      <c r="U274" t="str">
        <f t="shared" si="56"/>
        <v>Improved Enough</v>
      </c>
      <c r="V274" t="str">
        <f t="shared" si="57"/>
        <v>Far</v>
      </c>
      <c r="W274" t="str">
        <f t="shared" si="58"/>
        <v>Normal</v>
      </c>
      <c r="X274" t="str">
        <f t="shared" si="59"/>
        <v>Allowed</v>
      </c>
    </row>
    <row r="275" spans="1:24" x14ac:dyDescent="0.3">
      <c r="A275" t="s">
        <v>10</v>
      </c>
      <c r="B275" t="s">
        <v>28</v>
      </c>
      <c r="C275" t="s">
        <v>19</v>
      </c>
      <c r="D275" s="3">
        <v>45626</v>
      </c>
      <c r="E275" s="6">
        <v>0.12808988800000001</v>
      </c>
      <c r="F275">
        <v>0</v>
      </c>
      <c r="G275" t="s">
        <v>13</v>
      </c>
      <c r="H275" s="6">
        <v>0.1</v>
      </c>
      <c r="I275" s="8">
        <v>6.7443132487804744E-2</v>
      </c>
      <c r="J275" s="5">
        <f t="shared" si="48"/>
        <v>-3.0570725046180952E-3</v>
      </c>
      <c r="K275" s="5" cm="1">
        <f t="array" ref="K275">_xlfn.STDEV.S(IF($C:$C=C275,$I:$I))</f>
        <v>0.17799866497296365</v>
      </c>
      <c r="L275" s="7">
        <f t="shared" si="51"/>
        <v>0.39607153796985589</v>
      </c>
      <c r="M275">
        <f t="shared" si="49"/>
        <v>0</v>
      </c>
      <c r="N275" s="9">
        <f t="shared" si="52"/>
        <v>0.28089888000000007</v>
      </c>
      <c r="O275">
        <f>COUNTIFS($B$2:B275,B275,$C$2:C275,C275,$D$2:D275,"&lt;"&amp;D275,$F$2:F275,1)</f>
        <v>1</v>
      </c>
      <c r="P275">
        <f t="shared" si="50"/>
        <v>0</v>
      </c>
      <c r="Q275" t="str">
        <f t="shared" si="53"/>
        <v>Monitor</v>
      </c>
      <c r="R275">
        <v>0</v>
      </c>
      <c r="S275">
        <f t="shared" si="54"/>
        <v>0</v>
      </c>
      <c r="T275">
        <f t="shared" si="55"/>
        <v>0</v>
      </c>
      <c r="U275" t="str">
        <f t="shared" si="56"/>
        <v>Improved Enough</v>
      </c>
      <c r="V275" t="str">
        <f t="shared" si="57"/>
        <v>Far</v>
      </c>
      <c r="W275" t="str">
        <f t="shared" si="58"/>
        <v>Normal</v>
      </c>
      <c r="X275" t="str">
        <f t="shared" si="59"/>
        <v>Allowed</v>
      </c>
    </row>
    <row r="276" spans="1:24" x14ac:dyDescent="0.3">
      <c r="A276" t="s">
        <v>10</v>
      </c>
      <c r="B276" t="s">
        <v>28</v>
      </c>
      <c r="C276" t="s">
        <v>19</v>
      </c>
      <c r="D276" s="3">
        <v>45657</v>
      </c>
      <c r="E276" s="6">
        <v>0.12841453111799489</v>
      </c>
      <c r="F276">
        <v>1</v>
      </c>
      <c r="G276" t="s">
        <v>13</v>
      </c>
      <c r="H276" s="6">
        <v>0.1</v>
      </c>
      <c r="I276" s="8">
        <v>-2.5344945105649341E-3</v>
      </c>
      <c r="J276" s="5">
        <f t="shared" si="48"/>
        <v>-3.0570725046180952E-3</v>
      </c>
      <c r="K276" s="5" cm="1">
        <f t="array" ref="K276">_xlfn.STDEV.S(IF($C:$C=C276,$I:$I))</f>
        <v>0.17799866497296365</v>
      </c>
      <c r="L276" s="7">
        <f t="shared" si="51"/>
        <v>2.9358534466117255E-3</v>
      </c>
      <c r="M276">
        <f t="shared" si="49"/>
        <v>0</v>
      </c>
      <c r="N276" s="9">
        <f t="shared" si="52"/>
        <v>0.28414531117994885</v>
      </c>
      <c r="O276">
        <f>COUNTIFS($B$2:B276,B276,$C$2:C276,C276,$D$2:D276,"&lt;"&amp;D276,$F$2:F276,1)</f>
        <v>1</v>
      </c>
      <c r="P276">
        <f t="shared" si="50"/>
        <v>0</v>
      </c>
      <c r="Q276" t="str">
        <f t="shared" si="53"/>
        <v>Monitor</v>
      </c>
      <c r="R276">
        <v>0</v>
      </c>
      <c r="S276">
        <f t="shared" si="54"/>
        <v>0</v>
      </c>
      <c r="T276">
        <f t="shared" si="55"/>
        <v>0</v>
      </c>
      <c r="U276" t="str">
        <f t="shared" si="56"/>
        <v>Not Improved Enough</v>
      </c>
      <c r="V276" t="str">
        <f t="shared" si="57"/>
        <v>Far</v>
      </c>
      <c r="W276" t="str">
        <f t="shared" si="58"/>
        <v>Normal</v>
      </c>
      <c r="X276" t="str">
        <f t="shared" si="59"/>
        <v>Allowed</v>
      </c>
    </row>
    <row r="277" spans="1:24" x14ac:dyDescent="0.3">
      <c r="A277" t="s">
        <v>10</v>
      </c>
      <c r="B277" t="s">
        <v>28</v>
      </c>
      <c r="C277" t="s">
        <v>19</v>
      </c>
      <c r="D277" s="3">
        <v>45688</v>
      </c>
      <c r="E277" s="6">
        <v>0.12870448772226931</v>
      </c>
      <c r="F277">
        <v>0</v>
      </c>
      <c r="G277" t="s">
        <v>13</v>
      </c>
      <c r="H277" s="6">
        <v>0.1</v>
      </c>
      <c r="I277" s="8">
        <v>-2.2579734688123951E-3</v>
      </c>
      <c r="J277" s="5">
        <f t="shared" si="48"/>
        <v>-3.0570725046180952E-3</v>
      </c>
      <c r="K277" s="5" cm="1">
        <f t="array" ref="K277">_xlfn.STDEV.S(IF($C:$C=C277,$I:$I))</f>
        <v>0.17799866497296365</v>
      </c>
      <c r="L277" s="7">
        <f t="shared" si="51"/>
        <v>4.4893540967123318E-3</v>
      </c>
      <c r="M277">
        <f t="shared" si="49"/>
        <v>0</v>
      </c>
      <c r="N277" s="9">
        <f t="shared" si="52"/>
        <v>0.28704487722269301</v>
      </c>
      <c r="O277">
        <f>COUNTIFS($B$2:B277,B277,$C$2:C277,C277,$D$2:D277,"&lt;"&amp;D277,$F$2:F277,1)</f>
        <v>2</v>
      </c>
      <c r="P277">
        <f t="shared" si="50"/>
        <v>-1</v>
      </c>
      <c r="Q277" t="str">
        <f t="shared" si="53"/>
        <v>Monitor</v>
      </c>
      <c r="R277">
        <v>1</v>
      </c>
      <c r="S277">
        <f t="shared" si="54"/>
        <v>0</v>
      </c>
      <c r="T277">
        <f t="shared" si="55"/>
        <v>0</v>
      </c>
      <c r="U277" t="str">
        <f t="shared" si="56"/>
        <v>Not Improved Enough</v>
      </c>
      <c r="V277" t="str">
        <f t="shared" si="57"/>
        <v>Far</v>
      </c>
      <c r="W277" t="str">
        <f t="shared" si="58"/>
        <v>Normal</v>
      </c>
      <c r="X277" t="str">
        <f t="shared" si="59"/>
        <v>Allowed</v>
      </c>
    </row>
    <row r="278" spans="1:24" x14ac:dyDescent="0.3">
      <c r="A278" t="s">
        <v>10</v>
      </c>
      <c r="B278" t="s">
        <v>28</v>
      </c>
      <c r="C278" t="s">
        <v>19</v>
      </c>
      <c r="D278" s="3">
        <v>45716</v>
      </c>
      <c r="E278" s="6">
        <v>0.12545916925685219</v>
      </c>
      <c r="F278">
        <v>0</v>
      </c>
      <c r="G278" t="s">
        <v>13</v>
      </c>
      <c r="H278" s="6">
        <v>0.1</v>
      </c>
      <c r="I278" s="8">
        <v>2.521527044511589E-2</v>
      </c>
      <c r="J278" s="5">
        <f t="shared" si="48"/>
        <v>-3.0570725046180952E-3</v>
      </c>
      <c r="K278" s="5" cm="1">
        <f t="array" ref="K278">_xlfn.STDEV.S(IF($C:$C=C278,$I:$I))</f>
        <v>0.17799866497296365</v>
      </c>
      <c r="L278" s="7">
        <f t="shared" si="51"/>
        <v>0.15883457864152123</v>
      </c>
      <c r="M278">
        <f t="shared" si="49"/>
        <v>0</v>
      </c>
      <c r="N278" s="9">
        <f t="shared" si="52"/>
        <v>0.25459169256852182</v>
      </c>
      <c r="O278">
        <f>COUNTIFS($B$2:B278,B278,$C$2:C278,C278,$D$2:D278,"&lt;"&amp;D278,$F$2:F278,1)</f>
        <v>2</v>
      </c>
      <c r="P278">
        <f t="shared" si="50"/>
        <v>0</v>
      </c>
      <c r="Q278" t="str">
        <f t="shared" si="53"/>
        <v>Monitor</v>
      </c>
      <c r="R278">
        <v>0</v>
      </c>
      <c r="S278">
        <f t="shared" si="54"/>
        <v>0</v>
      </c>
      <c r="T278">
        <f t="shared" si="55"/>
        <v>0</v>
      </c>
      <c r="U278" t="str">
        <f t="shared" si="56"/>
        <v>Improved Enough</v>
      </c>
      <c r="V278" t="str">
        <f t="shared" si="57"/>
        <v>Far</v>
      </c>
      <c r="W278" t="str">
        <f t="shared" si="58"/>
        <v>Normal</v>
      </c>
      <c r="X278" t="str">
        <f t="shared" si="59"/>
        <v>Allowed</v>
      </c>
    </row>
    <row r="279" spans="1:24" x14ac:dyDescent="0.3">
      <c r="A279" t="s">
        <v>10</v>
      </c>
      <c r="B279" t="s">
        <v>28</v>
      </c>
      <c r="C279" t="s">
        <v>19</v>
      </c>
      <c r="D279" s="3">
        <v>45747</v>
      </c>
      <c r="E279" s="6">
        <v>0.11548259269742429</v>
      </c>
      <c r="F279">
        <v>0</v>
      </c>
      <c r="G279" t="s">
        <v>13</v>
      </c>
      <c r="H279" s="6">
        <v>0.1</v>
      </c>
      <c r="I279" s="8">
        <v>7.9520505504088568E-2</v>
      </c>
      <c r="J279" s="5">
        <f t="shared" si="48"/>
        <v>-3.0570725046180952E-3</v>
      </c>
      <c r="K279" s="5" cm="1">
        <f t="array" ref="K279">_xlfn.STDEV.S(IF($C:$C=C279,$I:$I))</f>
        <v>0.17799866497296365</v>
      </c>
      <c r="L279" s="7">
        <f t="shared" si="51"/>
        <v>0.46392245706589669</v>
      </c>
      <c r="M279">
        <f t="shared" si="49"/>
        <v>0</v>
      </c>
      <c r="N279" s="9">
        <f t="shared" si="52"/>
        <v>0.15482592697424288</v>
      </c>
      <c r="O279">
        <f>COUNTIFS($B$2:B279,B279,$C$2:C279,C279,$D$2:D279,"&lt;"&amp;D279,$F$2:F279,1)</f>
        <v>2</v>
      </c>
      <c r="P279">
        <f t="shared" si="50"/>
        <v>0</v>
      </c>
      <c r="Q279" t="str">
        <f t="shared" si="53"/>
        <v>Monitor</v>
      </c>
      <c r="R279">
        <v>0</v>
      </c>
      <c r="S279">
        <f t="shared" si="54"/>
        <v>0</v>
      </c>
      <c r="T279">
        <f t="shared" si="55"/>
        <v>0</v>
      </c>
      <c r="U279" t="str">
        <f t="shared" si="56"/>
        <v>Improved Enough</v>
      </c>
      <c r="V279" t="str">
        <f t="shared" si="57"/>
        <v>Far</v>
      </c>
      <c r="W279" t="str">
        <f t="shared" si="58"/>
        <v>Normal</v>
      </c>
      <c r="X279" t="str">
        <f t="shared" si="59"/>
        <v>Allowed</v>
      </c>
    </row>
    <row r="280" spans="1:24" x14ac:dyDescent="0.3">
      <c r="A280" t="s">
        <v>10</v>
      </c>
      <c r="B280" t="s">
        <v>28</v>
      </c>
      <c r="C280" t="s">
        <v>19</v>
      </c>
      <c r="D280" s="3">
        <v>45777</v>
      </c>
      <c r="E280" s="6">
        <v>0.1055019852524107</v>
      </c>
      <c r="F280">
        <v>0</v>
      </c>
      <c r="G280" t="s">
        <v>13</v>
      </c>
      <c r="H280" s="6">
        <v>0.1</v>
      </c>
      <c r="I280" s="8">
        <v>8.6425211037335872E-2</v>
      </c>
      <c r="J280" s="5">
        <f t="shared" si="48"/>
        <v>-3.0570725046180952E-3</v>
      </c>
      <c r="K280" s="5" cm="1">
        <f t="array" ref="K280">_xlfn.STDEV.S(IF($C:$C=C280,$I:$I))</f>
        <v>0.17799866497296365</v>
      </c>
      <c r="L280" s="7">
        <f t="shared" si="51"/>
        <v>0.50271322852643585</v>
      </c>
      <c r="M280">
        <f t="shared" si="49"/>
        <v>-1</v>
      </c>
      <c r="N280" s="9">
        <f t="shared" si="52"/>
        <v>5.5019852524106905E-2</v>
      </c>
      <c r="O280">
        <f>COUNTIFS($B$2:B280,B280,$C$2:C280,C280,$D$2:D280,"&lt;"&amp;D280,$F$2:F280,1)</f>
        <v>2</v>
      </c>
      <c r="P280">
        <f t="shared" si="50"/>
        <v>0</v>
      </c>
      <c r="Q280" t="str">
        <f t="shared" si="53"/>
        <v>Monitor</v>
      </c>
      <c r="R280">
        <v>0</v>
      </c>
      <c r="S280">
        <f t="shared" si="54"/>
        <v>0</v>
      </c>
      <c r="T280">
        <f t="shared" si="55"/>
        <v>0</v>
      </c>
      <c r="U280" t="str">
        <f t="shared" si="56"/>
        <v>Improved Enough</v>
      </c>
      <c r="V280" t="str">
        <f t="shared" si="57"/>
        <v>Far</v>
      </c>
      <c r="W280" t="str">
        <f t="shared" si="58"/>
        <v>Normal</v>
      </c>
      <c r="X280" t="str">
        <f t="shared" si="59"/>
        <v>Allowed</v>
      </c>
    </row>
    <row r="281" spans="1:24" x14ac:dyDescent="0.3">
      <c r="A281" t="s">
        <v>10</v>
      </c>
      <c r="B281" t="s">
        <v>28</v>
      </c>
      <c r="C281" t="s">
        <v>19</v>
      </c>
      <c r="D281" s="3">
        <v>45808</v>
      </c>
      <c r="E281" s="6">
        <v>0.1087818696883853</v>
      </c>
      <c r="F281">
        <v>0</v>
      </c>
      <c r="G281" t="s">
        <v>13</v>
      </c>
      <c r="H281" s="6">
        <v>0.1</v>
      </c>
      <c r="I281" s="8">
        <v>-3.1088366992597951E-2</v>
      </c>
      <c r="J281" s="5">
        <f t="shared" si="48"/>
        <v>-3.0570725046180952E-3</v>
      </c>
      <c r="K281" s="5" cm="1">
        <f t="array" ref="K281">_xlfn.STDEV.S(IF($C:$C=C281,$I:$I))</f>
        <v>0.17799866497296365</v>
      </c>
      <c r="L281" s="7">
        <f t="shared" si="51"/>
        <v>-0.15748036364338772</v>
      </c>
      <c r="M281">
        <f t="shared" si="49"/>
        <v>0</v>
      </c>
      <c r="N281" s="9">
        <f t="shared" si="52"/>
        <v>8.7818696883852909E-2</v>
      </c>
      <c r="O281">
        <f>COUNTIFS($B$2:B281,B281,$C$2:C281,C281,$D$2:D281,"&lt;"&amp;D281,$F$2:F281,1)</f>
        <v>2</v>
      </c>
      <c r="P281">
        <f t="shared" si="50"/>
        <v>0</v>
      </c>
      <c r="Q281" t="str">
        <f t="shared" si="53"/>
        <v>Monitor</v>
      </c>
      <c r="R281">
        <v>0</v>
      </c>
      <c r="S281">
        <f t="shared" si="54"/>
        <v>0</v>
      </c>
      <c r="T281">
        <f t="shared" si="55"/>
        <v>0</v>
      </c>
      <c r="U281" t="str">
        <f t="shared" si="56"/>
        <v>Not Improved Enough</v>
      </c>
      <c r="V281" t="str">
        <f t="shared" si="57"/>
        <v>Far</v>
      </c>
      <c r="W281" t="str">
        <f t="shared" si="58"/>
        <v>Normal</v>
      </c>
      <c r="X281" t="str">
        <f t="shared" si="59"/>
        <v>Allowed</v>
      </c>
    </row>
    <row r="282" spans="1:24" x14ac:dyDescent="0.3">
      <c r="A282" t="s">
        <v>10</v>
      </c>
      <c r="B282" t="s">
        <v>28</v>
      </c>
      <c r="C282" t="s">
        <v>19</v>
      </c>
      <c r="D282" s="3">
        <v>45838</v>
      </c>
      <c r="E282" s="6">
        <v>8.2317073170731711E-2</v>
      </c>
      <c r="F282">
        <v>0</v>
      </c>
      <c r="G282" t="s">
        <v>13</v>
      </c>
      <c r="H282" s="6">
        <v>0.1</v>
      </c>
      <c r="I282" s="8">
        <v>0.24328315548780499</v>
      </c>
      <c r="J282" s="5">
        <f t="shared" si="48"/>
        <v>-3.0570725046180952E-3</v>
      </c>
      <c r="K282" s="5" cm="1">
        <f t="array" ref="K282">_xlfn.STDEV.S(IF($C:$C=C282,$I:$I))</f>
        <v>0.17799866497296365</v>
      </c>
      <c r="L282" s="7">
        <f t="shared" si="51"/>
        <v>1.3839442449180159</v>
      </c>
      <c r="M282">
        <f t="shared" si="49"/>
        <v>-1</v>
      </c>
      <c r="N282" s="9">
        <f t="shared" si="52"/>
        <v>-0.17682926829268295</v>
      </c>
      <c r="O282">
        <f>COUNTIFS($B$2:B282,B282,$C$2:C282,C282,$D$2:D282,"&lt;"&amp;D282,$F$2:F282,1)</f>
        <v>2</v>
      </c>
      <c r="P282">
        <f t="shared" si="50"/>
        <v>0</v>
      </c>
      <c r="Q282" t="str">
        <f t="shared" si="53"/>
        <v>Monitor</v>
      </c>
      <c r="R282">
        <v>0</v>
      </c>
      <c r="S282">
        <f t="shared" si="54"/>
        <v>0</v>
      </c>
      <c r="T282">
        <f t="shared" si="55"/>
        <v>0</v>
      </c>
      <c r="U282" t="str">
        <f t="shared" si="56"/>
        <v>Improved Enough</v>
      </c>
      <c r="V282" t="str">
        <f t="shared" si="57"/>
        <v>Close</v>
      </c>
      <c r="W282" t="str">
        <f t="shared" si="58"/>
        <v>Normal</v>
      </c>
      <c r="X282" t="str">
        <f t="shared" si="59"/>
        <v>Allowed</v>
      </c>
    </row>
    <row r="283" spans="1:24" x14ac:dyDescent="0.3">
      <c r="A283" t="s">
        <v>10</v>
      </c>
      <c r="B283" t="s">
        <v>28</v>
      </c>
      <c r="C283" t="s">
        <v>19</v>
      </c>
      <c r="D283" s="3">
        <v>45869</v>
      </c>
      <c r="E283" s="6">
        <v>0.10818933132982721</v>
      </c>
      <c r="F283">
        <v>0</v>
      </c>
      <c r="G283" t="s">
        <v>13</v>
      </c>
      <c r="H283" s="6">
        <v>0.1</v>
      </c>
      <c r="I283" s="8">
        <v>-0.31430002504382681</v>
      </c>
      <c r="J283" s="5">
        <f t="shared" si="48"/>
        <v>-3.0570725046180952E-3</v>
      </c>
      <c r="K283" s="5" cm="1">
        <f t="array" ref="K283">_xlfn.STDEV.S(IF($C:$C=C283,$I:$I))</f>
        <v>0.17799866497296365</v>
      </c>
      <c r="L283" s="7">
        <f t="shared" si="51"/>
        <v>-1.7485690276749188</v>
      </c>
      <c r="M283">
        <f t="shared" si="49"/>
        <v>1</v>
      </c>
      <c r="N283" s="9">
        <f t="shared" si="52"/>
        <v>8.1893313298272014E-2</v>
      </c>
      <c r="O283">
        <f>COUNTIFS($B$2:B283,B283,$C$2:C283,C283,$D$2:D283,"&lt;"&amp;D283,$F$2:F283,1)</f>
        <v>2</v>
      </c>
      <c r="P283">
        <f t="shared" si="50"/>
        <v>0</v>
      </c>
      <c r="Q283" t="str">
        <f t="shared" si="53"/>
        <v>Intervene</v>
      </c>
      <c r="R283">
        <v>0</v>
      </c>
      <c r="S283">
        <f t="shared" si="54"/>
        <v>1</v>
      </c>
      <c r="T283">
        <f t="shared" si="55"/>
        <v>1</v>
      </c>
      <c r="U283" t="str">
        <f t="shared" si="56"/>
        <v>Not Improved Enough</v>
      </c>
      <c r="V283" t="str">
        <f t="shared" si="57"/>
        <v>Far</v>
      </c>
      <c r="W283" t="str">
        <f t="shared" si="58"/>
        <v>Abnormal</v>
      </c>
      <c r="X283" t="str">
        <f t="shared" si="59"/>
        <v>Allowed</v>
      </c>
    </row>
    <row r="284" spans="1:24" x14ac:dyDescent="0.3">
      <c r="A284" t="s">
        <v>10</v>
      </c>
      <c r="B284" t="s">
        <v>28</v>
      </c>
      <c r="C284" t="s">
        <v>19</v>
      </c>
      <c r="D284" s="3">
        <v>45900</v>
      </c>
      <c r="E284" s="6">
        <v>0.1123778501628664</v>
      </c>
      <c r="F284">
        <v>0</v>
      </c>
      <c r="G284" t="s">
        <v>13</v>
      </c>
      <c r="H284" s="6">
        <v>0.1</v>
      </c>
      <c r="I284" s="8">
        <v>-3.8714712269272013E-2</v>
      </c>
      <c r="J284" s="5">
        <f t="shared" si="48"/>
        <v>-3.0570725046180952E-3</v>
      </c>
      <c r="K284" s="5" cm="1">
        <f t="array" ref="K284">_xlfn.STDEV.S(IF($C:$C=C284,$I:$I))</f>
        <v>0.17799866497296365</v>
      </c>
      <c r="L284" s="7">
        <f t="shared" si="51"/>
        <v>-0.20032532137288769</v>
      </c>
      <c r="M284">
        <f t="shared" si="49"/>
        <v>0</v>
      </c>
      <c r="N284" s="9">
        <f t="shared" si="52"/>
        <v>0.12377850162866397</v>
      </c>
      <c r="O284">
        <f>COUNTIFS($B$2:B284,B284,$C$2:C284,C284,$D$2:D284,"&lt;"&amp;D284,$F$2:F284,1)</f>
        <v>2</v>
      </c>
      <c r="P284">
        <f t="shared" si="50"/>
        <v>0</v>
      </c>
      <c r="Q284" t="str">
        <f t="shared" si="53"/>
        <v>Monitor</v>
      </c>
      <c r="R284">
        <v>0</v>
      </c>
      <c r="S284">
        <f t="shared" si="54"/>
        <v>0</v>
      </c>
      <c r="T284">
        <f t="shared" si="55"/>
        <v>0</v>
      </c>
      <c r="U284" t="str">
        <f t="shared" si="56"/>
        <v>Not Improved Enough</v>
      </c>
      <c r="V284" t="str">
        <f t="shared" si="57"/>
        <v>Far</v>
      </c>
      <c r="W284" t="str">
        <f t="shared" si="58"/>
        <v>Normal</v>
      </c>
      <c r="X284" t="str">
        <f t="shared" si="59"/>
        <v>Allowed</v>
      </c>
    </row>
    <row r="285" spans="1:24" x14ac:dyDescent="0.3">
      <c r="A285" t="s">
        <v>10</v>
      </c>
      <c r="B285" t="s">
        <v>28</v>
      </c>
      <c r="C285" t="s">
        <v>19</v>
      </c>
      <c r="D285" s="3">
        <v>45930</v>
      </c>
      <c r="E285" s="6">
        <v>0.1107742065898524</v>
      </c>
      <c r="F285">
        <v>0</v>
      </c>
      <c r="G285" t="s">
        <v>13</v>
      </c>
      <c r="H285" s="6">
        <v>0.1</v>
      </c>
      <c r="I285" s="8">
        <v>1.427010367870429E-2</v>
      </c>
      <c r="J285" s="5">
        <f t="shared" si="48"/>
        <v>-3.0570725046180952E-3</v>
      </c>
      <c r="K285" s="5" cm="1">
        <f t="array" ref="K285">_xlfn.STDEV.S(IF($C:$C=C285,$I:$I))</f>
        <v>0.17799866497296365</v>
      </c>
      <c r="L285" s="7">
        <f t="shared" si="51"/>
        <v>9.7344416521068969E-2</v>
      </c>
      <c r="M285">
        <f t="shared" si="49"/>
        <v>0</v>
      </c>
      <c r="N285" s="9">
        <f t="shared" si="52"/>
        <v>0.10774206589852398</v>
      </c>
      <c r="O285">
        <f>COUNTIFS($B$2:B285,B285,$C$2:C285,C285,$D$2:D285,"&lt;"&amp;D285,$F$2:F285,1)</f>
        <v>2</v>
      </c>
      <c r="P285">
        <f t="shared" si="50"/>
        <v>0</v>
      </c>
      <c r="Q285" t="str">
        <f t="shared" si="53"/>
        <v>Monitor</v>
      </c>
      <c r="R285">
        <v>0</v>
      </c>
      <c r="S285">
        <f t="shared" si="54"/>
        <v>0</v>
      </c>
      <c r="T285">
        <f t="shared" si="55"/>
        <v>0</v>
      </c>
      <c r="U285" t="str">
        <f t="shared" si="56"/>
        <v>Improved Enough</v>
      </c>
      <c r="V285" t="str">
        <f t="shared" si="57"/>
        <v>Far</v>
      </c>
      <c r="W285" t="str">
        <f t="shared" si="58"/>
        <v>Normal</v>
      </c>
      <c r="X285" t="str">
        <f t="shared" si="59"/>
        <v>Allowed</v>
      </c>
    </row>
    <row r="286" spans="1:24" x14ac:dyDescent="0.3">
      <c r="A286" t="s">
        <v>10</v>
      </c>
      <c r="B286" t="s">
        <v>28</v>
      </c>
      <c r="C286" t="s">
        <v>19</v>
      </c>
      <c r="D286" s="3">
        <v>45961</v>
      </c>
      <c r="E286" s="6">
        <v>0.1083032490974729</v>
      </c>
      <c r="F286">
        <v>0</v>
      </c>
      <c r="G286" t="s">
        <v>13</v>
      </c>
      <c r="H286" s="6">
        <v>0.1</v>
      </c>
      <c r="I286" s="8">
        <v>2.2306253129199691E-2</v>
      </c>
      <c r="J286" s="5">
        <f t="shared" si="48"/>
        <v>-3.0570725046180952E-3</v>
      </c>
      <c r="K286" s="5" cm="1">
        <f t="array" ref="K286">_xlfn.STDEV.S(IF($C:$C=C286,$I:$I))</f>
        <v>0.17799866497296365</v>
      </c>
      <c r="L286" s="7">
        <f t="shared" si="51"/>
        <v>0.14249166215752371</v>
      </c>
      <c r="M286">
        <f t="shared" si="49"/>
        <v>0</v>
      </c>
      <c r="N286" s="9">
        <f t="shared" si="52"/>
        <v>8.3032490974728895E-2</v>
      </c>
      <c r="O286">
        <f>COUNTIFS($B$2:B286,B286,$C$2:C286,C286,$D$2:D286,"&lt;"&amp;D286,$F$2:F286,1)</f>
        <v>2</v>
      </c>
      <c r="P286">
        <f t="shared" si="50"/>
        <v>0</v>
      </c>
      <c r="Q286" t="str">
        <f t="shared" si="53"/>
        <v>Monitor</v>
      </c>
      <c r="R286">
        <v>0</v>
      </c>
      <c r="S286">
        <f t="shared" si="54"/>
        <v>0</v>
      </c>
      <c r="T286">
        <f t="shared" si="55"/>
        <v>0</v>
      </c>
      <c r="U286" t="str">
        <f t="shared" si="56"/>
        <v>Improved Enough</v>
      </c>
      <c r="V286" t="str">
        <f t="shared" si="57"/>
        <v>Far</v>
      </c>
      <c r="W286" t="str">
        <f t="shared" si="58"/>
        <v>Normal</v>
      </c>
      <c r="X286" t="str">
        <f t="shared" si="59"/>
        <v>Allowed</v>
      </c>
    </row>
    <row r="287" spans="1:24" x14ac:dyDescent="0.3">
      <c r="A287" t="s">
        <v>10</v>
      </c>
      <c r="B287" t="s">
        <v>28</v>
      </c>
      <c r="C287" t="s">
        <v>19</v>
      </c>
      <c r="D287" s="3">
        <v>45991</v>
      </c>
      <c r="E287" s="6">
        <v>0.1090836174052537</v>
      </c>
      <c r="F287">
        <v>0</v>
      </c>
      <c r="G287" t="s">
        <v>13</v>
      </c>
      <c r="H287" s="6">
        <v>0.1</v>
      </c>
      <c r="I287" s="8">
        <v>-7.2054007085094289E-3</v>
      </c>
      <c r="J287" s="5">
        <f t="shared" si="48"/>
        <v>-3.0570725046180952E-3</v>
      </c>
      <c r="K287" s="5" cm="1">
        <f t="array" ref="K287">_xlfn.STDEV.S(IF($C:$C=C287,$I:$I))</f>
        <v>0.17799866497296365</v>
      </c>
      <c r="L287" s="7">
        <f t="shared" si="51"/>
        <v>-2.3305389422563515E-2</v>
      </c>
      <c r="M287">
        <f t="shared" si="49"/>
        <v>0</v>
      </c>
      <c r="N287" s="9">
        <f t="shared" si="52"/>
        <v>9.0836174052536939E-2</v>
      </c>
      <c r="O287">
        <f>COUNTIFS($B$2:B287,B287,$C$2:C287,C287,$D$2:D287,"&lt;"&amp;D287,$F$2:F287,1)</f>
        <v>2</v>
      </c>
      <c r="P287">
        <f t="shared" si="50"/>
        <v>0</v>
      </c>
      <c r="Q287" t="str">
        <f t="shared" si="53"/>
        <v>Monitor</v>
      </c>
      <c r="R287">
        <v>0</v>
      </c>
      <c r="S287">
        <f t="shared" si="54"/>
        <v>0</v>
      </c>
      <c r="T287">
        <f t="shared" si="55"/>
        <v>0</v>
      </c>
      <c r="U287" t="str">
        <f t="shared" si="56"/>
        <v>Not Improved Enough</v>
      </c>
      <c r="V287" t="str">
        <f t="shared" si="57"/>
        <v>Far</v>
      </c>
      <c r="W287" t="str">
        <f t="shared" si="58"/>
        <v>Normal</v>
      </c>
      <c r="X287" t="str">
        <f t="shared" si="59"/>
        <v>Allowed</v>
      </c>
    </row>
    <row r="288" spans="1:24" x14ac:dyDescent="0.3">
      <c r="A288" t="s">
        <v>20</v>
      </c>
      <c r="B288" t="s">
        <v>28</v>
      </c>
      <c r="C288" t="s">
        <v>21</v>
      </c>
      <c r="D288" s="3">
        <v>45535</v>
      </c>
      <c r="E288" s="6">
        <v>0.66300000000000003</v>
      </c>
      <c r="F288">
        <v>0</v>
      </c>
      <c r="G288" t="s">
        <v>13</v>
      </c>
      <c r="H288" s="6">
        <v>0.59</v>
      </c>
      <c r="I288" s="8">
        <v>-6.7632850241545958E-2</v>
      </c>
      <c r="J288" s="5">
        <f t="shared" si="48"/>
        <v>-4.8849805534298088E-2</v>
      </c>
      <c r="K288" s="5" cm="1">
        <f t="array" ref="K288">_xlfn.STDEV.S(IF($C:$C=C288,$I:$I))</f>
        <v>0.44966933193859487</v>
      </c>
      <c r="L288" s="7">
        <f t="shared" si="51"/>
        <v>-4.1770793276631128E-2</v>
      </c>
      <c r="M288">
        <f t="shared" si="49"/>
        <v>0</v>
      </c>
      <c r="N288" s="9">
        <f t="shared" si="52"/>
        <v>0.12372881355932215</v>
      </c>
      <c r="O288">
        <f>COUNTIFS($B$2:B288,B288,$C$2:C288,C288,$D$2:D288,"&lt;"&amp;D288,$F$2:F288,1)</f>
        <v>0</v>
      </c>
      <c r="P288">
        <f t="shared" si="50"/>
        <v>0</v>
      </c>
      <c r="Q288" t="str">
        <f t="shared" si="53"/>
        <v>Monitor</v>
      </c>
      <c r="R288">
        <v>0</v>
      </c>
      <c r="S288">
        <f t="shared" si="54"/>
        <v>0</v>
      </c>
      <c r="T288">
        <f t="shared" si="55"/>
        <v>0</v>
      </c>
      <c r="U288" t="str">
        <f t="shared" si="56"/>
        <v>Not Improved Enough</v>
      </c>
      <c r="V288" t="str">
        <f t="shared" si="57"/>
        <v>Far</v>
      </c>
      <c r="W288" t="str">
        <f t="shared" si="58"/>
        <v>Normal</v>
      </c>
      <c r="X288" t="str">
        <f t="shared" si="59"/>
        <v>Allowed</v>
      </c>
    </row>
    <row r="289" spans="1:24" x14ac:dyDescent="0.3">
      <c r="A289" t="s">
        <v>20</v>
      </c>
      <c r="B289" t="s">
        <v>28</v>
      </c>
      <c r="C289" t="s">
        <v>21</v>
      </c>
      <c r="D289" s="3">
        <v>45565</v>
      </c>
      <c r="E289" s="6">
        <v>0.7</v>
      </c>
      <c r="F289">
        <v>1</v>
      </c>
      <c r="G289" t="s">
        <v>13</v>
      </c>
      <c r="H289" s="6">
        <v>0.59</v>
      </c>
      <c r="I289" s="8">
        <v>-5.5806938159879207E-2</v>
      </c>
      <c r="J289" s="5">
        <f t="shared" si="48"/>
        <v>-4.8849805534298088E-2</v>
      </c>
      <c r="K289" s="5" cm="1">
        <f t="array" ref="K289">_xlfn.STDEV.S(IF($C:$C=C289,$I:$I))</f>
        <v>0.44966933193859487</v>
      </c>
      <c r="L289" s="7">
        <f t="shared" si="51"/>
        <v>-1.5471663579074499E-2</v>
      </c>
      <c r="M289">
        <f t="shared" si="49"/>
        <v>0</v>
      </c>
      <c r="N289" s="9">
        <f t="shared" si="52"/>
        <v>0.18644067796610167</v>
      </c>
      <c r="O289">
        <f>COUNTIFS($B$2:B289,B289,$C$2:C289,C289,$D$2:D289,"&lt;"&amp;D289,$F$2:F289,1)</f>
        <v>0</v>
      </c>
      <c r="P289">
        <f t="shared" si="50"/>
        <v>0</v>
      </c>
      <c r="Q289" t="str">
        <f t="shared" si="53"/>
        <v>Monitor</v>
      </c>
      <c r="R289">
        <v>0</v>
      </c>
      <c r="S289">
        <f t="shared" si="54"/>
        <v>0</v>
      </c>
      <c r="T289">
        <f t="shared" si="55"/>
        <v>0</v>
      </c>
      <c r="U289" t="str">
        <f t="shared" si="56"/>
        <v>Not Improved Enough</v>
      </c>
      <c r="V289" t="str">
        <f t="shared" si="57"/>
        <v>Far</v>
      </c>
      <c r="W289" t="str">
        <f t="shared" si="58"/>
        <v>Normal</v>
      </c>
      <c r="X289" t="str">
        <f t="shared" si="59"/>
        <v>Allowed</v>
      </c>
    </row>
    <row r="290" spans="1:24" x14ac:dyDescent="0.3">
      <c r="A290" t="s">
        <v>20</v>
      </c>
      <c r="B290" t="s">
        <v>28</v>
      </c>
      <c r="C290" t="s">
        <v>21</v>
      </c>
      <c r="D290" s="3">
        <v>45596</v>
      </c>
      <c r="E290" s="6">
        <v>0.68</v>
      </c>
      <c r="F290">
        <v>0</v>
      </c>
      <c r="G290" t="s">
        <v>13</v>
      </c>
      <c r="H290" s="6">
        <v>0.59</v>
      </c>
      <c r="I290" s="8">
        <v>2.8571428571428439E-2</v>
      </c>
      <c r="J290" s="5">
        <f t="shared" si="48"/>
        <v>-4.8849805534298088E-2</v>
      </c>
      <c r="K290" s="5" cm="1">
        <f t="array" ref="K290">_xlfn.STDEV.S(IF($C:$C=C290,$I:$I))</f>
        <v>0.44966933193859487</v>
      </c>
      <c r="L290" s="7">
        <f t="shared" si="51"/>
        <v>0.1721737032231028</v>
      </c>
      <c r="M290">
        <f t="shared" si="49"/>
        <v>0</v>
      </c>
      <c r="N290" s="9">
        <f t="shared" si="52"/>
        <v>0.15254237288135608</v>
      </c>
      <c r="O290">
        <f>COUNTIFS($B$2:B290,B290,$C$2:C290,C290,$D$2:D290,"&lt;"&amp;D290,$F$2:F290,1)</f>
        <v>1</v>
      </c>
      <c r="P290">
        <f t="shared" si="50"/>
        <v>1</v>
      </c>
      <c r="Q290" t="str">
        <f t="shared" si="53"/>
        <v>Monitor</v>
      </c>
      <c r="R290">
        <v>1</v>
      </c>
      <c r="S290">
        <f t="shared" si="54"/>
        <v>0</v>
      </c>
      <c r="T290">
        <f t="shared" si="55"/>
        <v>0</v>
      </c>
      <c r="U290" t="str">
        <f t="shared" si="56"/>
        <v>Improved Enough</v>
      </c>
      <c r="V290" t="str">
        <f t="shared" si="57"/>
        <v>Far</v>
      </c>
      <c r="W290" t="str">
        <f t="shared" si="58"/>
        <v>Normal</v>
      </c>
      <c r="X290" t="str">
        <f t="shared" si="59"/>
        <v>Allowed</v>
      </c>
    </row>
    <row r="291" spans="1:24" x14ac:dyDescent="0.3">
      <c r="A291" t="s">
        <v>20</v>
      </c>
      <c r="B291" t="s">
        <v>28</v>
      </c>
      <c r="C291" t="s">
        <v>21</v>
      </c>
      <c r="D291" s="3">
        <v>45626</v>
      </c>
      <c r="E291" s="6">
        <v>0.69</v>
      </c>
      <c r="F291">
        <v>0</v>
      </c>
      <c r="G291" t="s">
        <v>13</v>
      </c>
      <c r="H291" s="6">
        <v>0.59</v>
      </c>
      <c r="I291" s="8">
        <v>-1.4705882352941031E-2</v>
      </c>
      <c r="J291" s="5">
        <f t="shared" si="48"/>
        <v>-4.8849805534298088E-2</v>
      </c>
      <c r="K291" s="5" cm="1">
        <f t="array" ref="K291">_xlfn.STDEV.S(IF($C:$C=C291,$I:$I))</f>
        <v>0.44966933193859487</v>
      </c>
      <c r="L291" s="7">
        <f t="shared" si="51"/>
        <v>7.5931180439095691E-2</v>
      </c>
      <c r="M291">
        <f t="shared" si="49"/>
        <v>0</v>
      </c>
      <c r="N291" s="9">
        <f t="shared" si="52"/>
        <v>0.16949152542372878</v>
      </c>
      <c r="O291">
        <f>COUNTIFS($B$2:B291,B291,$C$2:C291,C291,$D$2:D291,"&lt;"&amp;D291,$F$2:F291,1)</f>
        <v>1</v>
      </c>
      <c r="P291">
        <f t="shared" si="50"/>
        <v>0</v>
      </c>
      <c r="Q291" t="str">
        <f t="shared" si="53"/>
        <v>Monitor</v>
      </c>
      <c r="R291">
        <v>0</v>
      </c>
      <c r="S291">
        <f t="shared" si="54"/>
        <v>0</v>
      </c>
      <c r="T291">
        <f t="shared" si="55"/>
        <v>0</v>
      </c>
      <c r="U291" t="str">
        <f t="shared" si="56"/>
        <v>Not Improved Enough</v>
      </c>
      <c r="V291" t="str">
        <f t="shared" si="57"/>
        <v>Far</v>
      </c>
      <c r="W291" t="str">
        <f t="shared" si="58"/>
        <v>Normal</v>
      </c>
      <c r="X291" t="str">
        <f t="shared" si="59"/>
        <v>Allowed</v>
      </c>
    </row>
    <row r="292" spans="1:24" x14ac:dyDescent="0.3">
      <c r="A292" t="s">
        <v>20</v>
      </c>
      <c r="B292" t="s">
        <v>28</v>
      </c>
      <c r="C292" t="s">
        <v>21</v>
      </c>
      <c r="D292" s="3">
        <v>45657</v>
      </c>
      <c r="E292" s="6">
        <v>0.7</v>
      </c>
      <c r="F292">
        <v>1</v>
      </c>
      <c r="G292" t="s">
        <v>13</v>
      </c>
      <c r="H292" s="6">
        <v>0.59</v>
      </c>
      <c r="I292" s="8">
        <v>-1.449275362318842E-2</v>
      </c>
      <c r="J292" s="5">
        <f t="shared" si="48"/>
        <v>-4.8849805534298088E-2</v>
      </c>
      <c r="K292" s="5" cm="1">
        <f t="array" ref="K292">_xlfn.STDEV.S(IF($C:$C=C292,$I:$I))</f>
        <v>0.44966933193859487</v>
      </c>
      <c r="L292" s="7">
        <f t="shared" si="51"/>
        <v>7.6405148118487504E-2</v>
      </c>
      <c r="M292">
        <f t="shared" si="49"/>
        <v>0</v>
      </c>
      <c r="N292" s="9">
        <f t="shared" si="52"/>
        <v>0.18644067796610167</v>
      </c>
      <c r="O292">
        <f>COUNTIFS($B$2:B292,B292,$C$2:C292,C292,$D$2:D292,"&lt;"&amp;D292,$F$2:F292,1)</f>
        <v>1</v>
      </c>
      <c r="P292">
        <f t="shared" si="50"/>
        <v>0</v>
      </c>
      <c r="Q292" t="str">
        <f t="shared" si="53"/>
        <v>Monitor</v>
      </c>
      <c r="R292">
        <v>0</v>
      </c>
      <c r="S292">
        <f t="shared" si="54"/>
        <v>0</v>
      </c>
      <c r="T292">
        <f t="shared" si="55"/>
        <v>0</v>
      </c>
      <c r="U292" t="str">
        <f t="shared" si="56"/>
        <v>Not Improved Enough</v>
      </c>
      <c r="V292" t="str">
        <f t="shared" si="57"/>
        <v>Far</v>
      </c>
      <c r="W292" t="str">
        <f t="shared" si="58"/>
        <v>Normal</v>
      </c>
      <c r="X292" t="str">
        <f t="shared" si="59"/>
        <v>Allowed</v>
      </c>
    </row>
    <row r="293" spans="1:24" x14ac:dyDescent="0.3">
      <c r="A293" t="s">
        <v>20</v>
      </c>
      <c r="B293" t="s">
        <v>28</v>
      </c>
      <c r="C293" t="s">
        <v>21</v>
      </c>
      <c r="D293" s="3">
        <v>45688</v>
      </c>
      <c r="E293" s="6">
        <v>0.74</v>
      </c>
      <c r="F293">
        <v>0</v>
      </c>
      <c r="G293" t="s">
        <v>13</v>
      </c>
      <c r="H293" s="6">
        <v>0.59</v>
      </c>
      <c r="I293" s="8">
        <v>-5.7142857142857197E-2</v>
      </c>
      <c r="J293" s="5">
        <f t="shared" si="48"/>
        <v>-4.8849805534298088E-2</v>
      </c>
      <c r="K293" s="5" cm="1">
        <f t="array" ref="K293">_xlfn.STDEV.S(IF($C:$C=C293,$I:$I))</f>
        <v>0.44966933193859487</v>
      </c>
      <c r="L293" s="7">
        <f t="shared" si="51"/>
        <v>-1.8442555494737577E-2</v>
      </c>
      <c r="M293">
        <f t="shared" si="49"/>
        <v>0</v>
      </c>
      <c r="N293" s="9">
        <f t="shared" si="52"/>
        <v>0.25423728813559326</v>
      </c>
      <c r="O293">
        <f>COUNTIFS($B$2:B293,B293,$C$2:C293,C293,$D$2:D293,"&lt;"&amp;D293,$F$2:F293,1)</f>
        <v>2</v>
      </c>
      <c r="P293">
        <f t="shared" si="50"/>
        <v>-1</v>
      </c>
      <c r="Q293" t="str">
        <f t="shared" si="53"/>
        <v>Monitor</v>
      </c>
      <c r="R293">
        <v>1</v>
      </c>
      <c r="S293">
        <f t="shared" si="54"/>
        <v>0</v>
      </c>
      <c r="T293">
        <f t="shared" si="55"/>
        <v>0</v>
      </c>
      <c r="U293" t="str">
        <f t="shared" si="56"/>
        <v>Not Improved Enough</v>
      </c>
      <c r="V293" t="str">
        <f t="shared" si="57"/>
        <v>Far</v>
      </c>
      <c r="W293" t="str">
        <f t="shared" si="58"/>
        <v>Normal</v>
      </c>
      <c r="X293" t="str">
        <f t="shared" si="59"/>
        <v>Allowed</v>
      </c>
    </row>
    <row r="294" spans="1:24" x14ac:dyDescent="0.3">
      <c r="A294" t="s">
        <v>20</v>
      </c>
      <c r="B294" t="s">
        <v>28</v>
      </c>
      <c r="C294" t="s">
        <v>21</v>
      </c>
      <c r="D294" s="3">
        <v>45716</v>
      </c>
      <c r="E294" s="6">
        <v>0.79</v>
      </c>
      <c r="F294">
        <v>0</v>
      </c>
      <c r="G294" t="s">
        <v>13</v>
      </c>
      <c r="H294" s="6">
        <v>0.59</v>
      </c>
      <c r="I294" s="8">
        <v>-6.7567567567567627E-2</v>
      </c>
      <c r="J294" s="5">
        <f t="shared" si="48"/>
        <v>-4.8849805534298088E-2</v>
      </c>
      <c r="K294" s="5" cm="1">
        <f t="array" ref="K294">_xlfn.STDEV.S(IF($C:$C=C294,$I:$I))</f>
        <v>0.44966933193859487</v>
      </c>
      <c r="L294" s="7">
        <f t="shared" si="51"/>
        <v>-4.1625613987447928E-2</v>
      </c>
      <c r="M294">
        <f t="shared" si="49"/>
        <v>0</v>
      </c>
      <c r="N294" s="9">
        <f t="shared" si="52"/>
        <v>0.33898305084745778</v>
      </c>
      <c r="O294">
        <f>COUNTIFS($B$2:B294,B294,$C$2:C294,C294,$D$2:D294,"&lt;"&amp;D294,$F$2:F294,1)</f>
        <v>2</v>
      </c>
      <c r="P294">
        <f t="shared" si="50"/>
        <v>0</v>
      </c>
      <c r="Q294" t="str">
        <f t="shared" si="53"/>
        <v>Monitor</v>
      </c>
      <c r="R294">
        <v>0</v>
      </c>
      <c r="S294">
        <f t="shared" si="54"/>
        <v>0</v>
      </c>
      <c r="T294">
        <f t="shared" si="55"/>
        <v>0</v>
      </c>
      <c r="U294" t="str">
        <f t="shared" si="56"/>
        <v>Not Improved Enough</v>
      </c>
      <c r="V294" t="str">
        <f t="shared" si="57"/>
        <v>Far</v>
      </c>
      <c r="W294" t="str">
        <f t="shared" si="58"/>
        <v>Normal</v>
      </c>
      <c r="X294" t="str">
        <f t="shared" si="59"/>
        <v>Allowed</v>
      </c>
    </row>
    <row r="295" spans="1:24" x14ac:dyDescent="0.3">
      <c r="A295" t="s">
        <v>20</v>
      </c>
      <c r="B295" t="s">
        <v>28</v>
      </c>
      <c r="C295" t="s">
        <v>21</v>
      </c>
      <c r="D295" s="3">
        <v>45747</v>
      </c>
      <c r="E295" s="6">
        <v>0.7</v>
      </c>
      <c r="F295">
        <v>0</v>
      </c>
      <c r="G295" t="s">
        <v>13</v>
      </c>
      <c r="H295" s="6">
        <v>0.59</v>
      </c>
      <c r="I295" s="8">
        <v>0.1139240506329115</v>
      </c>
      <c r="J295" s="5">
        <f t="shared" si="48"/>
        <v>-4.8849805534298088E-2</v>
      </c>
      <c r="K295" s="5" cm="1">
        <f t="array" ref="K295">_xlfn.STDEV.S(IF($C:$C=C295,$I:$I))</f>
        <v>0.44966933193859487</v>
      </c>
      <c r="L295" s="7">
        <f t="shared" si="51"/>
        <v>0.36198567392947611</v>
      </c>
      <c r="M295">
        <f t="shared" si="49"/>
        <v>0</v>
      </c>
      <c r="N295" s="9">
        <f t="shared" si="52"/>
        <v>0.18644067796610167</v>
      </c>
      <c r="O295">
        <f>COUNTIFS($B$2:B295,B295,$C$2:C295,C295,$D$2:D295,"&lt;"&amp;D295,$F$2:F295,1)</f>
        <v>2</v>
      </c>
      <c r="P295">
        <f t="shared" si="50"/>
        <v>0</v>
      </c>
      <c r="Q295" t="str">
        <f t="shared" si="53"/>
        <v>Monitor</v>
      </c>
      <c r="R295">
        <v>0</v>
      </c>
      <c r="S295">
        <f t="shared" si="54"/>
        <v>0</v>
      </c>
      <c r="T295">
        <f t="shared" si="55"/>
        <v>0</v>
      </c>
      <c r="U295" t="str">
        <f t="shared" si="56"/>
        <v>Improved Enough</v>
      </c>
      <c r="V295" t="str">
        <f t="shared" si="57"/>
        <v>Far</v>
      </c>
      <c r="W295" t="str">
        <f t="shared" si="58"/>
        <v>Normal</v>
      </c>
      <c r="X295" t="str">
        <f t="shared" si="59"/>
        <v>Allowed</v>
      </c>
    </row>
    <row r="296" spans="1:24" x14ac:dyDescent="0.3">
      <c r="A296" t="s">
        <v>20</v>
      </c>
      <c r="B296" t="s">
        <v>28</v>
      </c>
      <c r="C296" t="s">
        <v>21</v>
      </c>
      <c r="D296" s="3">
        <v>45777</v>
      </c>
      <c r="E296" s="6">
        <v>0.78</v>
      </c>
      <c r="F296">
        <v>0</v>
      </c>
      <c r="G296" t="s">
        <v>13</v>
      </c>
      <c r="H296" s="6">
        <v>0.59</v>
      </c>
      <c r="I296" s="8">
        <v>-0.11428571428571439</v>
      </c>
      <c r="J296" s="5">
        <f t="shared" si="48"/>
        <v>-4.8849805534298088E-2</v>
      </c>
      <c r="K296" s="5" cm="1">
        <f t="array" ref="K296">_xlfn.STDEV.S(IF($C:$C=C296,$I:$I))</f>
        <v>0.44966933193859487</v>
      </c>
      <c r="L296" s="7">
        <f t="shared" si="51"/>
        <v>-0.14552006130663139</v>
      </c>
      <c r="M296">
        <f t="shared" si="49"/>
        <v>0</v>
      </c>
      <c r="N296" s="9">
        <f t="shared" si="52"/>
        <v>0.32203389830508489</v>
      </c>
      <c r="O296">
        <f>COUNTIFS($B$2:B296,B296,$C$2:C296,C296,$D$2:D296,"&lt;"&amp;D296,$F$2:F296,1)</f>
        <v>2</v>
      </c>
      <c r="P296">
        <f t="shared" si="50"/>
        <v>0</v>
      </c>
      <c r="Q296" t="str">
        <f t="shared" si="53"/>
        <v>Monitor</v>
      </c>
      <c r="R296">
        <v>0</v>
      </c>
      <c r="S296">
        <f t="shared" si="54"/>
        <v>0</v>
      </c>
      <c r="T296">
        <f t="shared" si="55"/>
        <v>0</v>
      </c>
      <c r="U296" t="str">
        <f t="shared" si="56"/>
        <v>Not Improved Enough</v>
      </c>
      <c r="V296" t="str">
        <f t="shared" si="57"/>
        <v>Far</v>
      </c>
      <c r="W296" t="str">
        <f t="shared" si="58"/>
        <v>Normal</v>
      </c>
      <c r="X296" t="str">
        <f t="shared" si="59"/>
        <v>Allowed</v>
      </c>
    </row>
    <row r="297" spans="1:24" x14ac:dyDescent="0.3">
      <c r="A297" t="s">
        <v>20</v>
      </c>
      <c r="B297" t="s">
        <v>28</v>
      </c>
      <c r="C297" t="s">
        <v>21</v>
      </c>
      <c r="D297" s="3">
        <v>45808</v>
      </c>
      <c r="E297" s="6">
        <v>0.69</v>
      </c>
      <c r="F297">
        <v>0</v>
      </c>
      <c r="G297" t="s">
        <v>13</v>
      </c>
      <c r="H297" s="6">
        <v>0.59</v>
      </c>
      <c r="I297" s="8">
        <v>0.1153846153846155</v>
      </c>
      <c r="J297" s="5">
        <f t="shared" si="48"/>
        <v>-4.8849805534298088E-2</v>
      </c>
      <c r="K297" s="5" cm="1">
        <f t="array" ref="K297">_xlfn.STDEV.S(IF($C:$C=C297,$I:$I))</f>
        <v>0.44966933193859487</v>
      </c>
      <c r="L297" s="7">
        <f t="shared" si="51"/>
        <v>0.36523376012963416</v>
      </c>
      <c r="M297">
        <f t="shared" si="49"/>
        <v>0</v>
      </c>
      <c r="N297" s="9">
        <f t="shared" si="52"/>
        <v>0.16949152542372878</v>
      </c>
      <c r="O297">
        <f>COUNTIFS($B$2:B297,B297,$C$2:C297,C297,$D$2:D297,"&lt;"&amp;D297,$F$2:F297,1)</f>
        <v>2</v>
      </c>
      <c r="P297">
        <f t="shared" si="50"/>
        <v>0</v>
      </c>
      <c r="Q297" t="str">
        <f t="shared" si="53"/>
        <v>Monitor</v>
      </c>
      <c r="R297">
        <v>0</v>
      </c>
      <c r="S297">
        <f t="shared" si="54"/>
        <v>0</v>
      </c>
      <c r="T297">
        <f t="shared" si="55"/>
        <v>0</v>
      </c>
      <c r="U297" t="str">
        <f t="shared" si="56"/>
        <v>Improved Enough</v>
      </c>
      <c r="V297" t="str">
        <f t="shared" si="57"/>
        <v>Far</v>
      </c>
      <c r="W297" t="str">
        <f t="shared" si="58"/>
        <v>Normal</v>
      </c>
      <c r="X297" t="str">
        <f t="shared" si="59"/>
        <v>Allowed</v>
      </c>
    </row>
    <row r="298" spans="1:24" x14ac:dyDescent="0.3">
      <c r="A298" t="s">
        <v>20</v>
      </c>
      <c r="B298" t="s">
        <v>28</v>
      </c>
      <c r="C298" t="s">
        <v>21</v>
      </c>
      <c r="D298" s="3">
        <v>45838</v>
      </c>
      <c r="E298" s="6">
        <v>0.7</v>
      </c>
      <c r="F298">
        <v>0</v>
      </c>
      <c r="G298" t="s">
        <v>13</v>
      </c>
      <c r="H298" s="6">
        <v>0.59</v>
      </c>
      <c r="I298" s="8">
        <v>-1.449275362318842E-2</v>
      </c>
      <c r="J298" s="5">
        <f t="shared" si="48"/>
        <v>-4.8849805534298088E-2</v>
      </c>
      <c r="K298" s="5" cm="1">
        <f t="array" ref="K298">_xlfn.STDEV.S(IF($C:$C=C298,$I:$I))</f>
        <v>0.44966933193859487</v>
      </c>
      <c r="L298" s="7">
        <f t="shared" si="51"/>
        <v>7.6405148118487504E-2</v>
      </c>
      <c r="M298">
        <f t="shared" si="49"/>
        <v>0</v>
      </c>
      <c r="N298" s="9">
        <f t="shared" si="52"/>
        <v>0.18644067796610167</v>
      </c>
      <c r="O298">
        <f>COUNTIFS($B$2:B298,B298,$C$2:C298,C298,$D$2:D298,"&lt;"&amp;D298,$F$2:F298,1)</f>
        <v>2</v>
      </c>
      <c r="P298">
        <f t="shared" si="50"/>
        <v>0</v>
      </c>
      <c r="Q298" t="str">
        <f t="shared" si="53"/>
        <v>Monitor</v>
      </c>
      <c r="R298">
        <v>0</v>
      </c>
      <c r="S298">
        <f t="shared" si="54"/>
        <v>0</v>
      </c>
      <c r="T298">
        <f t="shared" si="55"/>
        <v>0</v>
      </c>
      <c r="U298" t="str">
        <f t="shared" si="56"/>
        <v>Not Improved Enough</v>
      </c>
      <c r="V298" t="str">
        <f t="shared" si="57"/>
        <v>Far</v>
      </c>
      <c r="W298" t="str">
        <f t="shared" si="58"/>
        <v>Normal</v>
      </c>
      <c r="X298" t="str">
        <f t="shared" si="59"/>
        <v>Allowed</v>
      </c>
    </row>
    <row r="299" spans="1:24" x14ac:dyDescent="0.3">
      <c r="A299" t="s">
        <v>20</v>
      </c>
      <c r="B299" t="s">
        <v>28</v>
      </c>
      <c r="C299" t="s">
        <v>21</v>
      </c>
      <c r="D299" s="3">
        <v>45869</v>
      </c>
      <c r="E299" s="6">
        <v>0.75</v>
      </c>
      <c r="F299">
        <v>0</v>
      </c>
      <c r="G299" t="s">
        <v>13</v>
      </c>
      <c r="H299" s="6">
        <v>0.59</v>
      </c>
      <c r="I299" s="8">
        <v>-7.1428571428571494E-2</v>
      </c>
      <c r="J299" s="5">
        <f t="shared" si="48"/>
        <v>-4.8849805534298088E-2</v>
      </c>
      <c r="K299" s="5" cm="1">
        <f t="array" ref="K299">_xlfn.STDEV.S(IF($C:$C=C299,$I:$I))</f>
        <v>0.44966933193859487</v>
      </c>
      <c r="L299" s="7">
        <f t="shared" si="51"/>
        <v>-5.0211931947711029E-2</v>
      </c>
      <c r="M299">
        <f t="shared" si="49"/>
        <v>0</v>
      </c>
      <c r="N299" s="9">
        <f t="shared" si="52"/>
        <v>0.27118644067796616</v>
      </c>
      <c r="O299">
        <f>COUNTIFS($B$2:B299,B299,$C$2:C299,C299,$D$2:D299,"&lt;"&amp;D299,$F$2:F299,1)</f>
        <v>2</v>
      </c>
      <c r="P299">
        <f t="shared" si="50"/>
        <v>0</v>
      </c>
      <c r="Q299" t="str">
        <f t="shared" si="53"/>
        <v>Monitor</v>
      </c>
      <c r="R299">
        <v>0</v>
      </c>
      <c r="S299">
        <f t="shared" si="54"/>
        <v>0</v>
      </c>
      <c r="T299">
        <f t="shared" si="55"/>
        <v>0</v>
      </c>
      <c r="U299" t="str">
        <f t="shared" si="56"/>
        <v>Not Improved Enough</v>
      </c>
      <c r="V299" t="str">
        <f t="shared" si="57"/>
        <v>Far</v>
      </c>
      <c r="W299" t="str">
        <f t="shared" si="58"/>
        <v>Normal</v>
      </c>
      <c r="X299" t="str">
        <f t="shared" si="59"/>
        <v>Allowed</v>
      </c>
    </row>
    <row r="300" spans="1:24" x14ac:dyDescent="0.3">
      <c r="A300" t="s">
        <v>20</v>
      </c>
      <c r="B300" t="s">
        <v>28</v>
      </c>
      <c r="C300" t="s">
        <v>21</v>
      </c>
      <c r="D300" s="3">
        <v>45900</v>
      </c>
      <c r="E300" s="6">
        <v>0.62</v>
      </c>
      <c r="F300">
        <v>0</v>
      </c>
      <c r="G300" t="s">
        <v>13</v>
      </c>
      <c r="H300" s="6">
        <v>0.59</v>
      </c>
      <c r="I300" s="8">
        <v>0.17333333333333331</v>
      </c>
      <c r="J300" s="5">
        <f t="shared" si="48"/>
        <v>-4.8849805534298088E-2</v>
      </c>
      <c r="K300" s="5" cm="1">
        <f t="array" ref="K300">_xlfn.STDEV.S(IF($C:$C=C300,$I:$I))</f>
        <v>0.44966933193859487</v>
      </c>
      <c r="L300" s="7">
        <f t="shared" si="51"/>
        <v>0.49410338461323372</v>
      </c>
      <c r="M300">
        <f t="shared" si="49"/>
        <v>0</v>
      </c>
      <c r="N300" s="9">
        <f t="shared" si="52"/>
        <v>5.0847457627118689E-2</v>
      </c>
      <c r="O300">
        <f>COUNTIFS($B$2:B300,B300,$C$2:C300,C300,$D$2:D300,"&lt;"&amp;D300,$F$2:F300,1)</f>
        <v>2</v>
      </c>
      <c r="P300">
        <f t="shared" si="50"/>
        <v>0</v>
      </c>
      <c r="Q300" t="str">
        <f t="shared" si="53"/>
        <v>Monitor</v>
      </c>
      <c r="R300">
        <v>0</v>
      </c>
      <c r="S300">
        <f t="shared" si="54"/>
        <v>0</v>
      </c>
      <c r="T300">
        <f t="shared" si="55"/>
        <v>0</v>
      </c>
      <c r="U300" t="str">
        <f t="shared" si="56"/>
        <v>Improved Enough</v>
      </c>
      <c r="V300" t="str">
        <f t="shared" si="57"/>
        <v>Far</v>
      </c>
      <c r="W300" t="str">
        <f t="shared" si="58"/>
        <v>Normal</v>
      </c>
      <c r="X300" t="str">
        <f t="shared" si="59"/>
        <v>Allowed</v>
      </c>
    </row>
    <row r="301" spans="1:24" x14ac:dyDescent="0.3">
      <c r="A301" t="s">
        <v>20</v>
      </c>
      <c r="B301" t="s">
        <v>28</v>
      </c>
      <c r="C301" t="s">
        <v>21</v>
      </c>
      <c r="D301" s="3">
        <v>45930</v>
      </c>
      <c r="E301" s="6">
        <v>0.65</v>
      </c>
      <c r="F301">
        <v>0</v>
      </c>
      <c r="G301" t="s">
        <v>13</v>
      </c>
      <c r="H301" s="6">
        <v>0.59</v>
      </c>
      <c r="I301" s="8">
        <v>-4.8387096774193589E-2</v>
      </c>
      <c r="J301" s="5">
        <f t="shared" si="48"/>
        <v>-4.8849805534298088E-2</v>
      </c>
      <c r="K301" s="5" cm="1">
        <f t="array" ref="K301">_xlfn.STDEV.S(IF($C:$C=C301,$I:$I))</f>
        <v>0.44966933193859487</v>
      </c>
      <c r="L301" s="7">
        <f t="shared" si="51"/>
        <v>1.0289978151493888E-3</v>
      </c>
      <c r="M301">
        <f t="shared" si="49"/>
        <v>0</v>
      </c>
      <c r="N301" s="9">
        <f t="shared" si="52"/>
        <v>0.10169491525423738</v>
      </c>
      <c r="O301">
        <f>COUNTIFS($B$2:B301,B301,$C$2:C301,C301,$D$2:D301,"&lt;"&amp;D301,$F$2:F301,1)</f>
        <v>2</v>
      </c>
      <c r="P301">
        <f t="shared" si="50"/>
        <v>0</v>
      </c>
      <c r="Q301" t="str">
        <f t="shared" si="53"/>
        <v>Monitor</v>
      </c>
      <c r="R301">
        <v>0</v>
      </c>
      <c r="S301">
        <f t="shared" si="54"/>
        <v>0</v>
      </c>
      <c r="T301">
        <f t="shared" si="55"/>
        <v>0</v>
      </c>
      <c r="U301" t="str">
        <f t="shared" si="56"/>
        <v>Not Improved Enough</v>
      </c>
      <c r="V301" t="str">
        <f t="shared" si="57"/>
        <v>Far</v>
      </c>
      <c r="W301" t="str">
        <f t="shared" si="58"/>
        <v>Normal</v>
      </c>
      <c r="X301" t="str">
        <f t="shared" si="59"/>
        <v>Allowed</v>
      </c>
    </row>
    <row r="302" spans="1:24" x14ac:dyDescent="0.3">
      <c r="A302" t="s">
        <v>20</v>
      </c>
      <c r="B302" t="s">
        <v>28</v>
      </c>
      <c r="C302" t="s">
        <v>21</v>
      </c>
      <c r="D302" s="3">
        <v>45961</v>
      </c>
      <c r="E302" s="6">
        <v>0.61</v>
      </c>
      <c r="F302">
        <v>0</v>
      </c>
      <c r="G302" t="s">
        <v>13</v>
      </c>
      <c r="H302" s="6">
        <v>0.59</v>
      </c>
      <c r="I302" s="8">
        <v>6.153846153846159E-2</v>
      </c>
      <c r="J302" s="5">
        <f t="shared" si="48"/>
        <v>-4.8849805534298088E-2</v>
      </c>
      <c r="K302" s="5" cm="1">
        <f t="array" ref="K302">_xlfn.STDEV.S(IF($C:$C=C302,$I:$I))</f>
        <v>0.44966933193859487</v>
      </c>
      <c r="L302" s="7">
        <f t="shared" si="51"/>
        <v>0.24548764888381108</v>
      </c>
      <c r="M302">
        <f t="shared" si="49"/>
        <v>0</v>
      </c>
      <c r="N302" s="9">
        <f t="shared" si="52"/>
        <v>3.3898305084745797E-2</v>
      </c>
      <c r="O302">
        <f>COUNTIFS($B$2:B302,B302,$C$2:C302,C302,$D$2:D302,"&lt;"&amp;D302,$F$2:F302,1)</f>
        <v>2</v>
      </c>
      <c r="P302">
        <f t="shared" si="50"/>
        <v>0</v>
      </c>
      <c r="Q302" t="str">
        <f t="shared" si="53"/>
        <v>Monitor</v>
      </c>
      <c r="R302">
        <v>0</v>
      </c>
      <c r="S302">
        <f t="shared" si="54"/>
        <v>0</v>
      </c>
      <c r="T302">
        <f t="shared" si="55"/>
        <v>0</v>
      </c>
      <c r="U302" t="str">
        <f t="shared" si="56"/>
        <v>Improved Enough</v>
      </c>
      <c r="V302" t="str">
        <f t="shared" si="57"/>
        <v>Far</v>
      </c>
      <c r="W302" t="str">
        <f t="shared" si="58"/>
        <v>Normal</v>
      </c>
      <c r="X302" t="str">
        <f t="shared" si="59"/>
        <v>Allowed</v>
      </c>
    </row>
    <row r="303" spans="1:24" x14ac:dyDescent="0.3">
      <c r="A303" t="s">
        <v>20</v>
      </c>
      <c r="B303" t="s">
        <v>28</v>
      </c>
      <c r="C303" t="s">
        <v>22</v>
      </c>
      <c r="D303" s="3">
        <v>45535</v>
      </c>
      <c r="E303" s="6">
        <v>0.79300000000000004</v>
      </c>
      <c r="F303">
        <v>0</v>
      </c>
      <c r="G303" t="s">
        <v>13</v>
      </c>
      <c r="H303" s="6">
        <v>0.56999999999999995</v>
      </c>
      <c r="I303" s="8">
        <v>-5.1724137931034531E-2</v>
      </c>
      <c r="J303" s="5">
        <f t="shared" si="48"/>
        <v>-2.6703176088529658E-2</v>
      </c>
      <c r="K303" s="5" cm="1">
        <f t="array" ref="K303">_xlfn.STDEV.S(IF($C:$C=C303,$I:$I))</f>
        <v>0.34089784338901952</v>
      </c>
      <c r="L303" s="7">
        <f t="shared" si="51"/>
        <v>-7.339724297977418E-2</v>
      </c>
      <c r="M303">
        <f t="shared" si="49"/>
        <v>0</v>
      </c>
      <c r="N303" s="9">
        <f t="shared" si="52"/>
        <v>0.39122807017543876</v>
      </c>
      <c r="O303">
        <f>COUNTIFS($B$2:B303,B303,$C$2:C303,C303,$D$2:D303,"&lt;"&amp;D303,$F$2:F303,1)</f>
        <v>0</v>
      </c>
      <c r="P303">
        <f t="shared" si="50"/>
        <v>0</v>
      </c>
      <c r="Q303" t="str">
        <f t="shared" si="53"/>
        <v>Monitor</v>
      </c>
      <c r="R303">
        <v>0</v>
      </c>
      <c r="S303">
        <f t="shared" si="54"/>
        <v>0</v>
      </c>
      <c r="T303">
        <f t="shared" si="55"/>
        <v>0</v>
      </c>
      <c r="U303" t="str">
        <f t="shared" si="56"/>
        <v>Not Improved Enough</v>
      </c>
      <c r="V303" t="str">
        <f t="shared" si="57"/>
        <v>Far</v>
      </c>
      <c r="W303" t="str">
        <f t="shared" si="58"/>
        <v>Normal</v>
      </c>
      <c r="X303" t="str">
        <f t="shared" si="59"/>
        <v>Allowed</v>
      </c>
    </row>
    <row r="304" spans="1:24" x14ac:dyDescent="0.3">
      <c r="A304" t="s">
        <v>20</v>
      </c>
      <c r="B304" t="s">
        <v>28</v>
      </c>
      <c r="C304" t="s">
        <v>22</v>
      </c>
      <c r="D304" s="3">
        <v>45565</v>
      </c>
      <c r="E304" s="6">
        <v>0.79500000000000004</v>
      </c>
      <c r="F304">
        <v>0</v>
      </c>
      <c r="G304" t="s">
        <v>13</v>
      </c>
      <c r="H304" s="6">
        <v>0.56999999999999995</v>
      </c>
      <c r="I304" s="8">
        <v>-2.5220680958385898E-3</v>
      </c>
      <c r="J304" s="5">
        <f t="shared" si="48"/>
        <v>-2.6703176088529658E-2</v>
      </c>
      <c r="K304" s="5" cm="1">
        <f t="array" ref="K304">_xlfn.STDEV.S(IF($C:$C=C304,$I:$I))</f>
        <v>0.34089784338901952</v>
      </c>
      <c r="L304" s="7">
        <f t="shared" si="51"/>
        <v>7.0933590404373775E-2</v>
      </c>
      <c r="M304">
        <f t="shared" si="49"/>
        <v>0</v>
      </c>
      <c r="N304" s="9">
        <f t="shared" si="52"/>
        <v>0.39473684210526333</v>
      </c>
      <c r="O304">
        <f>COUNTIFS($B$2:B304,B304,$C$2:C304,C304,$D$2:D304,"&lt;"&amp;D304,$F$2:F304,1)</f>
        <v>0</v>
      </c>
      <c r="P304">
        <f t="shared" si="50"/>
        <v>0</v>
      </c>
      <c r="Q304" t="str">
        <f t="shared" si="53"/>
        <v>Monitor</v>
      </c>
      <c r="R304">
        <v>0</v>
      </c>
      <c r="S304">
        <f t="shared" si="54"/>
        <v>0</v>
      </c>
      <c r="T304">
        <f t="shared" si="55"/>
        <v>0</v>
      </c>
      <c r="U304" t="str">
        <f t="shared" si="56"/>
        <v>Not Improved Enough</v>
      </c>
      <c r="V304" t="str">
        <f t="shared" si="57"/>
        <v>Far</v>
      </c>
      <c r="W304" t="str">
        <f t="shared" si="58"/>
        <v>Normal</v>
      </c>
      <c r="X304" t="str">
        <f t="shared" si="59"/>
        <v>Allowed</v>
      </c>
    </row>
    <row r="305" spans="1:24" x14ac:dyDescent="0.3">
      <c r="A305" t="s">
        <v>20</v>
      </c>
      <c r="B305" t="s">
        <v>28</v>
      </c>
      <c r="C305" t="s">
        <v>22</v>
      </c>
      <c r="D305" s="3">
        <v>45596</v>
      </c>
      <c r="E305" s="6">
        <v>0.88500000000000001</v>
      </c>
      <c r="F305">
        <v>0</v>
      </c>
      <c r="G305" t="s">
        <v>13</v>
      </c>
      <c r="H305" s="6">
        <v>0.56999999999999995</v>
      </c>
      <c r="I305" s="8">
        <v>-0.1132075471698113</v>
      </c>
      <c r="J305" s="5">
        <f t="shared" si="48"/>
        <v>-2.6703176088529658E-2</v>
      </c>
      <c r="K305" s="5" cm="1">
        <f t="array" ref="K305">_xlfn.STDEV.S(IF($C:$C=C305,$I:$I))</f>
        <v>0.34089784338901952</v>
      </c>
      <c r="L305" s="7">
        <f t="shared" si="51"/>
        <v>-0.25375452722523145</v>
      </c>
      <c r="M305">
        <f t="shared" si="49"/>
        <v>0</v>
      </c>
      <c r="N305" s="9">
        <f t="shared" si="52"/>
        <v>0.55263157894736858</v>
      </c>
      <c r="O305">
        <f>COUNTIFS($B$2:B305,B305,$C$2:C305,C305,$D$2:D305,"&lt;"&amp;D305,$F$2:F305,1)</f>
        <v>0</v>
      </c>
      <c r="P305">
        <f t="shared" si="50"/>
        <v>0</v>
      </c>
      <c r="Q305" t="str">
        <f t="shared" si="53"/>
        <v>Monitor</v>
      </c>
      <c r="R305">
        <v>0</v>
      </c>
      <c r="S305">
        <f t="shared" si="54"/>
        <v>0</v>
      </c>
      <c r="T305">
        <f t="shared" si="55"/>
        <v>0</v>
      </c>
      <c r="U305" t="str">
        <f t="shared" si="56"/>
        <v>Not Improved Enough</v>
      </c>
      <c r="V305" t="str">
        <f t="shared" si="57"/>
        <v>Far</v>
      </c>
      <c r="W305" t="str">
        <f t="shared" si="58"/>
        <v>Normal</v>
      </c>
      <c r="X305" t="str">
        <f t="shared" si="59"/>
        <v>Allowed</v>
      </c>
    </row>
    <row r="306" spans="1:24" x14ac:dyDescent="0.3">
      <c r="A306" t="s">
        <v>20</v>
      </c>
      <c r="B306" t="s">
        <v>28</v>
      </c>
      <c r="C306" t="s">
        <v>22</v>
      </c>
      <c r="D306" s="3">
        <v>45626</v>
      </c>
      <c r="E306" s="6">
        <v>0.83799999999999997</v>
      </c>
      <c r="F306">
        <v>0</v>
      </c>
      <c r="G306" t="s">
        <v>13</v>
      </c>
      <c r="H306" s="6">
        <v>0.56999999999999995</v>
      </c>
      <c r="I306" s="8">
        <v>5.3107344632768408E-2</v>
      </c>
      <c r="J306" s="5">
        <f t="shared" si="48"/>
        <v>-2.6703176088529658E-2</v>
      </c>
      <c r="K306" s="5" cm="1">
        <f t="array" ref="K306">_xlfn.STDEV.S(IF($C:$C=C306,$I:$I))</f>
        <v>0.34089784338901952</v>
      </c>
      <c r="L306" s="7">
        <f t="shared" si="51"/>
        <v>0.23411858499269347</v>
      </c>
      <c r="M306">
        <f t="shared" si="49"/>
        <v>0</v>
      </c>
      <c r="N306" s="9">
        <f t="shared" si="52"/>
        <v>0.4701754385964913</v>
      </c>
      <c r="O306">
        <f>COUNTIFS($B$2:B306,B306,$C$2:C306,C306,$D$2:D306,"&lt;"&amp;D306,$F$2:F306,1)</f>
        <v>0</v>
      </c>
      <c r="P306">
        <f t="shared" si="50"/>
        <v>0</v>
      </c>
      <c r="Q306" t="str">
        <f t="shared" si="53"/>
        <v>Monitor</v>
      </c>
      <c r="R306">
        <v>0</v>
      </c>
      <c r="S306">
        <f t="shared" si="54"/>
        <v>0</v>
      </c>
      <c r="T306">
        <f t="shared" si="55"/>
        <v>0</v>
      </c>
      <c r="U306" t="str">
        <f t="shared" si="56"/>
        <v>Improved Enough</v>
      </c>
      <c r="V306" t="str">
        <f t="shared" si="57"/>
        <v>Far</v>
      </c>
      <c r="W306" t="str">
        <f t="shared" si="58"/>
        <v>Normal</v>
      </c>
      <c r="X306" t="str">
        <f t="shared" si="59"/>
        <v>Allowed</v>
      </c>
    </row>
    <row r="307" spans="1:24" x14ac:dyDescent="0.3">
      <c r="A307" t="s">
        <v>20</v>
      </c>
      <c r="B307" t="s">
        <v>28</v>
      </c>
      <c r="C307" t="s">
        <v>22</v>
      </c>
      <c r="D307" s="3">
        <v>45657</v>
      </c>
      <c r="E307" s="6">
        <v>0.83199999999999996</v>
      </c>
      <c r="F307">
        <v>1</v>
      </c>
      <c r="G307" t="s">
        <v>13</v>
      </c>
      <c r="H307" s="6">
        <v>0.56999999999999995</v>
      </c>
      <c r="I307" s="8">
        <v>7.1599045346062117E-3</v>
      </c>
      <c r="J307" s="5">
        <f t="shared" si="48"/>
        <v>-2.6703176088529658E-2</v>
      </c>
      <c r="K307" s="5" cm="1">
        <f t="array" ref="K307">_xlfn.STDEV.S(IF($C:$C=C307,$I:$I))</f>
        <v>0.34089784338901952</v>
      </c>
      <c r="L307" s="7">
        <f t="shared" si="51"/>
        <v>9.9334980492946742E-2</v>
      </c>
      <c r="M307">
        <f t="shared" si="49"/>
        <v>0</v>
      </c>
      <c r="N307" s="9">
        <f t="shared" si="52"/>
        <v>0.45964912280701758</v>
      </c>
      <c r="O307">
        <f>COUNTIFS($B$2:B307,B307,$C$2:C307,C307,$D$2:D307,"&lt;"&amp;D307,$F$2:F307,1)</f>
        <v>0</v>
      </c>
      <c r="P307">
        <f t="shared" si="50"/>
        <v>0</v>
      </c>
      <c r="Q307" t="str">
        <f t="shared" si="53"/>
        <v>Monitor</v>
      </c>
      <c r="R307">
        <v>0</v>
      </c>
      <c r="S307">
        <f t="shared" si="54"/>
        <v>0</v>
      </c>
      <c r="T307">
        <f t="shared" si="55"/>
        <v>0</v>
      </c>
      <c r="U307" t="str">
        <f t="shared" si="56"/>
        <v>Not Improved Enough</v>
      </c>
      <c r="V307" t="str">
        <f t="shared" si="57"/>
        <v>Far</v>
      </c>
      <c r="W307" t="str">
        <f t="shared" si="58"/>
        <v>Normal</v>
      </c>
      <c r="X307" t="str">
        <f t="shared" si="59"/>
        <v>Allowed</v>
      </c>
    </row>
    <row r="308" spans="1:24" x14ac:dyDescent="0.3">
      <c r="A308" t="s">
        <v>20</v>
      </c>
      <c r="B308" t="s">
        <v>28</v>
      </c>
      <c r="C308" t="s">
        <v>22</v>
      </c>
      <c r="D308" s="3">
        <v>45688</v>
      </c>
      <c r="E308" s="6">
        <v>0.82099999999999995</v>
      </c>
      <c r="F308">
        <v>0</v>
      </c>
      <c r="G308" t="s">
        <v>13</v>
      </c>
      <c r="H308" s="6">
        <v>0.56999999999999995</v>
      </c>
      <c r="I308" s="8">
        <v>1.322115384615386E-2</v>
      </c>
      <c r="J308" s="5">
        <f t="shared" si="48"/>
        <v>-2.6703176088529658E-2</v>
      </c>
      <c r="K308" s="5" cm="1">
        <f t="array" ref="K308">_xlfn.STDEV.S(IF($C:$C=C308,$I:$I))</f>
        <v>0.34089784338901952</v>
      </c>
      <c r="L308" s="7">
        <f t="shared" si="51"/>
        <v>0.11711523175910329</v>
      </c>
      <c r="M308">
        <f t="shared" si="49"/>
        <v>0</v>
      </c>
      <c r="N308" s="9">
        <f t="shared" si="52"/>
        <v>0.44035087719298249</v>
      </c>
      <c r="O308">
        <f>COUNTIFS($B$2:B308,B308,$C$2:C308,C308,$D$2:D308,"&lt;"&amp;D308,$F$2:F308,1)</f>
        <v>1</v>
      </c>
      <c r="P308">
        <f t="shared" si="50"/>
        <v>1</v>
      </c>
      <c r="Q308" t="str">
        <f t="shared" si="53"/>
        <v>Monitor</v>
      </c>
      <c r="R308">
        <v>1</v>
      </c>
      <c r="S308">
        <f t="shared" si="54"/>
        <v>0</v>
      </c>
      <c r="T308">
        <f t="shared" si="55"/>
        <v>0</v>
      </c>
      <c r="U308" t="str">
        <f t="shared" si="56"/>
        <v>Improved Enough</v>
      </c>
      <c r="V308" t="str">
        <f t="shared" si="57"/>
        <v>Far</v>
      </c>
      <c r="W308" t="str">
        <f t="shared" si="58"/>
        <v>Normal</v>
      </c>
      <c r="X308" t="str">
        <f t="shared" si="59"/>
        <v>Allowed</v>
      </c>
    </row>
    <row r="309" spans="1:24" x14ac:dyDescent="0.3">
      <c r="A309" t="s">
        <v>20</v>
      </c>
      <c r="B309" t="s">
        <v>28</v>
      </c>
      <c r="C309" t="s">
        <v>22</v>
      </c>
      <c r="D309" s="3">
        <v>45716</v>
      </c>
      <c r="E309" s="6">
        <v>0.81399999999999995</v>
      </c>
      <c r="F309">
        <v>0</v>
      </c>
      <c r="G309" t="s">
        <v>13</v>
      </c>
      <c r="H309" s="6">
        <v>0.56999999999999995</v>
      </c>
      <c r="I309" s="8">
        <v>8.5261875761266821E-3</v>
      </c>
      <c r="J309" s="5">
        <f t="shared" si="48"/>
        <v>-2.6703176088529658E-2</v>
      </c>
      <c r="K309" s="5" cm="1">
        <f t="array" ref="K309">_xlfn.STDEV.S(IF($C:$C=C309,$I:$I))</f>
        <v>0.34089784338901952</v>
      </c>
      <c r="L309" s="7">
        <f t="shared" si="51"/>
        <v>0.10334287631281359</v>
      </c>
      <c r="M309">
        <f t="shared" si="49"/>
        <v>0</v>
      </c>
      <c r="N309" s="9">
        <f t="shared" si="52"/>
        <v>0.42807017543859655</v>
      </c>
      <c r="O309">
        <f>COUNTIFS($B$2:B309,B309,$C$2:C309,C309,$D$2:D309,"&lt;"&amp;D309,$F$2:F309,1)</f>
        <v>1</v>
      </c>
      <c r="P309">
        <f t="shared" si="50"/>
        <v>0</v>
      </c>
      <c r="Q309" t="str">
        <f t="shared" si="53"/>
        <v>Monitor</v>
      </c>
      <c r="R309">
        <v>0</v>
      </c>
      <c r="S309">
        <f t="shared" si="54"/>
        <v>0</v>
      </c>
      <c r="T309">
        <f t="shared" si="55"/>
        <v>0</v>
      </c>
      <c r="U309" t="str">
        <f t="shared" si="56"/>
        <v>Not Improved Enough</v>
      </c>
      <c r="V309" t="str">
        <f t="shared" si="57"/>
        <v>Far</v>
      </c>
      <c r="W309" t="str">
        <f t="shared" si="58"/>
        <v>Normal</v>
      </c>
      <c r="X309" t="str">
        <f t="shared" si="59"/>
        <v>Allowed</v>
      </c>
    </row>
    <row r="310" spans="1:24" x14ac:dyDescent="0.3">
      <c r="A310" t="s">
        <v>20</v>
      </c>
      <c r="B310" t="s">
        <v>28</v>
      </c>
      <c r="C310" t="s">
        <v>22</v>
      </c>
      <c r="D310" s="3">
        <v>45747</v>
      </c>
      <c r="E310" s="6">
        <v>0.77600000000000002</v>
      </c>
      <c r="F310">
        <v>0</v>
      </c>
      <c r="G310" t="s">
        <v>13</v>
      </c>
      <c r="H310" s="6">
        <v>0.56999999999999995</v>
      </c>
      <c r="I310" s="8">
        <v>4.668304668304659E-2</v>
      </c>
      <c r="J310" s="5">
        <f t="shared" si="48"/>
        <v>-2.6703176088529658E-2</v>
      </c>
      <c r="K310" s="5" cm="1">
        <f t="array" ref="K310">_xlfn.STDEV.S(IF($C:$C=C310,$I:$I))</f>
        <v>0.34089784338901952</v>
      </c>
      <c r="L310" s="7">
        <f t="shared" si="51"/>
        <v>0.21527335591803881</v>
      </c>
      <c r="M310">
        <f t="shared" si="49"/>
        <v>0</v>
      </c>
      <c r="N310" s="9">
        <f t="shared" si="52"/>
        <v>0.36140350877193</v>
      </c>
      <c r="O310">
        <f>COUNTIFS($B$2:B310,B310,$C$2:C310,C310,$D$2:D310,"&lt;"&amp;D310,$F$2:F310,1)</f>
        <v>1</v>
      </c>
      <c r="P310">
        <f t="shared" si="50"/>
        <v>0</v>
      </c>
      <c r="Q310" t="str">
        <f t="shared" si="53"/>
        <v>Monitor</v>
      </c>
      <c r="R310">
        <v>0</v>
      </c>
      <c r="S310">
        <f t="shared" si="54"/>
        <v>0</v>
      </c>
      <c r="T310">
        <f t="shared" si="55"/>
        <v>0</v>
      </c>
      <c r="U310" t="str">
        <f t="shared" si="56"/>
        <v>Improved Enough</v>
      </c>
      <c r="V310" t="str">
        <f t="shared" si="57"/>
        <v>Far</v>
      </c>
      <c r="W310" t="str">
        <f t="shared" si="58"/>
        <v>Normal</v>
      </c>
      <c r="X310" t="str">
        <f t="shared" si="59"/>
        <v>Allowed</v>
      </c>
    </row>
    <row r="311" spans="1:24" x14ac:dyDescent="0.3">
      <c r="A311" t="s">
        <v>20</v>
      </c>
      <c r="B311" t="s">
        <v>28</v>
      </c>
      <c r="C311" t="s">
        <v>22</v>
      </c>
      <c r="D311" s="3">
        <v>45777</v>
      </c>
      <c r="E311" s="6">
        <v>0.81299999999999994</v>
      </c>
      <c r="F311">
        <v>0</v>
      </c>
      <c r="G311" t="s">
        <v>13</v>
      </c>
      <c r="H311" s="6">
        <v>0.56999999999999995</v>
      </c>
      <c r="I311" s="8">
        <v>-4.7680412371133921E-2</v>
      </c>
      <c r="J311" s="5">
        <f t="shared" si="48"/>
        <v>-2.6703176088529658E-2</v>
      </c>
      <c r="K311" s="5" cm="1">
        <f t="array" ref="K311">_xlfn.STDEV.S(IF($C:$C=C311,$I:$I))</f>
        <v>0.34089784338901952</v>
      </c>
      <c r="L311" s="7">
        <f t="shared" si="51"/>
        <v>-6.1535256644806191E-2</v>
      </c>
      <c r="M311">
        <f t="shared" si="49"/>
        <v>0</v>
      </c>
      <c r="N311" s="9">
        <f t="shared" si="52"/>
        <v>0.42631578947368426</v>
      </c>
      <c r="O311">
        <f>COUNTIFS($B$2:B311,B311,$C$2:C311,C311,$D$2:D311,"&lt;"&amp;D311,$F$2:F311,1)</f>
        <v>1</v>
      </c>
      <c r="P311">
        <f t="shared" si="50"/>
        <v>0</v>
      </c>
      <c r="Q311" t="str">
        <f t="shared" si="53"/>
        <v>Monitor</v>
      </c>
      <c r="R311">
        <v>0</v>
      </c>
      <c r="S311">
        <f t="shared" si="54"/>
        <v>0</v>
      </c>
      <c r="T311">
        <f t="shared" si="55"/>
        <v>0</v>
      </c>
      <c r="U311" t="str">
        <f t="shared" si="56"/>
        <v>Not Improved Enough</v>
      </c>
      <c r="V311" t="str">
        <f t="shared" si="57"/>
        <v>Far</v>
      </c>
      <c r="W311" t="str">
        <f t="shared" si="58"/>
        <v>Normal</v>
      </c>
      <c r="X311" t="str">
        <f t="shared" si="59"/>
        <v>Allowed</v>
      </c>
    </row>
    <row r="312" spans="1:24" x14ac:dyDescent="0.3">
      <c r="A312" t="s">
        <v>20</v>
      </c>
      <c r="B312" t="s">
        <v>28</v>
      </c>
      <c r="C312" t="s">
        <v>22</v>
      </c>
      <c r="D312" s="3">
        <v>45808</v>
      </c>
      <c r="E312" s="6">
        <v>0.83899999999999997</v>
      </c>
      <c r="F312">
        <v>0</v>
      </c>
      <c r="G312" t="s">
        <v>13</v>
      </c>
      <c r="H312" s="6">
        <v>0.56999999999999995</v>
      </c>
      <c r="I312" s="8">
        <v>-3.1980319803198057E-2</v>
      </c>
      <c r="J312" s="5">
        <f t="shared" si="48"/>
        <v>-2.6703176088529658E-2</v>
      </c>
      <c r="K312" s="5" cm="1">
        <f t="array" ref="K312">_xlfn.STDEV.S(IF($C:$C=C312,$I:$I))</f>
        <v>0.34089784338901952</v>
      </c>
      <c r="L312" s="7">
        <f t="shared" si="51"/>
        <v>-1.5480132294783471E-2</v>
      </c>
      <c r="M312">
        <f t="shared" si="49"/>
        <v>0</v>
      </c>
      <c r="N312" s="9">
        <f t="shared" si="52"/>
        <v>0.47192982456140359</v>
      </c>
      <c r="O312">
        <f>COUNTIFS($B$2:B312,B312,$C$2:C312,C312,$D$2:D312,"&lt;"&amp;D312,$F$2:F312,1)</f>
        <v>1</v>
      </c>
      <c r="P312">
        <f t="shared" si="50"/>
        <v>0</v>
      </c>
      <c r="Q312" t="str">
        <f t="shared" si="53"/>
        <v>Monitor</v>
      </c>
      <c r="R312">
        <v>0</v>
      </c>
      <c r="S312">
        <f t="shared" si="54"/>
        <v>0</v>
      </c>
      <c r="T312">
        <f t="shared" si="55"/>
        <v>0</v>
      </c>
      <c r="U312" t="str">
        <f t="shared" si="56"/>
        <v>Not Improved Enough</v>
      </c>
      <c r="V312" t="str">
        <f t="shared" si="57"/>
        <v>Far</v>
      </c>
      <c r="W312" t="str">
        <f t="shared" si="58"/>
        <v>Normal</v>
      </c>
      <c r="X312" t="str">
        <f t="shared" si="59"/>
        <v>Allowed</v>
      </c>
    </row>
    <row r="313" spans="1:24" x14ac:dyDescent="0.3">
      <c r="A313" t="s">
        <v>20</v>
      </c>
      <c r="B313" t="s">
        <v>28</v>
      </c>
      <c r="C313" t="s">
        <v>22</v>
      </c>
      <c r="D313" s="3">
        <v>45838</v>
      </c>
      <c r="E313" s="6">
        <v>0.79600000000000004</v>
      </c>
      <c r="F313">
        <v>0</v>
      </c>
      <c r="G313" t="s">
        <v>13</v>
      </c>
      <c r="H313" s="6">
        <v>0.56999999999999995</v>
      </c>
      <c r="I313" s="8">
        <v>5.1251489868891463E-2</v>
      </c>
      <c r="J313" s="5">
        <f t="shared" si="48"/>
        <v>-2.6703176088529658E-2</v>
      </c>
      <c r="K313" s="5" cm="1">
        <f t="array" ref="K313">_xlfn.STDEV.S(IF($C:$C=C313,$I:$I))</f>
        <v>0.34089784338901952</v>
      </c>
      <c r="L313" s="7">
        <f t="shared" si="51"/>
        <v>0.22867456473892167</v>
      </c>
      <c r="M313">
        <f t="shared" si="49"/>
        <v>0</v>
      </c>
      <c r="N313" s="9">
        <f t="shared" si="52"/>
        <v>0.39649122807017562</v>
      </c>
      <c r="O313">
        <f>COUNTIFS($B$2:B313,B313,$C$2:C313,C313,$D$2:D313,"&lt;"&amp;D313,$F$2:F313,1)</f>
        <v>1</v>
      </c>
      <c r="P313">
        <f t="shared" si="50"/>
        <v>0</v>
      </c>
      <c r="Q313" t="str">
        <f t="shared" si="53"/>
        <v>Monitor</v>
      </c>
      <c r="R313">
        <v>0</v>
      </c>
      <c r="S313">
        <f t="shared" si="54"/>
        <v>0</v>
      </c>
      <c r="T313">
        <f t="shared" si="55"/>
        <v>0</v>
      </c>
      <c r="U313" t="str">
        <f t="shared" si="56"/>
        <v>Improved Enough</v>
      </c>
      <c r="V313" t="str">
        <f t="shared" si="57"/>
        <v>Far</v>
      </c>
      <c r="W313" t="str">
        <f t="shared" si="58"/>
        <v>Normal</v>
      </c>
      <c r="X313" t="str">
        <f t="shared" si="59"/>
        <v>Allowed</v>
      </c>
    </row>
    <row r="314" spans="1:24" x14ac:dyDescent="0.3">
      <c r="A314" t="s">
        <v>20</v>
      </c>
      <c r="B314" t="s">
        <v>28</v>
      </c>
      <c r="C314" t="s">
        <v>22</v>
      </c>
      <c r="D314" s="3">
        <v>45869</v>
      </c>
      <c r="E314" s="6">
        <v>0.65</v>
      </c>
      <c r="F314">
        <v>0</v>
      </c>
      <c r="G314" t="s">
        <v>13</v>
      </c>
      <c r="H314" s="6">
        <v>0.56999999999999995</v>
      </c>
      <c r="I314" s="8">
        <v>0.1834170854271357</v>
      </c>
      <c r="J314" s="5">
        <f t="shared" si="48"/>
        <v>-2.6703176088529658E-2</v>
      </c>
      <c r="K314" s="5" cm="1">
        <f t="array" ref="K314">_xlfn.STDEV.S(IF($C:$C=C314,$I:$I))</f>
        <v>0.34089784338901952</v>
      </c>
      <c r="L314" s="7">
        <f t="shared" si="51"/>
        <v>0.6163731029412356</v>
      </c>
      <c r="M314">
        <f t="shared" si="49"/>
        <v>-1</v>
      </c>
      <c r="N314" s="9">
        <f t="shared" si="52"/>
        <v>0.14035087719298259</v>
      </c>
      <c r="O314">
        <f>COUNTIFS($B$2:B314,B314,$C$2:C314,C314,$D$2:D314,"&lt;"&amp;D314,$F$2:F314,1)</f>
        <v>1</v>
      </c>
      <c r="P314">
        <f t="shared" si="50"/>
        <v>0</v>
      </c>
      <c r="Q314" t="str">
        <f t="shared" si="53"/>
        <v>Monitor</v>
      </c>
      <c r="R314">
        <v>0</v>
      </c>
      <c r="S314">
        <f t="shared" si="54"/>
        <v>0</v>
      </c>
      <c r="T314">
        <f t="shared" si="55"/>
        <v>0</v>
      </c>
      <c r="U314" t="str">
        <f t="shared" si="56"/>
        <v>Improved Enough</v>
      </c>
      <c r="V314" t="str">
        <f t="shared" si="57"/>
        <v>Far</v>
      </c>
      <c r="W314" t="str">
        <f t="shared" si="58"/>
        <v>Normal</v>
      </c>
      <c r="X314" t="str">
        <f t="shared" si="59"/>
        <v>Allowed</v>
      </c>
    </row>
    <row r="315" spans="1:24" x14ac:dyDescent="0.3">
      <c r="A315" t="s">
        <v>20</v>
      </c>
      <c r="B315" t="s">
        <v>28</v>
      </c>
      <c r="C315" t="s">
        <v>22</v>
      </c>
      <c r="D315" s="3">
        <v>45900</v>
      </c>
      <c r="E315" s="6">
        <v>0.7</v>
      </c>
      <c r="F315">
        <v>0</v>
      </c>
      <c r="G315" t="s">
        <v>13</v>
      </c>
      <c r="H315" s="6">
        <v>0.56999999999999995</v>
      </c>
      <c r="I315" s="8">
        <v>-7.6923076923076816E-2</v>
      </c>
      <c r="J315" s="5">
        <f t="shared" si="48"/>
        <v>-2.6703176088529658E-2</v>
      </c>
      <c r="K315" s="5" cm="1">
        <f t="array" ref="K315">_xlfn.STDEV.S(IF($C:$C=C315,$I:$I))</f>
        <v>0.34089784338901952</v>
      </c>
      <c r="L315" s="7">
        <f t="shared" si="51"/>
        <v>-0.14731656948981675</v>
      </c>
      <c r="M315">
        <f t="shared" si="49"/>
        <v>0</v>
      </c>
      <c r="N315" s="9">
        <f t="shared" si="52"/>
        <v>0.22807017543859651</v>
      </c>
      <c r="O315">
        <f>COUNTIFS($B$2:B315,B315,$C$2:C315,C315,$D$2:D315,"&lt;"&amp;D315,$F$2:F315,1)</f>
        <v>1</v>
      </c>
      <c r="P315">
        <f t="shared" si="50"/>
        <v>0</v>
      </c>
      <c r="Q315" t="str">
        <f t="shared" si="53"/>
        <v>Monitor</v>
      </c>
      <c r="R315">
        <v>0</v>
      </c>
      <c r="S315">
        <f t="shared" si="54"/>
        <v>0</v>
      </c>
      <c r="T315">
        <f t="shared" si="55"/>
        <v>0</v>
      </c>
      <c r="U315" t="str">
        <f t="shared" si="56"/>
        <v>Not Improved Enough</v>
      </c>
      <c r="V315" t="str">
        <f t="shared" si="57"/>
        <v>Far</v>
      </c>
      <c r="W315" t="str">
        <f t="shared" si="58"/>
        <v>Normal</v>
      </c>
      <c r="X315" t="str">
        <f t="shared" si="59"/>
        <v>Allowed</v>
      </c>
    </row>
    <row r="316" spans="1:24" x14ac:dyDescent="0.3">
      <c r="A316" t="s">
        <v>20</v>
      </c>
      <c r="B316" t="s">
        <v>28</v>
      </c>
      <c r="C316" t="s">
        <v>22</v>
      </c>
      <c r="D316" s="3">
        <v>45930</v>
      </c>
      <c r="E316" s="6">
        <v>0.57999999999999996</v>
      </c>
      <c r="F316">
        <v>0</v>
      </c>
      <c r="G316" t="s">
        <v>13</v>
      </c>
      <c r="H316" s="6">
        <v>0.56999999999999995</v>
      </c>
      <c r="I316" s="8">
        <v>0.1714285714285714</v>
      </c>
      <c r="J316" s="5">
        <f t="shared" si="48"/>
        <v>-2.6703176088529658E-2</v>
      </c>
      <c r="K316" s="5" cm="1">
        <f t="array" ref="K316">_xlfn.STDEV.S(IF($C:$C=C316,$I:$I))</f>
        <v>0.34089784338901952</v>
      </c>
      <c r="L316" s="7">
        <f t="shared" si="51"/>
        <v>0.58120563494149391</v>
      </c>
      <c r="M316">
        <f t="shared" si="49"/>
        <v>-1</v>
      </c>
      <c r="N316" s="9">
        <f t="shared" si="52"/>
        <v>1.7543859649122823E-2</v>
      </c>
      <c r="O316">
        <f>COUNTIFS($B$2:B316,B316,$C$2:C316,C316,$D$2:D316,"&lt;"&amp;D316,$F$2:F316,1)</f>
        <v>1</v>
      </c>
      <c r="P316">
        <f t="shared" si="50"/>
        <v>0</v>
      </c>
      <c r="Q316" t="str">
        <f t="shared" si="53"/>
        <v>Monitor</v>
      </c>
      <c r="R316">
        <v>0</v>
      </c>
      <c r="S316">
        <f t="shared" si="54"/>
        <v>0</v>
      </c>
      <c r="T316">
        <f t="shared" si="55"/>
        <v>0</v>
      </c>
      <c r="U316" t="str">
        <f t="shared" si="56"/>
        <v>Improved Enough</v>
      </c>
      <c r="V316" t="str">
        <f t="shared" si="57"/>
        <v>Close</v>
      </c>
      <c r="W316" t="str">
        <f t="shared" si="58"/>
        <v>Normal</v>
      </c>
      <c r="X316" t="str">
        <f t="shared" si="59"/>
        <v>Allowed</v>
      </c>
    </row>
    <row r="317" spans="1:24" x14ac:dyDescent="0.3">
      <c r="A317" t="s">
        <v>20</v>
      </c>
      <c r="B317" t="s">
        <v>28</v>
      </c>
      <c r="C317" t="s">
        <v>22</v>
      </c>
      <c r="D317" s="3">
        <v>45961</v>
      </c>
      <c r="E317" s="6">
        <v>0.67</v>
      </c>
      <c r="F317">
        <v>0</v>
      </c>
      <c r="G317" t="s">
        <v>13</v>
      </c>
      <c r="H317" s="6">
        <v>0.56999999999999995</v>
      </c>
      <c r="I317" s="8">
        <v>-0.15517241379310359</v>
      </c>
      <c r="J317" s="5">
        <f t="shared" si="48"/>
        <v>-2.6703176088529658E-2</v>
      </c>
      <c r="K317" s="5" cm="1">
        <f t="array" ref="K317">_xlfn.STDEV.S(IF($C:$C=C317,$I:$I))</f>
        <v>0.34089784338901952</v>
      </c>
      <c r="L317" s="7">
        <f t="shared" si="51"/>
        <v>-0.37685553075784578</v>
      </c>
      <c r="M317">
        <f t="shared" si="49"/>
        <v>0</v>
      </c>
      <c r="N317" s="9">
        <f t="shared" si="52"/>
        <v>0.17543859649122825</v>
      </c>
      <c r="O317">
        <f>COUNTIFS($B$2:B317,B317,$C$2:C317,C317,$D$2:D317,"&lt;"&amp;D317,$F$2:F317,1)</f>
        <v>1</v>
      </c>
      <c r="P317">
        <f t="shared" si="50"/>
        <v>0</v>
      </c>
      <c r="Q317" t="str">
        <f t="shared" si="53"/>
        <v>Monitor</v>
      </c>
      <c r="R317">
        <v>0</v>
      </c>
      <c r="S317">
        <f t="shared" si="54"/>
        <v>0</v>
      </c>
      <c r="T317">
        <f t="shared" si="55"/>
        <v>0</v>
      </c>
      <c r="U317" t="str">
        <f t="shared" si="56"/>
        <v>Not Improved Enough</v>
      </c>
      <c r="V317" t="str">
        <f t="shared" si="57"/>
        <v>Far</v>
      </c>
      <c r="W317" t="str">
        <f t="shared" si="58"/>
        <v>Normal</v>
      </c>
      <c r="X317" t="str">
        <f t="shared" si="59"/>
        <v>Allowed</v>
      </c>
    </row>
    <row r="318" spans="1:24" x14ac:dyDescent="0.3">
      <c r="A318" t="s">
        <v>23</v>
      </c>
      <c r="B318" t="s">
        <v>28</v>
      </c>
      <c r="C318" t="s">
        <v>24</v>
      </c>
      <c r="D318" s="3">
        <v>45535</v>
      </c>
      <c r="E318" s="6">
        <v>0.81899999999999995</v>
      </c>
      <c r="F318">
        <v>1</v>
      </c>
      <c r="G318" t="s">
        <v>17</v>
      </c>
      <c r="H318" s="6">
        <v>0.85</v>
      </c>
      <c r="I318" s="8">
        <v>-1.716068642745721E-2</v>
      </c>
      <c r="J318" s="5">
        <f t="shared" si="48"/>
        <v>4.5902054585511267E-3</v>
      </c>
      <c r="K318" s="5" cm="1">
        <f t="array" ref="K318">_xlfn.STDEV.S(IF($C:$C=C318,$I:$I))</f>
        <v>7.1528610508022367E-2</v>
      </c>
      <c r="L318" s="7">
        <f t="shared" si="51"/>
        <v>-0.30408659879627947</v>
      </c>
      <c r="M318">
        <f t="shared" si="49"/>
        <v>0</v>
      </c>
      <c r="N318" s="9">
        <f t="shared" si="52"/>
        <v>3.647058823529415E-2</v>
      </c>
      <c r="O318">
        <f>COUNTIFS($B$2:B318,B318,$C$2:C318,C318,$D$2:D318,"&lt;"&amp;D318,$F$2:F318,1)</f>
        <v>0</v>
      </c>
      <c r="P318">
        <f t="shared" si="50"/>
        <v>0</v>
      </c>
      <c r="Q318" t="str">
        <f t="shared" si="53"/>
        <v>Monitor</v>
      </c>
      <c r="R318">
        <v>0</v>
      </c>
      <c r="S318">
        <f t="shared" si="54"/>
        <v>0</v>
      </c>
      <c r="T318">
        <f t="shared" si="55"/>
        <v>0</v>
      </c>
      <c r="U318" t="str">
        <f t="shared" si="56"/>
        <v>Not Improved Enough</v>
      </c>
      <c r="V318" t="str">
        <f t="shared" si="57"/>
        <v>Far</v>
      </c>
      <c r="W318" t="str">
        <f t="shared" si="58"/>
        <v>Normal</v>
      </c>
      <c r="X318" t="str">
        <f t="shared" si="59"/>
        <v>Allowed</v>
      </c>
    </row>
    <row r="319" spans="1:24" x14ac:dyDescent="0.3">
      <c r="A319" t="s">
        <v>23</v>
      </c>
      <c r="B319" t="s">
        <v>28</v>
      </c>
      <c r="C319" t="s">
        <v>24</v>
      </c>
      <c r="D319" s="3">
        <v>45565</v>
      </c>
      <c r="E319" s="6">
        <v>0.74529999999999996</v>
      </c>
      <c r="F319">
        <v>1</v>
      </c>
      <c r="G319" t="s">
        <v>17</v>
      </c>
      <c r="H319" s="6">
        <v>0.85</v>
      </c>
      <c r="I319" s="8">
        <v>-8.9987789987789973E-2</v>
      </c>
      <c r="J319" s="5">
        <f t="shared" si="48"/>
        <v>4.5902054585511267E-3</v>
      </c>
      <c r="K319" s="5" cm="1">
        <f t="array" ref="K319">_xlfn.STDEV.S(IF($C:$C=C319,$I:$I))</f>
        <v>7.1528610508022367E-2</v>
      </c>
      <c r="L319" s="7">
        <f t="shared" si="51"/>
        <v>-1.32224007672753</v>
      </c>
      <c r="M319">
        <f t="shared" si="49"/>
        <v>1</v>
      </c>
      <c r="N319" s="9">
        <f t="shared" si="52"/>
        <v>0.12317647058823532</v>
      </c>
      <c r="O319">
        <f>COUNTIFS($B$2:B319,B319,$C$2:C319,C319,$D$2:D319,"&lt;"&amp;D319,$F$2:F319,1)</f>
        <v>1</v>
      </c>
      <c r="P319">
        <f t="shared" si="50"/>
        <v>-1</v>
      </c>
      <c r="Q319" t="str">
        <f t="shared" si="53"/>
        <v>Intervene</v>
      </c>
      <c r="R319">
        <v>1</v>
      </c>
      <c r="S319">
        <f t="shared" si="54"/>
        <v>1</v>
      </c>
      <c r="T319">
        <f t="shared" si="55"/>
        <v>1</v>
      </c>
      <c r="U319" t="str">
        <f t="shared" si="56"/>
        <v>Not Improved Enough</v>
      </c>
      <c r="V319" t="str">
        <f t="shared" si="57"/>
        <v>Far</v>
      </c>
      <c r="W319" t="str">
        <f t="shared" si="58"/>
        <v>Abnormal</v>
      </c>
      <c r="X319" t="str">
        <f t="shared" si="59"/>
        <v>Allowed</v>
      </c>
    </row>
    <row r="320" spans="1:24" x14ac:dyDescent="0.3">
      <c r="A320" t="s">
        <v>23</v>
      </c>
      <c r="B320" t="s">
        <v>28</v>
      </c>
      <c r="C320" t="s">
        <v>24</v>
      </c>
      <c r="D320" s="3">
        <v>45596</v>
      </c>
      <c r="E320" s="6">
        <v>0.876</v>
      </c>
      <c r="F320">
        <v>0</v>
      </c>
      <c r="G320" t="s">
        <v>17</v>
      </c>
      <c r="H320" s="6">
        <v>0.85</v>
      </c>
      <c r="I320" s="8">
        <v>0.17536562458070579</v>
      </c>
      <c r="J320" s="5">
        <f t="shared" si="48"/>
        <v>4.5902054585511267E-3</v>
      </c>
      <c r="K320" s="5" cm="1">
        <f t="array" ref="K320">_xlfn.STDEV.S(IF($C:$C=C320,$I:$I))</f>
        <v>7.1528610508022367E-2</v>
      </c>
      <c r="L320" s="7">
        <f t="shared" si="51"/>
        <v>2.3875120446104732</v>
      </c>
      <c r="M320">
        <f t="shared" si="49"/>
        <v>-1</v>
      </c>
      <c r="N320" s="9">
        <f t="shared" si="52"/>
        <v>-3.0588235294117676E-2</v>
      </c>
      <c r="O320">
        <f>COUNTIFS($B$2:B320,B320,$C$2:C320,C320,$D$2:D320,"&lt;"&amp;D320,$F$2:F320,1)</f>
        <v>2</v>
      </c>
      <c r="P320">
        <f t="shared" si="50"/>
        <v>1</v>
      </c>
      <c r="Q320" t="str">
        <f t="shared" si="53"/>
        <v>Monitor</v>
      </c>
      <c r="R320">
        <v>1</v>
      </c>
      <c r="S320">
        <f t="shared" si="54"/>
        <v>0</v>
      </c>
      <c r="T320">
        <f t="shared" si="55"/>
        <v>0</v>
      </c>
      <c r="U320" t="str">
        <f t="shared" si="56"/>
        <v>Improved Enough</v>
      </c>
      <c r="V320" t="str">
        <f t="shared" si="57"/>
        <v>Close</v>
      </c>
      <c r="W320" t="str">
        <f t="shared" si="58"/>
        <v>Normal</v>
      </c>
      <c r="X320" t="str">
        <f t="shared" si="59"/>
        <v>Allowed</v>
      </c>
    </row>
    <row r="321" spans="1:24" x14ac:dyDescent="0.3">
      <c r="A321" t="s">
        <v>23</v>
      </c>
      <c r="B321" t="s">
        <v>28</v>
      </c>
      <c r="C321" t="s">
        <v>24</v>
      </c>
      <c r="D321" s="3">
        <v>45626</v>
      </c>
      <c r="E321" s="6">
        <v>0.87780000000000002</v>
      </c>
      <c r="F321">
        <v>0</v>
      </c>
      <c r="G321" t="s">
        <v>17</v>
      </c>
      <c r="H321" s="6">
        <v>0.85</v>
      </c>
      <c r="I321" s="8">
        <v>2.0547945205479719E-3</v>
      </c>
      <c r="J321" s="5">
        <f t="shared" si="48"/>
        <v>4.5902054585511267E-3</v>
      </c>
      <c r="K321" s="5" cm="1">
        <f t="array" ref="K321">_xlfn.STDEV.S(IF($C:$C=C321,$I:$I))</f>
        <v>7.1528610508022367E-2</v>
      </c>
      <c r="L321" s="7">
        <f t="shared" si="51"/>
        <v>-3.5446109186180727E-2</v>
      </c>
      <c r="M321">
        <f t="shared" si="49"/>
        <v>0</v>
      </c>
      <c r="N321" s="9">
        <f t="shared" si="52"/>
        <v>-3.270588235294123E-2</v>
      </c>
      <c r="O321">
        <f>COUNTIFS($B$2:B321,B321,$C$2:C321,C321,$D$2:D321,"&lt;"&amp;D321,$F$2:F321,1)</f>
        <v>2</v>
      </c>
      <c r="P321">
        <f t="shared" si="50"/>
        <v>0</v>
      </c>
      <c r="Q321" t="str">
        <f t="shared" si="53"/>
        <v>Monitor</v>
      </c>
      <c r="R321">
        <v>0</v>
      </c>
      <c r="S321">
        <f t="shared" si="54"/>
        <v>0</v>
      </c>
      <c r="T321">
        <f t="shared" si="55"/>
        <v>0</v>
      </c>
      <c r="U321" t="str">
        <f t="shared" si="56"/>
        <v>Not Improved Enough</v>
      </c>
      <c r="V321" t="str">
        <f t="shared" si="57"/>
        <v>Close</v>
      </c>
      <c r="W321" t="str">
        <f t="shared" si="58"/>
        <v>Normal</v>
      </c>
      <c r="X321" t="str">
        <f t="shared" si="59"/>
        <v>Allowed</v>
      </c>
    </row>
    <row r="322" spans="1:24" x14ac:dyDescent="0.3">
      <c r="A322" t="s">
        <v>23</v>
      </c>
      <c r="B322" t="s">
        <v>28</v>
      </c>
      <c r="C322" t="s">
        <v>24</v>
      </c>
      <c r="D322" s="3">
        <v>45657</v>
      </c>
      <c r="E322" s="6">
        <v>0.87949999999999995</v>
      </c>
      <c r="F322">
        <v>0</v>
      </c>
      <c r="G322" t="s">
        <v>17</v>
      </c>
      <c r="H322" s="6">
        <v>0.85</v>
      </c>
      <c r="I322" s="8">
        <v>1.9366598313965871E-3</v>
      </c>
      <c r="J322" s="5">
        <f t="shared" ref="J322:J385" si="60">AVERAGEIF($C:$C,C322,$I:$I)</f>
        <v>4.5902054585511267E-3</v>
      </c>
      <c r="K322" s="5" cm="1">
        <f t="array" ref="K322">_xlfn.STDEV.S(IF($C:$C=C322,$I:$I))</f>
        <v>7.1528610508022367E-2</v>
      </c>
      <c r="L322" s="7">
        <f t="shared" si="51"/>
        <v>-3.7097681729144287E-2</v>
      </c>
      <c r="M322">
        <f t="shared" ref="M322:M385" si="61">IF(L322&lt;=-$Z$4,1,IF(L322&gt;=$Z$4,-1,0))</f>
        <v>0</v>
      </c>
      <c r="N322" s="9">
        <f t="shared" si="52"/>
        <v>-3.4705882352941142E-2</v>
      </c>
      <c r="O322">
        <f>COUNTIFS($B$2:B322,B322,$C$2:C322,C322,$D$2:D322,"&lt;"&amp;D322,$F$2:F322,1)</f>
        <v>2</v>
      </c>
      <c r="P322">
        <f t="shared" ref="P322:P385" si="62">IF(AND(R322=1,I322&gt;0),1,IF(R322=1,-1,0))</f>
        <v>0</v>
      </c>
      <c r="Q322" t="str">
        <f t="shared" si="53"/>
        <v>Monitor</v>
      </c>
      <c r="R322">
        <v>0</v>
      </c>
      <c r="S322">
        <f t="shared" si="54"/>
        <v>0</v>
      </c>
      <c r="T322">
        <f t="shared" si="55"/>
        <v>0</v>
      </c>
      <c r="U322" t="str">
        <f t="shared" si="56"/>
        <v>Not Improved Enough</v>
      </c>
      <c r="V322" t="str">
        <f t="shared" si="57"/>
        <v>Close</v>
      </c>
      <c r="W322" t="str">
        <f t="shared" si="58"/>
        <v>Normal</v>
      </c>
      <c r="X322" t="str">
        <f t="shared" si="59"/>
        <v>Allowed</v>
      </c>
    </row>
    <row r="323" spans="1:24" x14ac:dyDescent="0.3">
      <c r="A323" t="s">
        <v>23</v>
      </c>
      <c r="B323" t="s">
        <v>28</v>
      </c>
      <c r="C323" t="s">
        <v>24</v>
      </c>
      <c r="D323" s="3">
        <v>45688</v>
      </c>
      <c r="E323" s="6">
        <v>0.7903</v>
      </c>
      <c r="F323">
        <v>0</v>
      </c>
      <c r="G323" t="s">
        <v>17</v>
      </c>
      <c r="H323" s="6">
        <v>0.85</v>
      </c>
      <c r="I323" s="8">
        <v>-0.1014212620807276</v>
      </c>
      <c r="J323" s="5">
        <f t="shared" si="60"/>
        <v>4.5902054585511267E-3</v>
      </c>
      <c r="K323" s="5" cm="1">
        <f t="array" ref="K323">_xlfn.STDEV.S(IF($C:$C=C323,$I:$I))</f>
        <v>7.1528610508022367E-2</v>
      </c>
      <c r="L323" s="7">
        <f t="shared" ref="L323:L386" si="63">IFERROR((I323-J323)/K323,0)</f>
        <v>-1.4820848159407334</v>
      </c>
      <c r="M323">
        <f t="shared" si="61"/>
        <v>1</v>
      </c>
      <c r="N323" s="9">
        <f t="shared" ref="N323:N386" si="64">IFERROR(IF(G323="DOWN",(E323-H323)/H323,(H323-E323)/H323),0)</f>
        <v>7.0235294117647035E-2</v>
      </c>
      <c r="O323">
        <f>COUNTIFS($B$2:B323,B323,$C$2:C323,C323,$D$2:D323,"&lt;"&amp;D323,$F$2:F323,1)</f>
        <v>2</v>
      </c>
      <c r="P323">
        <f t="shared" si="62"/>
        <v>0</v>
      </c>
      <c r="Q323" t="str">
        <f t="shared" ref="Q323:Q386" si="65">IF(I323&gt;=$Z$1,"Monitor",IF(AND(N323&gt;=$Z$2,L323&lt;=-$Z$4),IF(O323&lt;$Z$3,"Intervene","Escalate / Bigger Fix"),"Monitor"))</f>
        <v>Intervene</v>
      </c>
      <c r="R323">
        <v>0</v>
      </c>
      <c r="S323">
        <f t="shared" ref="S323:S386" si="66">IF(Q323="Intervene",1,IF(Q323="Escalate / Bigger Fix",-1,0))</f>
        <v>1</v>
      </c>
      <c r="T323">
        <f t="shared" ref="T323:T386" si="67">IF(Q323="Intervene",1,0)</f>
        <v>1</v>
      </c>
      <c r="U323" t="str">
        <f t="shared" ref="U323:U386" si="68">IF(I323&gt;=$Z$1,"Improved Enough","Not Improved Enough")</f>
        <v>Not Improved Enough</v>
      </c>
      <c r="V323" t="str">
        <f t="shared" ref="V323:V386" si="69">IF(N323&gt;=$Z$2,"Far","Close")</f>
        <v>Far</v>
      </c>
      <c r="W323" t="str">
        <f t="shared" ref="W323:W386" si="70">IF(L323&lt;=-$Z$4,"Abnormal","Normal")</f>
        <v>Abnormal</v>
      </c>
      <c r="X323" t="str">
        <f t="shared" ref="X323:X386" si="71">IF(O323&lt;$Z$3,"Allowed","Maxed Out")</f>
        <v>Allowed</v>
      </c>
    </row>
    <row r="324" spans="1:24" x14ac:dyDescent="0.3">
      <c r="A324" t="s">
        <v>23</v>
      </c>
      <c r="B324" t="s">
        <v>28</v>
      </c>
      <c r="C324" t="s">
        <v>24</v>
      </c>
      <c r="D324" s="3">
        <v>45716</v>
      </c>
      <c r="E324" s="6">
        <v>0.74590000000000001</v>
      </c>
      <c r="F324">
        <v>1</v>
      </c>
      <c r="G324" t="s">
        <v>17</v>
      </c>
      <c r="H324" s="6">
        <v>0.85</v>
      </c>
      <c r="I324" s="8">
        <v>-5.6181197013792233E-2</v>
      </c>
      <c r="J324" s="5">
        <f t="shared" si="60"/>
        <v>4.5902054585511267E-3</v>
      </c>
      <c r="K324" s="5" cm="1">
        <f t="array" ref="K324">_xlfn.STDEV.S(IF($C:$C=C324,$I:$I))</f>
        <v>7.1528610508022367E-2</v>
      </c>
      <c r="L324" s="7">
        <f t="shared" si="63"/>
        <v>-0.84960971617822045</v>
      </c>
      <c r="M324">
        <f t="shared" si="61"/>
        <v>1</v>
      </c>
      <c r="N324" s="9">
        <f t="shared" si="64"/>
        <v>0.12247058823529408</v>
      </c>
      <c r="O324">
        <f>COUNTIFS($B$2:B324,B324,$C$2:C324,C324,$D$2:D324,"&lt;"&amp;D324,$F$2:F324,1)</f>
        <v>2</v>
      </c>
      <c r="P324">
        <f t="shared" si="62"/>
        <v>0</v>
      </c>
      <c r="Q324" t="str">
        <f t="shared" si="65"/>
        <v>Intervene</v>
      </c>
      <c r="R324">
        <v>0</v>
      </c>
      <c r="S324">
        <f t="shared" si="66"/>
        <v>1</v>
      </c>
      <c r="T324">
        <f t="shared" si="67"/>
        <v>1</v>
      </c>
      <c r="U324" t="str">
        <f t="shared" si="68"/>
        <v>Not Improved Enough</v>
      </c>
      <c r="V324" t="str">
        <f t="shared" si="69"/>
        <v>Far</v>
      </c>
      <c r="W324" t="str">
        <f t="shared" si="70"/>
        <v>Abnormal</v>
      </c>
      <c r="X324" t="str">
        <f t="shared" si="71"/>
        <v>Allowed</v>
      </c>
    </row>
    <row r="325" spans="1:24" x14ac:dyDescent="0.3">
      <c r="A325" t="s">
        <v>23</v>
      </c>
      <c r="B325" t="s">
        <v>28</v>
      </c>
      <c r="C325" t="s">
        <v>24</v>
      </c>
      <c r="D325" s="3">
        <v>45747</v>
      </c>
      <c r="E325" s="6">
        <v>0.79459999999999997</v>
      </c>
      <c r="F325">
        <v>0</v>
      </c>
      <c r="G325" t="s">
        <v>17</v>
      </c>
      <c r="H325" s="6">
        <v>0.85</v>
      </c>
      <c r="I325" s="8">
        <v>6.5290253385172234E-2</v>
      </c>
      <c r="J325" s="5">
        <f t="shared" si="60"/>
        <v>4.5902054585511267E-3</v>
      </c>
      <c r="K325" s="5" cm="1">
        <f t="array" ref="K325">_xlfn.STDEV.S(IF($C:$C=C325,$I:$I))</f>
        <v>7.1528610508022367E-2</v>
      </c>
      <c r="L325" s="7">
        <f t="shared" si="63"/>
        <v>0.8486121496769915</v>
      </c>
      <c r="M325">
        <f t="shared" si="61"/>
        <v>-1</v>
      </c>
      <c r="N325" s="9">
        <f t="shared" si="64"/>
        <v>6.5176470588235308E-2</v>
      </c>
      <c r="O325">
        <f>COUNTIFS($B$2:B325,B325,$C$2:C325,C325,$D$2:D325,"&lt;"&amp;D325,$F$2:F325,1)</f>
        <v>3</v>
      </c>
      <c r="P325">
        <f t="shared" si="62"/>
        <v>1</v>
      </c>
      <c r="Q325" t="str">
        <f t="shared" si="65"/>
        <v>Monitor</v>
      </c>
      <c r="R325">
        <v>1</v>
      </c>
      <c r="S325">
        <f t="shared" si="66"/>
        <v>0</v>
      </c>
      <c r="T325">
        <f t="shared" si="67"/>
        <v>0</v>
      </c>
      <c r="U325" t="str">
        <f t="shared" si="68"/>
        <v>Improved Enough</v>
      </c>
      <c r="V325" t="str">
        <f t="shared" si="69"/>
        <v>Far</v>
      </c>
      <c r="W325" t="str">
        <f t="shared" si="70"/>
        <v>Normal</v>
      </c>
      <c r="X325" t="str">
        <f t="shared" si="71"/>
        <v>Allowed</v>
      </c>
    </row>
    <row r="326" spans="1:24" x14ac:dyDescent="0.3">
      <c r="A326" t="s">
        <v>23</v>
      </c>
      <c r="B326" t="s">
        <v>28</v>
      </c>
      <c r="C326" t="s">
        <v>24</v>
      </c>
      <c r="D326" s="3">
        <v>45777</v>
      </c>
      <c r="E326" s="6">
        <v>0.83189999999999997</v>
      </c>
      <c r="F326">
        <v>0</v>
      </c>
      <c r="G326" t="s">
        <v>17</v>
      </c>
      <c r="H326" s="6">
        <v>0.85</v>
      </c>
      <c r="I326" s="8">
        <v>4.6941857538384091E-2</v>
      </c>
      <c r="J326" s="5">
        <f t="shared" si="60"/>
        <v>4.5902054585511267E-3</v>
      </c>
      <c r="K326" s="5" cm="1">
        <f t="array" ref="K326">_xlfn.STDEV.S(IF($C:$C=C326,$I:$I))</f>
        <v>7.1528610508022367E-2</v>
      </c>
      <c r="L326" s="7">
        <f t="shared" si="63"/>
        <v>0.59209387375255906</v>
      </c>
      <c r="M326">
        <f t="shared" si="61"/>
        <v>-1</v>
      </c>
      <c r="N326" s="9">
        <f t="shared" si="64"/>
        <v>2.1294117647058831E-2</v>
      </c>
      <c r="O326">
        <f>COUNTIFS($B$2:B326,B326,$C$2:C326,C326,$D$2:D326,"&lt;"&amp;D326,$F$2:F326,1)</f>
        <v>3</v>
      </c>
      <c r="P326">
        <f t="shared" si="62"/>
        <v>0</v>
      </c>
      <c r="Q326" t="str">
        <f t="shared" si="65"/>
        <v>Monitor</v>
      </c>
      <c r="R326">
        <v>0</v>
      </c>
      <c r="S326">
        <f t="shared" si="66"/>
        <v>0</v>
      </c>
      <c r="T326">
        <f t="shared" si="67"/>
        <v>0</v>
      </c>
      <c r="U326" t="str">
        <f t="shared" si="68"/>
        <v>Improved Enough</v>
      </c>
      <c r="V326" t="str">
        <f t="shared" si="69"/>
        <v>Far</v>
      </c>
      <c r="W326" t="str">
        <f t="shared" si="70"/>
        <v>Normal</v>
      </c>
      <c r="X326" t="str">
        <f t="shared" si="71"/>
        <v>Allowed</v>
      </c>
    </row>
    <row r="327" spans="1:24" x14ac:dyDescent="0.3">
      <c r="A327" t="s">
        <v>23</v>
      </c>
      <c r="B327" t="s">
        <v>28</v>
      </c>
      <c r="C327" t="s">
        <v>24</v>
      </c>
      <c r="D327" s="3">
        <v>45808</v>
      </c>
      <c r="E327" s="6">
        <v>0.87780000000000002</v>
      </c>
      <c r="F327">
        <v>0</v>
      </c>
      <c r="G327" t="s">
        <v>17</v>
      </c>
      <c r="H327" s="6">
        <v>0.85</v>
      </c>
      <c r="I327" s="8">
        <v>5.5174900829426679E-2</v>
      </c>
      <c r="J327" s="5">
        <f t="shared" si="60"/>
        <v>4.5902054585511267E-3</v>
      </c>
      <c r="K327" s="5" cm="1">
        <f t="array" ref="K327">_xlfn.STDEV.S(IF($C:$C=C327,$I:$I))</f>
        <v>7.1528610508022367E-2</v>
      </c>
      <c r="L327" s="7">
        <f t="shared" si="63"/>
        <v>0.70719527489216605</v>
      </c>
      <c r="M327">
        <f t="shared" si="61"/>
        <v>-1</v>
      </c>
      <c r="N327" s="9">
        <f t="shared" si="64"/>
        <v>-3.270588235294123E-2</v>
      </c>
      <c r="O327">
        <f>COUNTIFS($B$2:B327,B327,$C$2:C327,C327,$D$2:D327,"&lt;"&amp;D327,$F$2:F327,1)</f>
        <v>3</v>
      </c>
      <c r="P327">
        <f t="shared" si="62"/>
        <v>0</v>
      </c>
      <c r="Q327" t="str">
        <f t="shared" si="65"/>
        <v>Monitor</v>
      </c>
      <c r="R327">
        <v>0</v>
      </c>
      <c r="S327">
        <f t="shared" si="66"/>
        <v>0</v>
      </c>
      <c r="T327">
        <f t="shared" si="67"/>
        <v>0</v>
      </c>
      <c r="U327" t="str">
        <f t="shared" si="68"/>
        <v>Improved Enough</v>
      </c>
      <c r="V327" t="str">
        <f t="shared" si="69"/>
        <v>Close</v>
      </c>
      <c r="W327" t="str">
        <f t="shared" si="70"/>
        <v>Normal</v>
      </c>
      <c r="X327" t="str">
        <f t="shared" si="71"/>
        <v>Allowed</v>
      </c>
    </row>
    <row r="328" spans="1:24" x14ac:dyDescent="0.3">
      <c r="A328" t="s">
        <v>23</v>
      </c>
      <c r="B328" t="s">
        <v>28</v>
      </c>
      <c r="C328" t="s">
        <v>24</v>
      </c>
      <c r="D328" s="3">
        <v>45838</v>
      </c>
      <c r="E328" s="6">
        <v>0.82310000000000005</v>
      </c>
      <c r="F328">
        <v>0</v>
      </c>
      <c r="G328" t="s">
        <v>17</v>
      </c>
      <c r="H328" s="6">
        <v>0.85</v>
      </c>
      <c r="I328" s="8">
        <v>-6.2314878104351747E-2</v>
      </c>
      <c r="J328" s="5">
        <f t="shared" si="60"/>
        <v>4.5902054585511267E-3</v>
      </c>
      <c r="K328" s="5" cm="1">
        <f t="array" ref="K328">_xlfn.STDEV.S(IF($C:$C=C328,$I:$I))</f>
        <v>7.1528610508022367E-2</v>
      </c>
      <c r="L328" s="7">
        <f t="shared" si="63"/>
        <v>-0.93536115251950902</v>
      </c>
      <c r="M328">
        <f t="shared" si="61"/>
        <v>1</v>
      </c>
      <c r="N328" s="9">
        <f t="shared" si="64"/>
        <v>3.164705882352932E-2</v>
      </c>
      <c r="O328">
        <f>COUNTIFS($B$2:B328,B328,$C$2:C328,C328,$D$2:D328,"&lt;"&amp;D328,$F$2:F328,1)</f>
        <v>3</v>
      </c>
      <c r="P328">
        <f t="shared" si="62"/>
        <v>0</v>
      </c>
      <c r="Q328" t="str">
        <f t="shared" si="65"/>
        <v>Intervene</v>
      </c>
      <c r="R328">
        <v>0</v>
      </c>
      <c r="S328">
        <f t="shared" si="66"/>
        <v>1</v>
      </c>
      <c r="T328">
        <f t="shared" si="67"/>
        <v>1</v>
      </c>
      <c r="U328" t="str">
        <f t="shared" si="68"/>
        <v>Not Improved Enough</v>
      </c>
      <c r="V328" t="str">
        <f t="shared" si="69"/>
        <v>Far</v>
      </c>
      <c r="W328" t="str">
        <f t="shared" si="70"/>
        <v>Abnormal</v>
      </c>
      <c r="X328" t="str">
        <f t="shared" si="71"/>
        <v>Allowed</v>
      </c>
    </row>
    <row r="329" spans="1:24" x14ac:dyDescent="0.3">
      <c r="A329" t="s">
        <v>23</v>
      </c>
      <c r="B329" t="s">
        <v>28</v>
      </c>
      <c r="C329" t="s">
        <v>24</v>
      </c>
      <c r="D329" s="3">
        <v>45869</v>
      </c>
      <c r="E329" s="6">
        <v>0.84299999999999997</v>
      </c>
      <c r="F329">
        <v>0</v>
      </c>
      <c r="G329" t="s">
        <v>17</v>
      </c>
      <c r="H329" s="6">
        <v>0.85</v>
      </c>
      <c r="I329" s="8">
        <v>2.4176892236666161E-2</v>
      </c>
      <c r="J329" s="5">
        <f t="shared" si="60"/>
        <v>4.5902054585511267E-3</v>
      </c>
      <c r="K329" s="5" cm="1">
        <f t="array" ref="K329">_xlfn.STDEV.S(IF($C:$C=C329,$I:$I))</f>
        <v>7.1528610508022367E-2</v>
      </c>
      <c r="L329" s="7">
        <f t="shared" si="63"/>
        <v>0.27383010293368226</v>
      </c>
      <c r="M329">
        <f t="shared" si="61"/>
        <v>0</v>
      </c>
      <c r="N329" s="9">
        <f t="shared" si="64"/>
        <v>8.2352941176470663E-3</v>
      </c>
      <c r="O329">
        <f>COUNTIFS($B$2:B329,B329,$C$2:C329,C329,$D$2:D329,"&lt;"&amp;D329,$F$2:F329,1)</f>
        <v>3</v>
      </c>
      <c r="P329">
        <f t="shared" si="62"/>
        <v>0</v>
      </c>
      <c r="Q329" t="str">
        <f t="shared" si="65"/>
        <v>Monitor</v>
      </c>
      <c r="R329">
        <v>0</v>
      </c>
      <c r="S329">
        <f t="shared" si="66"/>
        <v>0</v>
      </c>
      <c r="T329">
        <f t="shared" si="67"/>
        <v>0</v>
      </c>
      <c r="U329" t="str">
        <f t="shared" si="68"/>
        <v>Improved Enough</v>
      </c>
      <c r="V329" t="str">
        <f t="shared" si="69"/>
        <v>Close</v>
      </c>
      <c r="W329" t="str">
        <f t="shared" si="70"/>
        <v>Normal</v>
      </c>
      <c r="X329" t="str">
        <f t="shared" si="71"/>
        <v>Allowed</v>
      </c>
    </row>
    <row r="330" spans="1:24" x14ac:dyDescent="0.3">
      <c r="A330" t="s">
        <v>23</v>
      </c>
      <c r="B330" t="s">
        <v>28</v>
      </c>
      <c r="C330" t="s">
        <v>24</v>
      </c>
      <c r="D330" s="3">
        <v>45900</v>
      </c>
      <c r="E330" s="6">
        <v>0.75</v>
      </c>
      <c r="F330">
        <v>0</v>
      </c>
      <c r="G330" t="s">
        <v>17</v>
      </c>
      <c r="H330" s="6">
        <v>0.85</v>
      </c>
      <c r="I330" s="8">
        <v>-0.1103202846975089</v>
      </c>
      <c r="J330" s="5">
        <f t="shared" si="60"/>
        <v>4.5902054585511267E-3</v>
      </c>
      <c r="K330" s="5" cm="1">
        <f t="array" ref="K330">_xlfn.STDEV.S(IF($C:$C=C330,$I:$I))</f>
        <v>7.1528610508022367E-2</v>
      </c>
      <c r="L330" s="7">
        <f t="shared" si="63"/>
        <v>-1.6064968876079611</v>
      </c>
      <c r="M330">
        <f t="shared" si="61"/>
        <v>1</v>
      </c>
      <c r="N330" s="9">
        <f t="shared" si="64"/>
        <v>0.11764705882352938</v>
      </c>
      <c r="O330">
        <f>COUNTIFS($B$2:B330,B330,$C$2:C330,C330,$D$2:D330,"&lt;"&amp;D330,$F$2:F330,1)</f>
        <v>3</v>
      </c>
      <c r="P330">
        <f t="shared" si="62"/>
        <v>0</v>
      </c>
      <c r="Q330" t="str">
        <f t="shared" si="65"/>
        <v>Intervene</v>
      </c>
      <c r="R330">
        <v>0</v>
      </c>
      <c r="S330">
        <f t="shared" si="66"/>
        <v>1</v>
      </c>
      <c r="T330">
        <f t="shared" si="67"/>
        <v>1</v>
      </c>
      <c r="U330" t="str">
        <f t="shared" si="68"/>
        <v>Not Improved Enough</v>
      </c>
      <c r="V330" t="str">
        <f t="shared" si="69"/>
        <v>Far</v>
      </c>
      <c r="W330" t="str">
        <f t="shared" si="70"/>
        <v>Abnormal</v>
      </c>
      <c r="X330" t="str">
        <f t="shared" si="71"/>
        <v>Allowed</v>
      </c>
    </row>
    <row r="331" spans="1:24" x14ac:dyDescent="0.3">
      <c r="A331" t="s">
        <v>23</v>
      </c>
      <c r="B331" t="s">
        <v>28</v>
      </c>
      <c r="C331" t="s">
        <v>24</v>
      </c>
      <c r="D331" s="3">
        <v>45930</v>
      </c>
      <c r="E331" s="6">
        <v>0.745</v>
      </c>
      <c r="F331">
        <v>0</v>
      </c>
      <c r="G331" t="s">
        <v>17</v>
      </c>
      <c r="H331" s="6">
        <v>0.85</v>
      </c>
      <c r="I331" s="8">
        <v>-6.6666666666666723E-3</v>
      </c>
      <c r="J331" s="5">
        <f t="shared" si="60"/>
        <v>4.5902054585511267E-3</v>
      </c>
      <c r="K331" s="5" cm="1">
        <f t="array" ref="K331">_xlfn.STDEV.S(IF($C:$C=C331,$I:$I))</f>
        <v>7.1528610508022367E-2</v>
      </c>
      <c r="L331" s="7">
        <f t="shared" si="63"/>
        <v>-0.15737579753426459</v>
      </c>
      <c r="M331">
        <f t="shared" si="61"/>
        <v>0</v>
      </c>
      <c r="N331" s="9">
        <f t="shared" si="64"/>
        <v>0.12352941176470586</v>
      </c>
      <c r="O331">
        <f>COUNTIFS($B$2:B331,B331,$C$2:C331,C331,$D$2:D331,"&lt;"&amp;D331,$F$2:F331,1)</f>
        <v>3</v>
      </c>
      <c r="P331">
        <f t="shared" si="62"/>
        <v>0</v>
      </c>
      <c r="Q331" t="str">
        <f t="shared" si="65"/>
        <v>Monitor</v>
      </c>
      <c r="R331">
        <v>0</v>
      </c>
      <c r="S331">
        <f t="shared" si="66"/>
        <v>0</v>
      </c>
      <c r="T331">
        <f t="shared" si="67"/>
        <v>0</v>
      </c>
      <c r="U331" t="str">
        <f t="shared" si="68"/>
        <v>Not Improved Enough</v>
      </c>
      <c r="V331" t="str">
        <f t="shared" si="69"/>
        <v>Far</v>
      </c>
      <c r="W331" t="str">
        <f t="shared" si="70"/>
        <v>Normal</v>
      </c>
      <c r="X331" t="str">
        <f t="shared" si="71"/>
        <v>Allowed</v>
      </c>
    </row>
    <row r="332" spans="1:24" x14ac:dyDescent="0.3">
      <c r="A332" t="s">
        <v>23</v>
      </c>
      <c r="B332" t="s">
        <v>28</v>
      </c>
      <c r="C332" t="s">
        <v>24</v>
      </c>
      <c r="D332" s="3">
        <v>45961</v>
      </c>
      <c r="E332" s="6">
        <v>0.82199999999999995</v>
      </c>
      <c r="F332">
        <v>0</v>
      </c>
      <c r="G332" t="s">
        <v>17</v>
      </c>
      <c r="H332" s="6">
        <v>0.85</v>
      </c>
      <c r="I332" s="8">
        <v>0.10335570469798649</v>
      </c>
      <c r="J332" s="5">
        <f t="shared" si="60"/>
        <v>4.5902054585511267E-3</v>
      </c>
      <c r="K332" s="5" cm="1">
        <f t="array" ref="K332">_xlfn.STDEV.S(IF($C:$C=C332,$I:$I))</f>
        <v>7.1528610508022367E-2</v>
      </c>
      <c r="L332" s="7">
        <f t="shared" si="63"/>
        <v>1.3807831375161164</v>
      </c>
      <c r="M332">
        <f t="shared" si="61"/>
        <v>-1</v>
      </c>
      <c r="N332" s="9">
        <f t="shared" si="64"/>
        <v>3.2941176470588265E-2</v>
      </c>
      <c r="O332">
        <f>COUNTIFS($B$2:B332,B332,$C$2:C332,C332,$D$2:D332,"&lt;"&amp;D332,$F$2:F332,1)</f>
        <v>3</v>
      </c>
      <c r="P332">
        <f t="shared" si="62"/>
        <v>0</v>
      </c>
      <c r="Q332" t="str">
        <f t="shared" si="65"/>
        <v>Monitor</v>
      </c>
      <c r="R332">
        <v>0</v>
      </c>
      <c r="S332">
        <f t="shared" si="66"/>
        <v>0</v>
      </c>
      <c r="T332">
        <f t="shared" si="67"/>
        <v>0</v>
      </c>
      <c r="U332" t="str">
        <f t="shared" si="68"/>
        <v>Improved Enough</v>
      </c>
      <c r="V332" t="str">
        <f t="shared" si="69"/>
        <v>Far</v>
      </c>
      <c r="W332" t="str">
        <f t="shared" si="70"/>
        <v>Normal</v>
      </c>
      <c r="X332" t="str">
        <f t="shared" si="71"/>
        <v>Allowed</v>
      </c>
    </row>
    <row r="333" spans="1:24" x14ac:dyDescent="0.3">
      <c r="A333" t="s">
        <v>23</v>
      </c>
      <c r="B333" t="s">
        <v>28</v>
      </c>
      <c r="C333" t="s">
        <v>24</v>
      </c>
      <c r="D333" s="3">
        <v>45991</v>
      </c>
      <c r="E333" s="6">
        <v>0.79300000000000004</v>
      </c>
      <c r="F333">
        <v>0</v>
      </c>
      <c r="G333" t="s">
        <v>17</v>
      </c>
      <c r="H333" s="6">
        <v>0.85</v>
      </c>
      <c r="I333" s="8">
        <v>-3.5279805352797948E-2</v>
      </c>
      <c r="J333" s="5">
        <f t="shared" si="60"/>
        <v>4.5902054585511267E-3</v>
      </c>
      <c r="K333" s="5" cm="1">
        <f t="array" ref="K333">_xlfn.STDEV.S(IF($C:$C=C333,$I:$I))</f>
        <v>7.1528610508022367E-2</v>
      </c>
      <c r="L333" s="7">
        <f t="shared" si="63"/>
        <v>-0.55739948711680076</v>
      </c>
      <c r="M333">
        <f t="shared" si="61"/>
        <v>1</v>
      </c>
      <c r="N333" s="9">
        <f t="shared" si="64"/>
        <v>6.7058823529411699E-2</v>
      </c>
      <c r="O333">
        <f>COUNTIFS($B$2:B333,B333,$C$2:C333,C333,$D$2:D333,"&lt;"&amp;D333,$F$2:F333,1)</f>
        <v>3</v>
      </c>
      <c r="P333">
        <f t="shared" si="62"/>
        <v>0</v>
      </c>
      <c r="Q333" t="str">
        <f t="shared" si="65"/>
        <v>Intervene</v>
      </c>
      <c r="R333">
        <v>0</v>
      </c>
      <c r="S333">
        <f t="shared" si="66"/>
        <v>1</v>
      </c>
      <c r="T333">
        <f t="shared" si="67"/>
        <v>1</v>
      </c>
      <c r="U333" t="str">
        <f t="shared" si="68"/>
        <v>Not Improved Enough</v>
      </c>
      <c r="V333" t="str">
        <f t="shared" si="69"/>
        <v>Far</v>
      </c>
      <c r="W333" t="str">
        <f t="shared" si="70"/>
        <v>Abnormal</v>
      </c>
      <c r="X333" t="str">
        <f t="shared" si="71"/>
        <v>Allowed</v>
      </c>
    </row>
    <row r="334" spans="1:24" x14ac:dyDescent="0.3">
      <c r="A334" t="s">
        <v>23</v>
      </c>
      <c r="B334" t="s">
        <v>28</v>
      </c>
      <c r="C334" t="s">
        <v>25</v>
      </c>
      <c r="D334" s="3">
        <v>45535</v>
      </c>
      <c r="E334" s="6">
        <v>0.66490000000000005</v>
      </c>
      <c r="F334">
        <v>0</v>
      </c>
      <c r="G334" t="s">
        <v>17</v>
      </c>
      <c r="H334" s="6">
        <v>0.65</v>
      </c>
      <c r="I334" s="8">
        <v>-2.191821123859946E-2</v>
      </c>
      <c r="J334" s="5">
        <f t="shared" si="60"/>
        <v>1.2057533289701232E-2</v>
      </c>
      <c r="K334" s="5" cm="1">
        <f t="array" ref="K334">_xlfn.STDEV.S(IF($C:$C=C334,$I:$I))</f>
        <v>0.17981498891186962</v>
      </c>
      <c r="L334" s="7">
        <f t="shared" si="63"/>
        <v>-0.18894834481764353</v>
      </c>
      <c r="M334">
        <f t="shared" si="61"/>
        <v>0</v>
      </c>
      <c r="N334" s="9">
        <f t="shared" si="64"/>
        <v>-2.2923076923076959E-2</v>
      </c>
      <c r="O334">
        <f>COUNTIFS($B$2:B334,B334,$C$2:C334,C334,$D$2:D334,"&lt;"&amp;D334,$F$2:F334,1)</f>
        <v>0</v>
      </c>
      <c r="P334">
        <f t="shared" si="62"/>
        <v>0</v>
      </c>
      <c r="Q334" t="str">
        <f t="shared" si="65"/>
        <v>Monitor</v>
      </c>
      <c r="R334">
        <v>0</v>
      </c>
      <c r="S334">
        <f t="shared" si="66"/>
        <v>0</v>
      </c>
      <c r="T334">
        <f t="shared" si="67"/>
        <v>0</v>
      </c>
      <c r="U334" t="str">
        <f t="shared" si="68"/>
        <v>Not Improved Enough</v>
      </c>
      <c r="V334" t="str">
        <f t="shared" si="69"/>
        <v>Close</v>
      </c>
      <c r="W334" t="str">
        <f t="shared" si="70"/>
        <v>Normal</v>
      </c>
      <c r="X334" t="str">
        <f t="shared" si="71"/>
        <v>Allowed</v>
      </c>
    </row>
    <row r="335" spans="1:24" x14ac:dyDescent="0.3">
      <c r="A335" t="s">
        <v>23</v>
      </c>
      <c r="B335" t="s">
        <v>28</v>
      </c>
      <c r="C335" t="s">
        <v>25</v>
      </c>
      <c r="D335" s="3">
        <v>45565</v>
      </c>
      <c r="E335" s="6">
        <v>0.65239999999999998</v>
      </c>
      <c r="F335">
        <v>0</v>
      </c>
      <c r="G335" t="s">
        <v>17</v>
      </c>
      <c r="H335" s="6">
        <v>0.65</v>
      </c>
      <c r="I335" s="8">
        <v>-1.8799819521732691E-2</v>
      </c>
      <c r="J335" s="5">
        <f t="shared" si="60"/>
        <v>1.2057533289701232E-2</v>
      </c>
      <c r="K335" s="5" cm="1">
        <f t="array" ref="K335">_xlfn.STDEV.S(IF($C:$C=C335,$I:$I))</f>
        <v>0.17981498891186962</v>
      </c>
      <c r="L335" s="7">
        <f t="shared" si="63"/>
        <v>-0.17160612137043613</v>
      </c>
      <c r="M335">
        <f t="shared" si="61"/>
        <v>0</v>
      </c>
      <c r="N335" s="9">
        <f t="shared" si="64"/>
        <v>-3.6923076923076272E-3</v>
      </c>
      <c r="O335">
        <f>COUNTIFS($B$2:B335,B335,$C$2:C335,C335,$D$2:D335,"&lt;"&amp;D335,$F$2:F335,1)</f>
        <v>0</v>
      </c>
      <c r="P335">
        <f t="shared" si="62"/>
        <v>0</v>
      </c>
      <c r="Q335" t="str">
        <f t="shared" si="65"/>
        <v>Monitor</v>
      </c>
      <c r="R335">
        <v>0</v>
      </c>
      <c r="S335">
        <f t="shared" si="66"/>
        <v>0</v>
      </c>
      <c r="T335">
        <f t="shared" si="67"/>
        <v>0</v>
      </c>
      <c r="U335" t="str">
        <f t="shared" si="68"/>
        <v>Not Improved Enough</v>
      </c>
      <c r="V335" t="str">
        <f t="shared" si="69"/>
        <v>Close</v>
      </c>
      <c r="W335" t="str">
        <f t="shared" si="70"/>
        <v>Normal</v>
      </c>
      <c r="X335" t="str">
        <f t="shared" si="71"/>
        <v>Allowed</v>
      </c>
    </row>
    <row r="336" spans="1:24" x14ac:dyDescent="0.3">
      <c r="A336" t="s">
        <v>23</v>
      </c>
      <c r="B336" t="s">
        <v>28</v>
      </c>
      <c r="C336" t="s">
        <v>25</v>
      </c>
      <c r="D336" s="3">
        <v>45596</v>
      </c>
      <c r="E336" s="6">
        <v>0.64249999999999996</v>
      </c>
      <c r="F336">
        <v>0</v>
      </c>
      <c r="G336" t="s">
        <v>17</v>
      </c>
      <c r="H336" s="6">
        <v>0.65</v>
      </c>
      <c r="I336" s="8">
        <v>-1.517473942366649E-2</v>
      </c>
      <c r="J336" s="5">
        <f t="shared" si="60"/>
        <v>1.2057533289701232E-2</v>
      </c>
      <c r="K336" s="5" cm="1">
        <f t="array" ref="K336">_xlfn.STDEV.S(IF($C:$C=C336,$I:$I))</f>
        <v>0.17981498891186962</v>
      </c>
      <c r="L336" s="7">
        <f t="shared" si="63"/>
        <v>-0.15144606619370712</v>
      </c>
      <c r="M336">
        <f t="shared" si="61"/>
        <v>0</v>
      </c>
      <c r="N336" s="9">
        <f t="shared" si="64"/>
        <v>1.1538461538461635E-2</v>
      </c>
      <c r="O336">
        <f>COUNTIFS($B$2:B336,B336,$C$2:C336,C336,$D$2:D336,"&lt;"&amp;D336,$F$2:F336,1)</f>
        <v>0</v>
      </c>
      <c r="P336">
        <f t="shared" si="62"/>
        <v>0</v>
      </c>
      <c r="Q336" t="str">
        <f t="shared" si="65"/>
        <v>Monitor</v>
      </c>
      <c r="R336">
        <v>0</v>
      </c>
      <c r="S336">
        <f t="shared" si="66"/>
        <v>0</v>
      </c>
      <c r="T336">
        <f t="shared" si="67"/>
        <v>0</v>
      </c>
      <c r="U336" t="str">
        <f t="shared" si="68"/>
        <v>Not Improved Enough</v>
      </c>
      <c r="V336" t="str">
        <f t="shared" si="69"/>
        <v>Close</v>
      </c>
      <c r="W336" t="str">
        <f t="shared" si="70"/>
        <v>Normal</v>
      </c>
      <c r="X336" t="str">
        <f t="shared" si="71"/>
        <v>Allowed</v>
      </c>
    </row>
    <row r="337" spans="1:24" x14ac:dyDescent="0.3">
      <c r="A337" t="s">
        <v>23</v>
      </c>
      <c r="B337" t="s">
        <v>28</v>
      </c>
      <c r="C337" t="s">
        <v>25</v>
      </c>
      <c r="D337" s="3">
        <v>45626</v>
      </c>
      <c r="E337" s="6">
        <v>0.60560000000000003</v>
      </c>
      <c r="F337">
        <v>1</v>
      </c>
      <c r="G337" t="s">
        <v>17</v>
      </c>
      <c r="H337" s="6">
        <v>0.65</v>
      </c>
      <c r="I337" s="8">
        <v>-5.7431906614785887E-2</v>
      </c>
      <c r="J337" s="5">
        <f t="shared" si="60"/>
        <v>1.2057533289701232E-2</v>
      </c>
      <c r="K337" s="5" cm="1">
        <f t="array" ref="K337">_xlfn.STDEV.S(IF($C:$C=C337,$I:$I))</f>
        <v>0.17981498891186962</v>
      </c>
      <c r="L337" s="7">
        <f t="shared" si="63"/>
        <v>-0.38644965208403775</v>
      </c>
      <c r="M337">
        <f t="shared" si="61"/>
        <v>0</v>
      </c>
      <c r="N337" s="9">
        <f t="shared" si="64"/>
        <v>6.8307692307692292E-2</v>
      </c>
      <c r="O337">
        <f>COUNTIFS($B$2:B337,B337,$C$2:C337,C337,$D$2:D337,"&lt;"&amp;D337,$F$2:F337,1)</f>
        <v>0</v>
      </c>
      <c r="P337">
        <f t="shared" si="62"/>
        <v>0</v>
      </c>
      <c r="Q337" t="str">
        <f t="shared" si="65"/>
        <v>Monitor</v>
      </c>
      <c r="R337">
        <v>0</v>
      </c>
      <c r="S337">
        <f t="shared" si="66"/>
        <v>0</v>
      </c>
      <c r="T337">
        <f t="shared" si="67"/>
        <v>0</v>
      </c>
      <c r="U337" t="str">
        <f t="shared" si="68"/>
        <v>Not Improved Enough</v>
      </c>
      <c r="V337" t="str">
        <f t="shared" si="69"/>
        <v>Far</v>
      </c>
      <c r="W337" t="str">
        <f t="shared" si="70"/>
        <v>Normal</v>
      </c>
      <c r="X337" t="str">
        <f t="shared" si="71"/>
        <v>Allowed</v>
      </c>
    </row>
    <row r="338" spans="1:24" x14ac:dyDescent="0.3">
      <c r="A338" t="s">
        <v>23</v>
      </c>
      <c r="B338" t="s">
        <v>28</v>
      </c>
      <c r="C338" t="s">
        <v>25</v>
      </c>
      <c r="D338" s="3">
        <v>45657</v>
      </c>
      <c r="E338" s="6">
        <v>0.65380000000000005</v>
      </c>
      <c r="F338">
        <v>0</v>
      </c>
      <c r="G338" t="s">
        <v>17</v>
      </c>
      <c r="H338" s="6">
        <v>0.65</v>
      </c>
      <c r="I338" s="8">
        <v>7.959048877146635E-2</v>
      </c>
      <c r="J338" s="5">
        <f t="shared" si="60"/>
        <v>1.2057533289701232E-2</v>
      </c>
      <c r="K338" s="5" cm="1">
        <f t="array" ref="K338">_xlfn.STDEV.S(IF($C:$C=C338,$I:$I))</f>
        <v>0.17981498891186962</v>
      </c>
      <c r="L338" s="7">
        <f t="shared" si="63"/>
        <v>0.37556911073116472</v>
      </c>
      <c r="M338">
        <f t="shared" si="61"/>
        <v>0</v>
      </c>
      <c r="N338" s="9">
        <f t="shared" si="64"/>
        <v>-5.8461538461538854E-3</v>
      </c>
      <c r="O338">
        <f>COUNTIFS($B$2:B338,B338,$C$2:C338,C338,$D$2:D338,"&lt;"&amp;D338,$F$2:F338,1)</f>
        <v>1</v>
      </c>
      <c r="P338">
        <f t="shared" si="62"/>
        <v>1</v>
      </c>
      <c r="Q338" t="str">
        <f t="shared" si="65"/>
        <v>Monitor</v>
      </c>
      <c r="R338">
        <v>1</v>
      </c>
      <c r="S338">
        <f t="shared" si="66"/>
        <v>0</v>
      </c>
      <c r="T338">
        <f t="shared" si="67"/>
        <v>0</v>
      </c>
      <c r="U338" t="str">
        <f t="shared" si="68"/>
        <v>Improved Enough</v>
      </c>
      <c r="V338" t="str">
        <f t="shared" si="69"/>
        <v>Close</v>
      </c>
      <c r="W338" t="str">
        <f t="shared" si="70"/>
        <v>Normal</v>
      </c>
      <c r="X338" t="str">
        <f t="shared" si="71"/>
        <v>Allowed</v>
      </c>
    </row>
    <row r="339" spans="1:24" x14ac:dyDescent="0.3">
      <c r="A339" t="s">
        <v>23</v>
      </c>
      <c r="B339" t="s">
        <v>28</v>
      </c>
      <c r="C339" t="s">
        <v>25</v>
      </c>
      <c r="D339" s="3">
        <v>45688</v>
      </c>
      <c r="E339" s="6">
        <v>0.6421</v>
      </c>
      <c r="F339">
        <v>0</v>
      </c>
      <c r="G339" t="s">
        <v>17</v>
      </c>
      <c r="H339" s="6">
        <v>0.65</v>
      </c>
      <c r="I339" s="8">
        <v>-1.7895380850413041E-2</v>
      </c>
      <c r="J339" s="5">
        <f t="shared" si="60"/>
        <v>1.2057533289701232E-2</v>
      </c>
      <c r="K339" s="5" cm="1">
        <f t="array" ref="K339">_xlfn.STDEV.S(IF($C:$C=C339,$I:$I))</f>
        <v>0.17981498891186962</v>
      </c>
      <c r="L339" s="7">
        <f t="shared" si="63"/>
        <v>-0.16657629222886811</v>
      </c>
      <c r="M339">
        <f t="shared" si="61"/>
        <v>0</v>
      </c>
      <c r="N339" s="9">
        <f t="shared" si="64"/>
        <v>1.2153846153846182E-2</v>
      </c>
      <c r="O339">
        <f>COUNTIFS($B$2:B339,B339,$C$2:C339,C339,$D$2:D339,"&lt;"&amp;D339,$F$2:F339,1)</f>
        <v>1</v>
      </c>
      <c r="P339">
        <f t="shared" si="62"/>
        <v>0</v>
      </c>
      <c r="Q339" t="str">
        <f t="shared" si="65"/>
        <v>Monitor</v>
      </c>
      <c r="R339">
        <v>0</v>
      </c>
      <c r="S339">
        <f t="shared" si="66"/>
        <v>0</v>
      </c>
      <c r="T339">
        <f t="shared" si="67"/>
        <v>0</v>
      </c>
      <c r="U339" t="str">
        <f t="shared" si="68"/>
        <v>Not Improved Enough</v>
      </c>
      <c r="V339" t="str">
        <f t="shared" si="69"/>
        <v>Close</v>
      </c>
      <c r="W339" t="str">
        <f t="shared" si="70"/>
        <v>Normal</v>
      </c>
      <c r="X339" t="str">
        <f t="shared" si="71"/>
        <v>Allowed</v>
      </c>
    </row>
    <row r="340" spans="1:24" x14ac:dyDescent="0.3">
      <c r="A340" t="s">
        <v>23</v>
      </c>
      <c r="B340" t="s">
        <v>28</v>
      </c>
      <c r="C340" t="s">
        <v>25</v>
      </c>
      <c r="D340" s="3">
        <v>45716</v>
      </c>
      <c r="E340" s="6">
        <v>0.62570000000000003</v>
      </c>
      <c r="F340">
        <v>1</v>
      </c>
      <c r="G340" t="s">
        <v>17</v>
      </c>
      <c r="H340" s="6">
        <v>0.65</v>
      </c>
      <c r="I340" s="8">
        <v>-2.5541192960597991E-2</v>
      </c>
      <c r="J340" s="5">
        <f t="shared" si="60"/>
        <v>1.2057533289701232E-2</v>
      </c>
      <c r="K340" s="5" cm="1">
        <f t="array" ref="K340">_xlfn.STDEV.S(IF($C:$C=C340,$I:$I))</f>
        <v>0.17981498891186962</v>
      </c>
      <c r="L340" s="7">
        <f t="shared" si="63"/>
        <v>-0.20909673035503731</v>
      </c>
      <c r="M340">
        <f t="shared" si="61"/>
        <v>0</v>
      </c>
      <c r="N340" s="9">
        <f t="shared" si="64"/>
        <v>3.7384615384615363E-2</v>
      </c>
      <c r="O340">
        <f>COUNTIFS($B$2:B340,B340,$C$2:C340,C340,$D$2:D340,"&lt;"&amp;D340,$F$2:F340,1)</f>
        <v>1</v>
      </c>
      <c r="P340">
        <f t="shared" si="62"/>
        <v>0</v>
      </c>
      <c r="Q340" t="str">
        <f t="shared" si="65"/>
        <v>Monitor</v>
      </c>
      <c r="R340">
        <v>0</v>
      </c>
      <c r="S340">
        <f t="shared" si="66"/>
        <v>0</v>
      </c>
      <c r="T340">
        <f t="shared" si="67"/>
        <v>0</v>
      </c>
      <c r="U340" t="str">
        <f t="shared" si="68"/>
        <v>Not Improved Enough</v>
      </c>
      <c r="V340" t="str">
        <f t="shared" si="69"/>
        <v>Far</v>
      </c>
      <c r="W340" t="str">
        <f t="shared" si="70"/>
        <v>Normal</v>
      </c>
      <c r="X340" t="str">
        <f t="shared" si="71"/>
        <v>Allowed</v>
      </c>
    </row>
    <row r="341" spans="1:24" x14ac:dyDescent="0.3">
      <c r="A341" t="s">
        <v>23</v>
      </c>
      <c r="B341" t="s">
        <v>28</v>
      </c>
      <c r="C341" t="s">
        <v>25</v>
      </c>
      <c r="D341" s="3">
        <v>45747</v>
      </c>
      <c r="E341" s="6">
        <v>0.63009999999999999</v>
      </c>
      <c r="F341">
        <v>1</v>
      </c>
      <c r="G341" t="s">
        <v>17</v>
      </c>
      <c r="H341" s="6">
        <v>0.65</v>
      </c>
      <c r="I341" s="8">
        <v>7.0321240210963068E-3</v>
      </c>
      <c r="J341" s="5">
        <f t="shared" si="60"/>
        <v>1.2057533289701232E-2</v>
      </c>
      <c r="K341" s="5" cm="1">
        <f t="array" ref="K341">_xlfn.STDEV.S(IF($C:$C=C341,$I:$I))</f>
        <v>0.17981498891186962</v>
      </c>
      <c r="L341" s="7">
        <f t="shared" si="63"/>
        <v>-2.7947666092885973E-2</v>
      </c>
      <c r="M341">
        <f t="shared" si="61"/>
        <v>0</v>
      </c>
      <c r="N341" s="9">
        <f t="shared" si="64"/>
        <v>3.0615384615384659E-2</v>
      </c>
      <c r="O341">
        <f>COUNTIFS($B$2:B341,B341,$C$2:C341,C341,$D$2:D341,"&lt;"&amp;D341,$F$2:F341,1)</f>
        <v>2</v>
      </c>
      <c r="P341">
        <f t="shared" si="62"/>
        <v>1</v>
      </c>
      <c r="Q341" t="str">
        <f t="shared" si="65"/>
        <v>Monitor</v>
      </c>
      <c r="R341">
        <v>1</v>
      </c>
      <c r="S341">
        <f t="shared" si="66"/>
        <v>0</v>
      </c>
      <c r="T341">
        <f t="shared" si="67"/>
        <v>0</v>
      </c>
      <c r="U341" t="str">
        <f t="shared" si="68"/>
        <v>Not Improved Enough</v>
      </c>
      <c r="V341" t="str">
        <f t="shared" si="69"/>
        <v>Far</v>
      </c>
      <c r="W341" t="str">
        <f t="shared" si="70"/>
        <v>Normal</v>
      </c>
      <c r="X341" t="str">
        <f t="shared" si="71"/>
        <v>Allowed</v>
      </c>
    </row>
    <row r="342" spans="1:24" x14ac:dyDescent="0.3">
      <c r="A342" t="s">
        <v>23</v>
      </c>
      <c r="B342" t="s">
        <v>28</v>
      </c>
      <c r="C342" t="s">
        <v>25</v>
      </c>
      <c r="D342" s="3">
        <v>45777</v>
      </c>
      <c r="E342" s="6">
        <v>0.64710000000000001</v>
      </c>
      <c r="F342">
        <v>0</v>
      </c>
      <c r="G342" t="s">
        <v>17</v>
      </c>
      <c r="H342" s="6">
        <v>0.65</v>
      </c>
      <c r="I342" s="8">
        <v>2.697984446913191E-2</v>
      </c>
      <c r="J342" s="5">
        <f t="shared" si="60"/>
        <v>1.2057533289701232E-2</v>
      </c>
      <c r="K342" s="5" cm="1">
        <f t="array" ref="K342">_xlfn.STDEV.S(IF($C:$C=C342,$I:$I))</f>
        <v>0.17981498891186962</v>
      </c>
      <c r="L342" s="7">
        <f t="shared" si="63"/>
        <v>8.2987026107953415E-2</v>
      </c>
      <c r="M342">
        <f t="shared" si="61"/>
        <v>0</v>
      </c>
      <c r="N342" s="9">
        <f t="shared" si="64"/>
        <v>4.461538461538482E-3</v>
      </c>
      <c r="O342">
        <f>COUNTIFS($B$2:B342,B342,$C$2:C342,C342,$D$2:D342,"&lt;"&amp;D342,$F$2:F342,1)</f>
        <v>3</v>
      </c>
      <c r="P342">
        <f t="shared" si="62"/>
        <v>1</v>
      </c>
      <c r="Q342" t="str">
        <f t="shared" si="65"/>
        <v>Monitor</v>
      </c>
      <c r="R342">
        <v>1</v>
      </c>
      <c r="S342">
        <f t="shared" si="66"/>
        <v>0</v>
      </c>
      <c r="T342">
        <f t="shared" si="67"/>
        <v>0</v>
      </c>
      <c r="U342" t="str">
        <f t="shared" si="68"/>
        <v>Improved Enough</v>
      </c>
      <c r="V342" t="str">
        <f t="shared" si="69"/>
        <v>Close</v>
      </c>
      <c r="W342" t="str">
        <f t="shared" si="70"/>
        <v>Normal</v>
      </c>
      <c r="X342" t="str">
        <f t="shared" si="71"/>
        <v>Allowed</v>
      </c>
    </row>
    <row r="343" spans="1:24" x14ac:dyDescent="0.3">
      <c r="A343" t="s">
        <v>23</v>
      </c>
      <c r="B343" t="s">
        <v>28</v>
      </c>
      <c r="C343" t="s">
        <v>25</v>
      </c>
      <c r="D343" s="3">
        <v>45808</v>
      </c>
      <c r="E343" s="6">
        <v>0.6875</v>
      </c>
      <c r="F343">
        <v>0</v>
      </c>
      <c r="G343" t="s">
        <v>17</v>
      </c>
      <c r="H343" s="6">
        <v>0.65</v>
      </c>
      <c r="I343" s="8">
        <v>6.2432390666048512E-2</v>
      </c>
      <c r="J343" s="5">
        <f t="shared" si="60"/>
        <v>1.2057533289701232E-2</v>
      </c>
      <c r="K343" s="5" cm="1">
        <f t="array" ref="K343">_xlfn.STDEV.S(IF($C:$C=C343,$I:$I))</f>
        <v>0.17981498891186962</v>
      </c>
      <c r="L343" s="7">
        <f t="shared" si="63"/>
        <v>0.280148266177281</v>
      </c>
      <c r="M343">
        <f t="shared" si="61"/>
        <v>0</v>
      </c>
      <c r="N343" s="9">
        <f t="shared" si="64"/>
        <v>-5.7692307692307654E-2</v>
      </c>
      <c r="O343">
        <f>COUNTIFS($B$2:B343,B343,$C$2:C343,C343,$D$2:D343,"&lt;"&amp;D343,$F$2:F343,1)</f>
        <v>3</v>
      </c>
      <c r="P343">
        <f t="shared" si="62"/>
        <v>0</v>
      </c>
      <c r="Q343" t="str">
        <f t="shared" si="65"/>
        <v>Monitor</v>
      </c>
      <c r="R343">
        <v>0</v>
      </c>
      <c r="S343">
        <f t="shared" si="66"/>
        <v>0</v>
      </c>
      <c r="T343">
        <f t="shared" si="67"/>
        <v>0</v>
      </c>
      <c r="U343" t="str">
        <f t="shared" si="68"/>
        <v>Improved Enough</v>
      </c>
      <c r="V343" t="str">
        <f t="shared" si="69"/>
        <v>Close</v>
      </c>
      <c r="W343" t="str">
        <f t="shared" si="70"/>
        <v>Normal</v>
      </c>
      <c r="X343" t="str">
        <f t="shared" si="71"/>
        <v>Allowed</v>
      </c>
    </row>
    <row r="344" spans="1:24" x14ac:dyDescent="0.3">
      <c r="A344" t="s">
        <v>23</v>
      </c>
      <c r="B344" t="s">
        <v>28</v>
      </c>
      <c r="C344" t="s">
        <v>25</v>
      </c>
      <c r="D344" s="3">
        <v>45838</v>
      </c>
      <c r="E344" s="6">
        <v>0.62419999999999998</v>
      </c>
      <c r="F344">
        <v>0</v>
      </c>
      <c r="G344" t="s">
        <v>17</v>
      </c>
      <c r="H344" s="6">
        <v>0.65</v>
      </c>
      <c r="I344" s="8">
        <v>-9.2072727272727306E-2</v>
      </c>
      <c r="J344" s="5">
        <f t="shared" si="60"/>
        <v>1.2057533289701232E-2</v>
      </c>
      <c r="K344" s="5" cm="1">
        <f t="array" ref="K344">_xlfn.STDEV.S(IF($C:$C=C344,$I:$I))</f>
        <v>0.17981498891186962</v>
      </c>
      <c r="L344" s="7">
        <f t="shared" si="63"/>
        <v>-0.57909666592624576</v>
      </c>
      <c r="M344">
        <f t="shared" si="61"/>
        <v>1</v>
      </c>
      <c r="N344" s="9">
        <f t="shared" si="64"/>
        <v>3.9692307692307763E-2</v>
      </c>
      <c r="O344">
        <f>COUNTIFS($B$2:B344,B344,$C$2:C344,C344,$D$2:D344,"&lt;"&amp;D344,$F$2:F344,1)</f>
        <v>3</v>
      </c>
      <c r="P344">
        <f t="shared" si="62"/>
        <v>0</v>
      </c>
      <c r="Q344" t="str">
        <f t="shared" si="65"/>
        <v>Intervene</v>
      </c>
      <c r="R344">
        <v>0</v>
      </c>
      <c r="S344">
        <f t="shared" si="66"/>
        <v>1</v>
      </c>
      <c r="T344">
        <f t="shared" si="67"/>
        <v>1</v>
      </c>
      <c r="U344" t="str">
        <f t="shared" si="68"/>
        <v>Not Improved Enough</v>
      </c>
      <c r="V344" t="str">
        <f t="shared" si="69"/>
        <v>Far</v>
      </c>
      <c r="W344" t="str">
        <f t="shared" si="70"/>
        <v>Abnormal</v>
      </c>
      <c r="X344" t="str">
        <f t="shared" si="71"/>
        <v>Allowed</v>
      </c>
    </row>
    <row r="345" spans="1:24" x14ac:dyDescent="0.3">
      <c r="A345" t="s">
        <v>23</v>
      </c>
      <c r="B345" t="s">
        <v>28</v>
      </c>
      <c r="C345" t="s">
        <v>25</v>
      </c>
      <c r="D345" s="3">
        <v>45869</v>
      </c>
      <c r="E345" s="6">
        <v>0.67</v>
      </c>
      <c r="F345">
        <v>0</v>
      </c>
      <c r="G345" t="s">
        <v>17</v>
      </c>
      <c r="H345" s="6">
        <v>0.65</v>
      </c>
      <c r="I345" s="8">
        <v>7.3373918615828357E-2</v>
      </c>
      <c r="J345" s="5">
        <f t="shared" si="60"/>
        <v>1.2057533289701232E-2</v>
      </c>
      <c r="K345" s="5" cm="1">
        <f t="array" ref="K345">_xlfn.STDEV.S(IF($C:$C=C345,$I:$I))</f>
        <v>0.17981498891186962</v>
      </c>
      <c r="L345" s="7">
        <f t="shared" si="63"/>
        <v>0.34099707536716711</v>
      </c>
      <c r="M345">
        <f t="shared" si="61"/>
        <v>0</v>
      </c>
      <c r="N345" s="9">
        <f t="shared" si="64"/>
        <v>-3.0769230769230795E-2</v>
      </c>
      <c r="O345">
        <f>COUNTIFS($B$2:B345,B345,$C$2:C345,C345,$D$2:D345,"&lt;"&amp;D345,$F$2:F345,1)</f>
        <v>3</v>
      </c>
      <c r="P345">
        <f t="shared" si="62"/>
        <v>0</v>
      </c>
      <c r="Q345" t="str">
        <f t="shared" si="65"/>
        <v>Monitor</v>
      </c>
      <c r="R345">
        <v>0</v>
      </c>
      <c r="S345">
        <f t="shared" si="66"/>
        <v>0</v>
      </c>
      <c r="T345">
        <f t="shared" si="67"/>
        <v>0</v>
      </c>
      <c r="U345" t="str">
        <f t="shared" si="68"/>
        <v>Improved Enough</v>
      </c>
      <c r="V345" t="str">
        <f t="shared" si="69"/>
        <v>Close</v>
      </c>
      <c r="W345" t="str">
        <f t="shared" si="70"/>
        <v>Normal</v>
      </c>
      <c r="X345" t="str">
        <f t="shared" si="71"/>
        <v>Allowed</v>
      </c>
    </row>
    <row r="346" spans="1:24" x14ac:dyDescent="0.3">
      <c r="A346" t="s">
        <v>23</v>
      </c>
      <c r="B346" t="s">
        <v>28</v>
      </c>
      <c r="C346" t="s">
        <v>25</v>
      </c>
      <c r="D346" s="3">
        <v>45900</v>
      </c>
      <c r="E346" s="6">
        <v>0.72199999999999998</v>
      </c>
      <c r="F346">
        <v>0</v>
      </c>
      <c r="G346" t="s">
        <v>17</v>
      </c>
      <c r="H346" s="6">
        <v>0.65</v>
      </c>
      <c r="I346" s="8">
        <v>7.7611940298507362E-2</v>
      </c>
      <c r="J346" s="5">
        <f t="shared" si="60"/>
        <v>1.2057533289701232E-2</v>
      </c>
      <c r="K346" s="5" cm="1">
        <f t="array" ref="K346">_xlfn.STDEV.S(IF($C:$C=C346,$I:$I))</f>
        <v>0.17981498891186962</v>
      </c>
      <c r="L346" s="7">
        <f t="shared" si="63"/>
        <v>0.36456586520123446</v>
      </c>
      <c r="M346">
        <f t="shared" si="61"/>
        <v>0</v>
      </c>
      <c r="N346" s="9">
        <f t="shared" si="64"/>
        <v>-0.11076923076923069</v>
      </c>
      <c r="O346">
        <f>COUNTIFS($B$2:B346,B346,$C$2:C346,C346,$D$2:D346,"&lt;"&amp;D346,$F$2:F346,1)</f>
        <v>3</v>
      </c>
      <c r="P346">
        <f t="shared" si="62"/>
        <v>0</v>
      </c>
      <c r="Q346" t="str">
        <f t="shared" si="65"/>
        <v>Monitor</v>
      </c>
      <c r="R346">
        <v>0</v>
      </c>
      <c r="S346">
        <f t="shared" si="66"/>
        <v>0</v>
      </c>
      <c r="T346">
        <f t="shared" si="67"/>
        <v>0</v>
      </c>
      <c r="U346" t="str">
        <f t="shared" si="68"/>
        <v>Improved Enough</v>
      </c>
      <c r="V346" t="str">
        <f t="shared" si="69"/>
        <v>Close</v>
      </c>
      <c r="W346" t="str">
        <f t="shared" si="70"/>
        <v>Normal</v>
      </c>
      <c r="X346" t="str">
        <f t="shared" si="71"/>
        <v>Allowed</v>
      </c>
    </row>
    <row r="347" spans="1:24" x14ac:dyDescent="0.3">
      <c r="A347" t="s">
        <v>23</v>
      </c>
      <c r="B347" t="s">
        <v>28</v>
      </c>
      <c r="C347" t="s">
        <v>25</v>
      </c>
      <c r="D347" s="3">
        <v>45930</v>
      </c>
      <c r="E347" s="6">
        <v>0.66800000000000004</v>
      </c>
      <c r="F347">
        <v>0</v>
      </c>
      <c r="G347" t="s">
        <v>17</v>
      </c>
      <c r="H347" s="6">
        <v>0.65</v>
      </c>
      <c r="I347" s="8">
        <v>-7.479224376731293E-2</v>
      </c>
      <c r="J347" s="5">
        <f t="shared" si="60"/>
        <v>1.2057533289701232E-2</v>
      </c>
      <c r="K347" s="5" cm="1">
        <f t="array" ref="K347">_xlfn.STDEV.S(IF($C:$C=C347,$I:$I))</f>
        <v>0.17981498891186962</v>
      </c>
      <c r="L347" s="7">
        <f t="shared" si="63"/>
        <v>-0.48299520291704223</v>
      </c>
      <c r="M347">
        <f t="shared" si="61"/>
        <v>0</v>
      </c>
      <c r="N347" s="9">
        <f t="shared" si="64"/>
        <v>-2.7692307692307717E-2</v>
      </c>
      <c r="O347">
        <f>COUNTIFS($B$2:B347,B347,$C$2:C347,C347,$D$2:D347,"&lt;"&amp;D347,$F$2:F347,1)</f>
        <v>3</v>
      </c>
      <c r="P347">
        <f t="shared" si="62"/>
        <v>0</v>
      </c>
      <c r="Q347" t="str">
        <f t="shared" si="65"/>
        <v>Monitor</v>
      </c>
      <c r="R347">
        <v>0</v>
      </c>
      <c r="S347">
        <f t="shared" si="66"/>
        <v>0</v>
      </c>
      <c r="T347">
        <f t="shared" si="67"/>
        <v>0</v>
      </c>
      <c r="U347" t="str">
        <f t="shared" si="68"/>
        <v>Not Improved Enough</v>
      </c>
      <c r="V347" t="str">
        <f t="shared" si="69"/>
        <v>Close</v>
      </c>
      <c r="W347" t="str">
        <f t="shared" si="70"/>
        <v>Normal</v>
      </c>
      <c r="X347" t="str">
        <f t="shared" si="71"/>
        <v>Allowed</v>
      </c>
    </row>
    <row r="348" spans="1:24" x14ac:dyDescent="0.3">
      <c r="A348" t="s">
        <v>23</v>
      </c>
      <c r="B348" t="s">
        <v>28</v>
      </c>
      <c r="C348" t="s">
        <v>25</v>
      </c>
      <c r="D348" s="3">
        <v>45961</v>
      </c>
      <c r="E348" s="6">
        <v>0.70299999999999996</v>
      </c>
      <c r="F348">
        <v>0</v>
      </c>
      <c r="G348" t="s">
        <v>17</v>
      </c>
      <c r="H348" s="6">
        <v>0.65</v>
      </c>
      <c r="I348" s="8">
        <v>5.2395209580838202E-2</v>
      </c>
      <c r="J348" s="5">
        <f t="shared" si="60"/>
        <v>1.2057533289701232E-2</v>
      </c>
      <c r="K348" s="5" cm="1">
        <f t="array" ref="K348">_xlfn.STDEV.S(IF($C:$C=C348,$I:$I))</f>
        <v>0.17981498891186962</v>
      </c>
      <c r="L348" s="7">
        <f t="shared" si="63"/>
        <v>0.22432877556668623</v>
      </c>
      <c r="M348">
        <f t="shared" si="61"/>
        <v>0</v>
      </c>
      <c r="N348" s="9">
        <f t="shared" si="64"/>
        <v>-8.1538461538461435E-2</v>
      </c>
      <c r="O348">
        <f>COUNTIFS($B$2:B348,B348,$C$2:C348,C348,$D$2:D348,"&lt;"&amp;D348,$F$2:F348,1)</f>
        <v>3</v>
      </c>
      <c r="P348">
        <f t="shared" si="62"/>
        <v>0</v>
      </c>
      <c r="Q348" t="str">
        <f t="shared" si="65"/>
        <v>Monitor</v>
      </c>
      <c r="R348">
        <v>0</v>
      </c>
      <c r="S348">
        <f t="shared" si="66"/>
        <v>0</v>
      </c>
      <c r="T348">
        <f t="shared" si="67"/>
        <v>0</v>
      </c>
      <c r="U348" t="str">
        <f t="shared" si="68"/>
        <v>Improved Enough</v>
      </c>
      <c r="V348" t="str">
        <f t="shared" si="69"/>
        <v>Close</v>
      </c>
      <c r="W348" t="str">
        <f t="shared" si="70"/>
        <v>Normal</v>
      </c>
      <c r="X348" t="str">
        <f t="shared" si="71"/>
        <v>Allowed</v>
      </c>
    </row>
    <row r="349" spans="1:24" x14ac:dyDescent="0.3">
      <c r="A349" t="s">
        <v>23</v>
      </c>
      <c r="B349" t="s">
        <v>28</v>
      </c>
      <c r="C349" t="s">
        <v>25</v>
      </c>
      <c r="D349" s="3">
        <v>45991</v>
      </c>
      <c r="E349" s="6">
        <v>0.70499999999999996</v>
      </c>
      <c r="F349">
        <v>0</v>
      </c>
      <c r="G349" t="s">
        <v>17</v>
      </c>
      <c r="H349" s="6">
        <v>0.65</v>
      </c>
      <c r="I349" s="8">
        <v>2.8449502133712692E-3</v>
      </c>
      <c r="J349" s="5">
        <f t="shared" si="60"/>
        <v>1.2057533289701232E-2</v>
      </c>
      <c r="K349" s="5" cm="1">
        <f t="array" ref="K349">_xlfn.STDEV.S(IF($C:$C=C349,$I:$I))</f>
        <v>0.17981498891186962</v>
      </c>
      <c r="L349" s="7">
        <f t="shared" si="63"/>
        <v>-5.1233677081531877E-2</v>
      </c>
      <c r="M349">
        <f t="shared" si="61"/>
        <v>0</v>
      </c>
      <c r="N349" s="9">
        <f t="shared" si="64"/>
        <v>-8.4615384615384523E-2</v>
      </c>
      <c r="O349">
        <f>COUNTIFS($B$2:B349,B349,$C$2:C349,C349,$D$2:D349,"&lt;"&amp;D349,$F$2:F349,1)</f>
        <v>3</v>
      </c>
      <c r="P349">
        <f t="shared" si="62"/>
        <v>0</v>
      </c>
      <c r="Q349" t="str">
        <f t="shared" si="65"/>
        <v>Monitor</v>
      </c>
      <c r="R349">
        <v>0</v>
      </c>
      <c r="S349">
        <f t="shared" si="66"/>
        <v>0</v>
      </c>
      <c r="T349">
        <f t="shared" si="67"/>
        <v>0</v>
      </c>
      <c r="U349" t="str">
        <f t="shared" si="68"/>
        <v>Not Improved Enough</v>
      </c>
      <c r="V349" t="str">
        <f t="shared" si="69"/>
        <v>Close</v>
      </c>
      <c r="W349" t="str">
        <f t="shared" si="70"/>
        <v>Normal</v>
      </c>
      <c r="X349" t="str">
        <f t="shared" si="71"/>
        <v>Allowed</v>
      </c>
    </row>
    <row r="350" spans="1:24" x14ac:dyDescent="0.3">
      <c r="A350" t="s">
        <v>23</v>
      </c>
      <c r="B350" t="s">
        <v>28</v>
      </c>
      <c r="C350" t="s">
        <v>26</v>
      </c>
      <c r="D350" s="3">
        <v>45535</v>
      </c>
      <c r="E350" s="6">
        <v>0.80510000000000004</v>
      </c>
      <c r="F350">
        <v>0</v>
      </c>
      <c r="G350" t="s">
        <v>17</v>
      </c>
      <c r="H350" s="6">
        <v>0.85</v>
      </c>
      <c r="I350" s="8">
        <v>5.1456183884027673E-2</v>
      </c>
      <c r="J350" s="5">
        <f t="shared" si="60"/>
        <v>1.8209321594669165E-2</v>
      </c>
      <c r="K350" s="5" cm="1">
        <f t="array" ref="K350">_xlfn.STDEV.S(IF($C:$C=C350,$I:$I))</f>
        <v>0.22834931756330515</v>
      </c>
      <c r="L350" s="7">
        <f t="shared" si="63"/>
        <v>0.14559650383076578</v>
      </c>
      <c r="M350">
        <f t="shared" si="61"/>
        <v>0</v>
      </c>
      <c r="N350" s="9">
        <f t="shared" si="64"/>
        <v>5.2823529411764637E-2</v>
      </c>
      <c r="O350">
        <f>COUNTIFS($B$2:B350,B350,$C$2:C350,C350,$D$2:D350,"&lt;"&amp;D350,$F$2:F350,1)</f>
        <v>0</v>
      </c>
      <c r="P350">
        <f t="shared" si="62"/>
        <v>1</v>
      </c>
      <c r="Q350" t="str">
        <f t="shared" si="65"/>
        <v>Monitor</v>
      </c>
      <c r="R350">
        <v>1</v>
      </c>
      <c r="S350">
        <f t="shared" si="66"/>
        <v>0</v>
      </c>
      <c r="T350">
        <f t="shared" si="67"/>
        <v>0</v>
      </c>
      <c r="U350" t="str">
        <f t="shared" si="68"/>
        <v>Improved Enough</v>
      </c>
      <c r="V350" t="str">
        <f t="shared" si="69"/>
        <v>Far</v>
      </c>
      <c r="W350" t="str">
        <f t="shared" si="70"/>
        <v>Normal</v>
      </c>
      <c r="X350" t="str">
        <f t="shared" si="71"/>
        <v>Allowed</v>
      </c>
    </row>
    <row r="351" spans="1:24" x14ac:dyDescent="0.3">
      <c r="A351" t="s">
        <v>23</v>
      </c>
      <c r="B351" t="s">
        <v>28</v>
      </c>
      <c r="C351" t="s">
        <v>26</v>
      </c>
      <c r="D351" s="3">
        <v>45565</v>
      </c>
      <c r="E351" s="6">
        <v>0.79779999999999995</v>
      </c>
      <c r="F351">
        <v>1</v>
      </c>
      <c r="G351" t="s">
        <v>17</v>
      </c>
      <c r="H351" s="6">
        <v>0.85</v>
      </c>
      <c r="I351" s="8">
        <v>-9.0671966215378017E-3</v>
      </c>
      <c r="J351" s="5">
        <f t="shared" si="60"/>
        <v>1.8209321594669165E-2</v>
      </c>
      <c r="K351" s="5" cm="1">
        <f t="array" ref="K351">_xlfn.STDEV.S(IF($C:$C=C351,$I:$I))</f>
        <v>0.22834931756330515</v>
      </c>
      <c r="L351" s="7">
        <f t="shared" si="63"/>
        <v>-0.11945084183860158</v>
      </c>
      <c r="M351">
        <f t="shared" si="61"/>
        <v>0</v>
      </c>
      <c r="N351" s="9">
        <f t="shared" si="64"/>
        <v>6.1411764705882381E-2</v>
      </c>
      <c r="O351">
        <f>COUNTIFS($B$2:B351,B351,$C$2:C351,C351,$D$2:D351,"&lt;"&amp;D351,$F$2:F351,1)</f>
        <v>0</v>
      </c>
      <c r="P351">
        <f t="shared" si="62"/>
        <v>0</v>
      </c>
      <c r="Q351" t="str">
        <f t="shared" si="65"/>
        <v>Monitor</v>
      </c>
      <c r="R351">
        <v>0</v>
      </c>
      <c r="S351">
        <f t="shared" si="66"/>
        <v>0</v>
      </c>
      <c r="T351">
        <f t="shared" si="67"/>
        <v>0</v>
      </c>
      <c r="U351" t="str">
        <f t="shared" si="68"/>
        <v>Not Improved Enough</v>
      </c>
      <c r="V351" t="str">
        <f t="shared" si="69"/>
        <v>Far</v>
      </c>
      <c r="W351" t="str">
        <f t="shared" si="70"/>
        <v>Normal</v>
      </c>
      <c r="X351" t="str">
        <f t="shared" si="71"/>
        <v>Allowed</v>
      </c>
    </row>
    <row r="352" spans="1:24" x14ac:dyDescent="0.3">
      <c r="A352" t="s">
        <v>23</v>
      </c>
      <c r="B352" t="s">
        <v>28</v>
      </c>
      <c r="C352" t="s">
        <v>26</v>
      </c>
      <c r="D352" s="3">
        <v>45596</v>
      </c>
      <c r="E352" s="6">
        <v>0.76649999999999996</v>
      </c>
      <c r="F352">
        <v>1</v>
      </c>
      <c r="G352" t="s">
        <v>17</v>
      </c>
      <c r="H352" s="6">
        <v>0.85</v>
      </c>
      <c r="I352" s="8">
        <v>-3.9232890448734008E-2</v>
      </c>
      <c r="J352" s="5">
        <f t="shared" si="60"/>
        <v>1.8209321594669165E-2</v>
      </c>
      <c r="K352" s="5" cm="1">
        <f t="array" ref="K352">_xlfn.STDEV.S(IF($C:$C=C352,$I:$I))</f>
        <v>0.22834931756330515</v>
      </c>
      <c r="L352" s="7">
        <f t="shared" si="63"/>
        <v>-0.25155412180059833</v>
      </c>
      <c r="M352">
        <f t="shared" si="61"/>
        <v>0</v>
      </c>
      <c r="N352" s="9">
        <f t="shared" si="64"/>
        <v>9.8235294117647087E-2</v>
      </c>
      <c r="O352">
        <f>COUNTIFS($B$2:B352,B352,$C$2:C352,C352,$D$2:D352,"&lt;"&amp;D352,$F$2:F352,1)</f>
        <v>1</v>
      </c>
      <c r="P352">
        <f t="shared" si="62"/>
        <v>-1</v>
      </c>
      <c r="Q352" t="str">
        <f t="shared" si="65"/>
        <v>Monitor</v>
      </c>
      <c r="R352">
        <v>1</v>
      </c>
      <c r="S352">
        <f t="shared" si="66"/>
        <v>0</v>
      </c>
      <c r="T352">
        <f t="shared" si="67"/>
        <v>0</v>
      </c>
      <c r="U352" t="str">
        <f t="shared" si="68"/>
        <v>Not Improved Enough</v>
      </c>
      <c r="V352" t="str">
        <f t="shared" si="69"/>
        <v>Far</v>
      </c>
      <c r="W352" t="str">
        <f t="shared" si="70"/>
        <v>Normal</v>
      </c>
      <c r="X352" t="str">
        <f t="shared" si="71"/>
        <v>Allowed</v>
      </c>
    </row>
    <row r="353" spans="1:24" x14ac:dyDescent="0.3">
      <c r="A353" t="s">
        <v>23</v>
      </c>
      <c r="B353" t="s">
        <v>28</v>
      </c>
      <c r="C353" t="s">
        <v>26</v>
      </c>
      <c r="D353" s="3">
        <v>45626</v>
      </c>
      <c r="E353" s="6">
        <v>0.78879999999999995</v>
      </c>
      <c r="F353">
        <v>1</v>
      </c>
      <c r="G353" t="s">
        <v>17</v>
      </c>
      <c r="H353" s="6">
        <v>0.85</v>
      </c>
      <c r="I353" s="8">
        <v>2.9093281148075651E-2</v>
      </c>
      <c r="J353" s="5">
        <f t="shared" si="60"/>
        <v>1.8209321594669165E-2</v>
      </c>
      <c r="K353" s="5" cm="1">
        <f t="array" ref="K353">_xlfn.STDEV.S(IF($C:$C=C353,$I:$I))</f>
        <v>0.22834931756330515</v>
      </c>
      <c r="L353" s="7">
        <f t="shared" si="63"/>
        <v>4.7663639504370893E-2</v>
      </c>
      <c r="M353">
        <f t="shared" si="61"/>
        <v>0</v>
      </c>
      <c r="N353" s="9">
        <f t="shared" si="64"/>
        <v>7.2000000000000036E-2</v>
      </c>
      <c r="O353">
        <f>COUNTIFS($B$2:B353,B353,$C$2:C353,C353,$D$2:D353,"&lt;"&amp;D353,$F$2:F353,1)</f>
        <v>2</v>
      </c>
      <c r="P353">
        <f t="shared" si="62"/>
        <v>1</v>
      </c>
      <c r="Q353" t="str">
        <f t="shared" si="65"/>
        <v>Monitor</v>
      </c>
      <c r="R353">
        <v>1</v>
      </c>
      <c r="S353">
        <f t="shared" si="66"/>
        <v>0</v>
      </c>
      <c r="T353">
        <f t="shared" si="67"/>
        <v>0</v>
      </c>
      <c r="U353" t="str">
        <f t="shared" si="68"/>
        <v>Improved Enough</v>
      </c>
      <c r="V353" t="str">
        <f t="shared" si="69"/>
        <v>Far</v>
      </c>
      <c r="W353" t="str">
        <f t="shared" si="70"/>
        <v>Normal</v>
      </c>
      <c r="X353" t="str">
        <f t="shared" si="71"/>
        <v>Allowed</v>
      </c>
    </row>
    <row r="354" spans="1:24" x14ac:dyDescent="0.3">
      <c r="A354" t="s">
        <v>23</v>
      </c>
      <c r="B354" t="s">
        <v>28</v>
      </c>
      <c r="C354" t="s">
        <v>26</v>
      </c>
      <c r="D354" s="3">
        <v>45657</v>
      </c>
      <c r="E354" s="6">
        <v>0.75980000000000003</v>
      </c>
      <c r="F354">
        <v>1</v>
      </c>
      <c r="G354" t="s">
        <v>17</v>
      </c>
      <c r="H354" s="6">
        <v>0.85</v>
      </c>
      <c r="I354" s="8">
        <v>-3.6764705882352838E-2</v>
      </c>
      <c r="J354" s="5">
        <f t="shared" si="60"/>
        <v>1.8209321594669165E-2</v>
      </c>
      <c r="K354" s="5" cm="1">
        <f t="array" ref="K354">_xlfn.STDEV.S(IF($C:$C=C354,$I:$I))</f>
        <v>0.22834931756330515</v>
      </c>
      <c r="L354" s="7">
        <f t="shared" si="63"/>
        <v>-0.24074531101579308</v>
      </c>
      <c r="M354">
        <f t="shared" si="61"/>
        <v>0</v>
      </c>
      <c r="N354" s="9">
        <f t="shared" si="64"/>
        <v>0.10611764705882347</v>
      </c>
      <c r="O354">
        <f>COUNTIFS($B$2:B354,B354,$C$2:C354,C354,$D$2:D354,"&lt;"&amp;D354,$F$2:F354,1)</f>
        <v>3</v>
      </c>
      <c r="P354">
        <f t="shared" si="62"/>
        <v>-1</v>
      </c>
      <c r="Q354" t="str">
        <f t="shared" si="65"/>
        <v>Monitor</v>
      </c>
      <c r="R354">
        <v>1</v>
      </c>
      <c r="S354">
        <f t="shared" si="66"/>
        <v>0</v>
      </c>
      <c r="T354">
        <f t="shared" si="67"/>
        <v>0</v>
      </c>
      <c r="U354" t="str">
        <f t="shared" si="68"/>
        <v>Not Improved Enough</v>
      </c>
      <c r="V354" t="str">
        <f t="shared" si="69"/>
        <v>Far</v>
      </c>
      <c r="W354" t="str">
        <f t="shared" si="70"/>
        <v>Normal</v>
      </c>
      <c r="X354" t="str">
        <f t="shared" si="71"/>
        <v>Allowed</v>
      </c>
    </row>
    <row r="355" spans="1:24" x14ac:dyDescent="0.3">
      <c r="A355" t="s">
        <v>23</v>
      </c>
      <c r="B355" t="s">
        <v>28</v>
      </c>
      <c r="C355" t="s">
        <v>26</v>
      </c>
      <c r="D355" s="3">
        <v>45688</v>
      </c>
      <c r="E355" s="6">
        <v>0.79479999999999995</v>
      </c>
      <c r="F355">
        <v>1</v>
      </c>
      <c r="G355" t="s">
        <v>17</v>
      </c>
      <c r="H355" s="6">
        <v>0.85</v>
      </c>
      <c r="I355" s="8">
        <v>4.6064753882600583E-2</v>
      </c>
      <c r="J355" s="5">
        <f t="shared" si="60"/>
        <v>1.8209321594669165E-2</v>
      </c>
      <c r="K355" s="5" cm="1">
        <f t="array" ref="K355">_xlfn.STDEV.S(IF($C:$C=C355,$I:$I))</f>
        <v>0.22834931756330515</v>
      </c>
      <c r="L355" s="7">
        <f t="shared" si="63"/>
        <v>0.12198605445890624</v>
      </c>
      <c r="M355">
        <f t="shared" si="61"/>
        <v>0</v>
      </c>
      <c r="N355" s="9">
        <f t="shared" si="64"/>
        <v>6.4941176470588266E-2</v>
      </c>
      <c r="O355">
        <f>COUNTIFS($B$2:B355,B355,$C$2:C355,C355,$D$2:D355,"&lt;"&amp;D355,$F$2:F355,1)</f>
        <v>4</v>
      </c>
      <c r="P355">
        <f t="shared" si="62"/>
        <v>1</v>
      </c>
      <c r="Q355" t="str">
        <f t="shared" si="65"/>
        <v>Monitor</v>
      </c>
      <c r="R355">
        <v>1</v>
      </c>
      <c r="S355">
        <f t="shared" si="66"/>
        <v>0</v>
      </c>
      <c r="T355">
        <f t="shared" si="67"/>
        <v>0</v>
      </c>
      <c r="U355" t="str">
        <f t="shared" si="68"/>
        <v>Improved Enough</v>
      </c>
      <c r="V355" t="str">
        <f t="shared" si="69"/>
        <v>Far</v>
      </c>
      <c r="W355" t="str">
        <f t="shared" si="70"/>
        <v>Normal</v>
      </c>
      <c r="X355" t="str">
        <f t="shared" si="71"/>
        <v>Allowed</v>
      </c>
    </row>
    <row r="356" spans="1:24" x14ac:dyDescent="0.3">
      <c r="A356" t="s">
        <v>23</v>
      </c>
      <c r="B356" t="s">
        <v>28</v>
      </c>
      <c r="C356" t="s">
        <v>26</v>
      </c>
      <c r="D356" s="3">
        <v>45716</v>
      </c>
      <c r="E356" s="6">
        <v>0.79059999999999997</v>
      </c>
      <c r="F356">
        <v>1</v>
      </c>
      <c r="G356" t="s">
        <v>17</v>
      </c>
      <c r="H356" s="6">
        <v>0.85</v>
      </c>
      <c r="I356" s="8">
        <v>-5.2843482637141186E-3</v>
      </c>
      <c r="J356" s="5">
        <f t="shared" si="60"/>
        <v>1.8209321594669165E-2</v>
      </c>
      <c r="K356" s="5" cm="1">
        <f t="array" ref="K356">_xlfn.STDEV.S(IF($C:$C=C356,$I:$I))</f>
        <v>0.22834931756330515</v>
      </c>
      <c r="L356" s="7">
        <f t="shared" si="63"/>
        <v>-0.1028847824424531</v>
      </c>
      <c r="M356">
        <f t="shared" si="61"/>
        <v>0</v>
      </c>
      <c r="N356" s="9">
        <f t="shared" si="64"/>
        <v>6.9882352941176479E-2</v>
      </c>
      <c r="O356">
        <f>COUNTIFS($B$2:B356,B356,$C$2:C356,C356,$D$2:D356,"&lt;"&amp;D356,$F$2:F356,1)</f>
        <v>5</v>
      </c>
      <c r="P356">
        <f t="shared" si="62"/>
        <v>-1</v>
      </c>
      <c r="Q356" t="str">
        <f t="shared" si="65"/>
        <v>Monitor</v>
      </c>
      <c r="R356">
        <v>1</v>
      </c>
      <c r="S356">
        <f t="shared" si="66"/>
        <v>0</v>
      </c>
      <c r="T356">
        <f t="shared" si="67"/>
        <v>0</v>
      </c>
      <c r="U356" t="str">
        <f t="shared" si="68"/>
        <v>Not Improved Enough</v>
      </c>
      <c r="V356" t="str">
        <f t="shared" si="69"/>
        <v>Far</v>
      </c>
      <c r="W356" t="str">
        <f t="shared" si="70"/>
        <v>Normal</v>
      </c>
      <c r="X356" t="str">
        <f t="shared" si="71"/>
        <v>Maxed Out</v>
      </c>
    </row>
    <row r="357" spans="1:24" x14ac:dyDescent="0.3">
      <c r="A357" t="s">
        <v>23</v>
      </c>
      <c r="B357" t="s">
        <v>28</v>
      </c>
      <c r="C357" t="s">
        <v>26</v>
      </c>
      <c r="D357" s="3">
        <v>45747</v>
      </c>
      <c r="E357" s="6">
        <v>0.8206</v>
      </c>
      <c r="F357">
        <v>1</v>
      </c>
      <c r="G357" t="s">
        <v>17</v>
      </c>
      <c r="H357" s="6">
        <v>0.85</v>
      </c>
      <c r="I357" s="8">
        <v>3.7945863900834848E-2</v>
      </c>
      <c r="J357" s="5">
        <f t="shared" si="60"/>
        <v>1.8209321594669165E-2</v>
      </c>
      <c r="K357" s="5" cm="1">
        <f t="array" ref="K357">_xlfn.STDEV.S(IF($C:$C=C357,$I:$I))</f>
        <v>0.22834931756330515</v>
      </c>
      <c r="L357" s="7">
        <f t="shared" si="63"/>
        <v>8.6431361025172029E-2</v>
      </c>
      <c r="M357">
        <f t="shared" si="61"/>
        <v>0</v>
      </c>
      <c r="N357" s="9">
        <f t="shared" si="64"/>
        <v>3.4588235294117628E-2</v>
      </c>
      <c r="O357">
        <f>COUNTIFS($B$2:B357,B357,$C$2:C357,C357,$D$2:D357,"&lt;"&amp;D357,$F$2:F357,1)</f>
        <v>6</v>
      </c>
      <c r="P357">
        <f t="shared" si="62"/>
        <v>1</v>
      </c>
      <c r="Q357" t="str">
        <f t="shared" si="65"/>
        <v>Monitor</v>
      </c>
      <c r="R357">
        <v>1</v>
      </c>
      <c r="S357">
        <f t="shared" si="66"/>
        <v>0</v>
      </c>
      <c r="T357">
        <f t="shared" si="67"/>
        <v>0</v>
      </c>
      <c r="U357" t="str">
        <f t="shared" si="68"/>
        <v>Improved Enough</v>
      </c>
      <c r="V357" t="str">
        <f t="shared" si="69"/>
        <v>Far</v>
      </c>
      <c r="W357" t="str">
        <f t="shared" si="70"/>
        <v>Normal</v>
      </c>
      <c r="X357" t="str">
        <f t="shared" si="71"/>
        <v>Maxed Out</v>
      </c>
    </row>
    <row r="358" spans="1:24" x14ac:dyDescent="0.3">
      <c r="A358" t="s">
        <v>23</v>
      </c>
      <c r="B358" t="s">
        <v>28</v>
      </c>
      <c r="C358" t="s">
        <v>26</v>
      </c>
      <c r="D358" s="3">
        <v>45777</v>
      </c>
      <c r="E358" s="6">
        <v>0.79310000000000003</v>
      </c>
      <c r="F358">
        <v>1</v>
      </c>
      <c r="G358" t="s">
        <v>17</v>
      </c>
      <c r="H358" s="6">
        <v>0.85</v>
      </c>
      <c r="I358" s="8">
        <v>-3.3512064343163499E-2</v>
      </c>
      <c r="J358" s="5">
        <f t="shared" si="60"/>
        <v>1.8209321594669165E-2</v>
      </c>
      <c r="K358" s="5" cm="1">
        <f t="array" ref="K358">_xlfn.STDEV.S(IF($C:$C=C358,$I:$I))</f>
        <v>0.22834931756330515</v>
      </c>
      <c r="L358" s="7">
        <f t="shared" si="63"/>
        <v>-0.22650116273500129</v>
      </c>
      <c r="M358">
        <f t="shared" si="61"/>
        <v>0</v>
      </c>
      <c r="N358" s="9">
        <f t="shared" si="64"/>
        <v>6.6941176470588185E-2</v>
      </c>
      <c r="O358">
        <f>COUNTIFS($B$2:B358,B358,$C$2:C358,C358,$D$2:D358,"&lt;"&amp;D358,$F$2:F358,1)</f>
        <v>7</v>
      </c>
      <c r="P358">
        <f t="shared" si="62"/>
        <v>-1</v>
      </c>
      <c r="Q358" t="str">
        <f t="shared" si="65"/>
        <v>Monitor</v>
      </c>
      <c r="R358">
        <v>1</v>
      </c>
      <c r="S358">
        <f t="shared" si="66"/>
        <v>0</v>
      </c>
      <c r="T358">
        <f t="shared" si="67"/>
        <v>0</v>
      </c>
      <c r="U358" t="str">
        <f t="shared" si="68"/>
        <v>Not Improved Enough</v>
      </c>
      <c r="V358" t="str">
        <f t="shared" si="69"/>
        <v>Far</v>
      </c>
      <c r="W358" t="str">
        <f t="shared" si="70"/>
        <v>Normal</v>
      </c>
      <c r="X358" t="str">
        <f t="shared" si="71"/>
        <v>Maxed Out</v>
      </c>
    </row>
    <row r="359" spans="1:24" x14ac:dyDescent="0.3">
      <c r="A359" t="s">
        <v>23</v>
      </c>
      <c r="B359" t="s">
        <v>28</v>
      </c>
      <c r="C359" t="s">
        <v>26</v>
      </c>
      <c r="D359" s="3">
        <v>45808</v>
      </c>
      <c r="E359" s="6">
        <v>0.77929999999999999</v>
      </c>
      <c r="F359">
        <v>1</v>
      </c>
      <c r="G359" t="s">
        <v>17</v>
      </c>
      <c r="H359" s="6">
        <v>0.85</v>
      </c>
      <c r="I359" s="8">
        <v>-1.7400075652502879E-2</v>
      </c>
      <c r="J359" s="5">
        <f t="shared" si="60"/>
        <v>1.8209321594669165E-2</v>
      </c>
      <c r="K359" s="5" cm="1">
        <f t="array" ref="K359">_xlfn.STDEV.S(IF($C:$C=C359,$I:$I))</f>
        <v>0.22834931756330515</v>
      </c>
      <c r="L359" s="7">
        <f t="shared" si="63"/>
        <v>-0.15594264798842711</v>
      </c>
      <c r="M359">
        <f t="shared" si="61"/>
        <v>0</v>
      </c>
      <c r="N359" s="9">
        <f t="shared" si="64"/>
        <v>8.3176470588235282E-2</v>
      </c>
      <c r="O359">
        <f>COUNTIFS($B$2:B359,B359,$C$2:C359,C359,$D$2:D359,"&lt;"&amp;D359,$F$2:F359,1)</f>
        <v>8</v>
      </c>
      <c r="P359">
        <f t="shared" si="62"/>
        <v>-1</v>
      </c>
      <c r="Q359" t="str">
        <f t="shared" si="65"/>
        <v>Monitor</v>
      </c>
      <c r="R359">
        <v>1</v>
      </c>
      <c r="S359">
        <f t="shared" si="66"/>
        <v>0</v>
      </c>
      <c r="T359">
        <f t="shared" si="67"/>
        <v>0</v>
      </c>
      <c r="U359" t="str">
        <f t="shared" si="68"/>
        <v>Not Improved Enough</v>
      </c>
      <c r="V359" t="str">
        <f t="shared" si="69"/>
        <v>Far</v>
      </c>
      <c r="W359" t="str">
        <f t="shared" si="70"/>
        <v>Normal</v>
      </c>
      <c r="X359" t="str">
        <f t="shared" si="71"/>
        <v>Maxed Out</v>
      </c>
    </row>
    <row r="360" spans="1:24" x14ac:dyDescent="0.3">
      <c r="A360" t="s">
        <v>23</v>
      </c>
      <c r="B360" t="s">
        <v>28</v>
      </c>
      <c r="C360" t="s">
        <v>26</v>
      </c>
      <c r="D360" s="3">
        <v>45838</v>
      </c>
      <c r="E360" s="6">
        <v>0.78439999999999999</v>
      </c>
      <c r="F360">
        <v>1</v>
      </c>
      <c r="G360" t="s">
        <v>17</v>
      </c>
      <c r="H360" s="6">
        <v>0.85</v>
      </c>
      <c r="I360" s="8">
        <v>6.5443346593096283E-3</v>
      </c>
      <c r="J360" s="5">
        <f t="shared" si="60"/>
        <v>1.8209321594669165E-2</v>
      </c>
      <c r="K360" s="5" cm="1">
        <f t="array" ref="K360">_xlfn.STDEV.S(IF($C:$C=C360,$I:$I))</f>
        <v>0.22834931756330515</v>
      </c>
      <c r="L360" s="7">
        <f t="shared" si="63"/>
        <v>-5.1083957945815446E-2</v>
      </c>
      <c r="M360">
        <f t="shared" si="61"/>
        <v>0</v>
      </c>
      <c r="N360" s="9">
        <f t="shared" si="64"/>
        <v>7.7176470588235291E-2</v>
      </c>
      <c r="O360">
        <f>COUNTIFS($B$2:B360,B360,$C$2:C360,C360,$D$2:D360,"&lt;"&amp;D360,$F$2:F360,1)</f>
        <v>9</v>
      </c>
      <c r="P360">
        <f t="shared" si="62"/>
        <v>1</v>
      </c>
      <c r="Q360" t="str">
        <f t="shared" si="65"/>
        <v>Monitor</v>
      </c>
      <c r="R360">
        <v>1</v>
      </c>
      <c r="S360">
        <f t="shared" si="66"/>
        <v>0</v>
      </c>
      <c r="T360">
        <f t="shared" si="67"/>
        <v>0</v>
      </c>
      <c r="U360" t="str">
        <f t="shared" si="68"/>
        <v>Not Improved Enough</v>
      </c>
      <c r="V360" t="str">
        <f t="shared" si="69"/>
        <v>Far</v>
      </c>
      <c r="W360" t="str">
        <f t="shared" si="70"/>
        <v>Normal</v>
      </c>
      <c r="X360" t="str">
        <f t="shared" si="71"/>
        <v>Maxed Out</v>
      </c>
    </row>
    <row r="361" spans="1:24" x14ac:dyDescent="0.3">
      <c r="A361" t="s">
        <v>23</v>
      </c>
      <c r="B361" t="s">
        <v>28</v>
      </c>
      <c r="C361" t="s">
        <v>26</v>
      </c>
      <c r="D361" s="3">
        <v>45869</v>
      </c>
      <c r="E361" s="6">
        <v>0.78700000000000003</v>
      </c>
      <c r="F361">
        <v>1</v>
      </c>
      <c r="G361" t="s">
        <v>17</v>
      </c>
      <c r="H361" s="6">
        <v>0.85</v>
      </c>
      <c r="I361" s="8">
        <v>3.3146353901071482E-3</v>
      </c>
      <c r="J361" s="5">
        <f t="shared" si="60"/>
        <v>1.8209321594669165E-2</v>
      </c>
      <c r="K361" s="5" cm="1">
        <f t="array" ref="K361">_xlfn.STDEV.S(IF($C:$C=C361,$I:$I))</f>
        <v>0.22834931756330515</v>
      </c>
      <c r="L361" s="7">
        <f t="shared" si="63"/>
        <v>-6.5227636165073155E-2</v>
      </c>
      <c r="M361">
        <f t="shared" si="61"/>
        <v>0</v>
      </c>
      <c r="N361" s="9">
        <f t="shared" si="64"/>
        <v>7.4117647058823469E-2</v>
      </c>
      <c r="O361">
        <f>COUNTIFS($B$2:B361,B361,$C$2:C361,C361,$D$2:D361,"&lt;"&amp;D361,$F$2:F361,1)</f>
        <v>10</v>
      </c>
      <c r="P361">
        <f t="shared" si="62"/>
        <v>1</v>
      </c>
      <c r="Q361" t="str">
        <f t="shared" si="65"/>
        <v>Monitor</v>
      </c>
      <c r="R361">
        <v>1</v>
      </c>
      <c r="S361">
        <f t="shared" si="66"/>
        <v>0</v>
      </c>
      <c r="T361">
        <f t="shared" si="67"/>
        <v>0</v>
      </c>
      <c r="U361" t="str">
        <f t="shared" si="68"/>
        <v>Not Improved Enough</v>
      </c>
      <c r="V361" t="str">
        <f t="shared" si="69"/>
        <v>Far</v>
      </c>
      <c r="W361" t="str">
        <f t="shared" si="70"/>
        <v>Normal</v>
      </c>
      <c r="X361" t="str">
        <f t="shared" si="71"/>
        <v>Maxed Out</v>
      </c>
    </row>
    <row r="362" spans="1:24" x14ac:dyDescent="0.3">
      <c r="A362" t="s">
        <v>23</v>
      </c>
      <c r="B362" t="s">
        <v>28</v>
      </c>
      <c r="C362" t="s">
        <v>26</v>
      </c>
      <c r="D362" s="3">
        <v>45900</v>
      </c>
      <c r="E362" s="6">
        <v>0.79300000000000004</v>
      </c>
      <c r="F362">
        <v>0</v>
      </c>
      <c r="G362" t="s">
        <v>17</v>
      </c>
      <c r="H362" s="6">
        <v>0.85</v>
      </c>
      <c r="I362" s="8">
        <v>7.6238881829733228E-3</v>
      </c>
      <c r="J362" s="5">
        <f t="shared" si="60"/>
        <v>1.8209321594669165E-2</v>
      </c>
      <c r="K362" s="5" cm="1">
        <f t="array" ref="K362">_xlfn.STDEV.S(IF($C:$C=C362,$I:$I))</f>
        <v>0.22834931756330515</v>
      </c>
      <c r="L362" s="7">
        <f t="shared" si="63"/>
        <v>-4.6356317262744827E-2</v>
      </c>
      <c r="M362">
        <f t="shared" si="61"/>
        <v>0</v>
      </c>
      <c r="N362" s="9">
        <f t="shared" si="64"/>
        <v>6.7058823529411699E-2</v>
      </c>
      <c r="O362">
        <f>COUNTIFS($B$2:B362,B362,$C$2:C362,C362,$D$2:D362,"&lt;"&amp;D362,$F$2:F362,1)</f>
        <v>11</v>
      </c>
      <c r="P362">
        <f t="shared" si="62"/>
        <v>1</v>
      </c>
      <c r="Q362" t="str">
        <f t="shared" si="65"/>
        <v>Monitor</v>
      </c>
      <c r="R362">
        <v>1</v>
      </c>
      <c r="S362">
        <f t="shared" si="66"/>
        <v>0</v>
      </c>
      <c r="T362">
        <f t="shared" si="67"/>
        <v>0</v>
      </c>
      <c r="U362" t="str">
        <f t="shared" si="68"/>
        <v>Not Improved Enough</v>
      </c>
      <c r="V362" t="str">
        <f t="shared" si="69"/>
        <v>Far</v>
      </c>
      <c r="W362" t="str">
        <f t="shared" si="70"/>
        <v>Normal</v>
      </c>
      <c r="X362" t="str">
        <f t="shared" si="71"/>
        <v>Maxed Out</v>
      </c>
    </row>
    <row r="363" spans="1:24" x14ac:dyDescent="0.3">
      <c r="A363" t="s">
        <v>23</v>
      </c>
      <c r="B363" t="s">
        <v>28</v>
      </c>
      <c r="C363" t="s">
        <v>26</v>
      </c>
      <c r="D363" s="3">
        <v>45930</v>
      </c>
      <c r="E363" s="6">
        <v>0.76100000000000001</v>
      </c>
      <c r="F363">
        <v>1</v>
      </c>
      <c r="G363" t="s">
        <v>17</v>
      </c>
      <c r="H363" s="6">
        <v>0.85</v>
      </c>
      <c r="I363" s="8">
        <v>-4.0353089533417437E-2</v>
      </c>
      <c r="J363" s="5">
        <f t="shared" si="60"/>
        <v>1.8209321594669165E-2</v>
      </c>
      <c r="K363" s="5" cm="1">
        <f t="array" ref="K363">_xlfn.STDEV.S(IF($C:$C=C363,$I:$I))</f>
        <v>0.22834931756330515</v>
      </c>
      <c r="L363" s="7">
        <f t="shared" si="63"/>
        <v>-0.25645975977945012</v>
      </c>
      <c r="M363">
        <f t="shared" si="61"/>
        <v>0</v>
      </c>
      <c r="N363" s="9">
        <f t="shared" si="64"/>
        <v>0.10470588235294113</v>
      </c>
      <c r="O363">
        <f>COUNTIFS($B$2:B363,B363,$C$2:C363,C363,$D$2:D363,"&lt;"&amp;D363,$F$2:F363,1)</f>
        <v>11</v>
      </c>
      <c r="P363">
        <f t="shared" si="62"/>
        <v>0</v>
      </c>
      <c r="Q363" t="str">
        <f t="shared" si="65"/>
        <v>Monitor</v>
      </c>
      <c r="R363">
        <v>0</v>
      </c>
      <c r="S363">
        <f t="shared" si="66"/>
        <v>0</v>
      </c>
      <c r="T363">
        <f t="shared" si="67"/>
        <v>0</v>
      </c>
      <c r="U363" t="str">
        <f t="shared" si="68"/>
        <v>Not Improved Enough</v>
      </c>
      <c r="V363" t="str">
        <f t="shared" si="69"/>
        <v>Far</v>
      </c>
      <c r="W363" t="str">
        <f t="shared" si="70"/>
        <v>Normal</v>
      </c>
      <c r="X363" t="str">
        <f t="shared" si="71"/>
        <v>Maxed Out</v>
      </c>
    </row>
    <row r="364" spans="1:24" x14ac:dyDescent="0.3">
      <c r="A364" t="s">
        <v>23</v>
      </c>
      <c r="B364" t="s">
        <v>28</v>
      </c>
      <c r="C364" t="s">
        <v>26</v>
      </c>
      <c r="D364" s="3">
        <v>45961</v>
      </c>
      <c r="E364" s="6">
        <v>0.80400000000000005</v>
      </c>
      <c r="F364">
        <v>1</v>
      </c>
      <c r="G364" t="s">
        <v>17</v>
      </c>
      <c r="H364" s="6">
        <v>0.85</v>
      </c>
      <c r="I364" s="8">
        <v>5.6504599211563783E-2</v>
      </c>
      <c r="J364" s="5">
        <f t="shared" si="60"/>
        <v>1.8209321594669165E-2</v>
      </c>
      <c r="K364" s="5" cm="1">
        <f t="array" ref="K364">_xlfn.STDEV.S(IF($C:$C=C364,$I:$I))</f>
        <v>0.22834931756330515</v>
      </c>
      <c r="L364" s="7">
        <f t="shared" si="63"/>
        <v>0.16770480431270851</v>
      </c>
      <c r="M364">
        <f t="shared" si="61"/>
        <v>0</v>
      </c>
      <c r="N364" s="9">
        <f t="shared" si="64"/>
        <v>5.4117647058823451E-2</v>
      </c>
      <c r="O364">
        <f>COUNTIFS($B$2:B364,B364,$C$2:C364,C364,$D$2:D364,"&lt;"&amp;D364,$F$2:F364,1)</f>
        <v>12</v>
      </c>
      <c r="P364">
        <f t="shared" si="62"/>
        <v>1</v>
      </c>
      <c r="Q364" t="str">
        <f t="shared" si="65"/>
        <v>Monitor</v>
      </c>
      <c r="R364">
        <v>1</v>
      </c>
      <c r="S364">
        <f t="shared" si="66"/>
        <v>0</v>
      </c>
      <c r="T364">
        <f t="shared" si="67"/>
        <v>0</v>
      </c>
      <c r="U364" t="str">
        <f t="shared" si="68"/>
        <v>Improved Enough</v>
      </c>
      <c r="V364" t="str">
        <f t="shared" si="69"/>
        <v>Far</v>
      </c>
      <c r="W364" t="str">
        <f t="shared" si="70"/>
        <v>Normal</v>
      </c>
      <c r="X364" t="str">
        <f t="shared" si="71"/>
        <v>Maxed Out</v>
      </c>
    </row>
    <row r="365" spans="1:24" x14ac:dyDescent="0.3">
      <c r="A365" t="s">
        <v>23</v>
      </c>
      <c r="B365" t="s">
        <v>28</v>
      </c>
      <c r="C365" t="s">
        <v>26</v>
      </c>
      <c r="D365" s="3">
        <v>45991</v>
      </c>
      <c r="E365" s="6">
        <v>0.79400000000000004</v>
      </c>
      <c r="F365">
        <v>1</v>
      </c>
      <c r="G365" t="s">
        <v>17</v>
      </c>
      <c r="H365" s="6">
        <v>0.85</v>
      </c>
      <c r="I365" s="8">
        <v>-1.2437810945273639E-2</v>
      </c>
      <c r="J365" s="5">
        <f t="shared" si="60"/>
        <v>1.8209321594669165E-2</v>
      </c>
      <c r="K365" s="5" cm="1">
        <f t="array" ref="K365">_xlfn.STDEV.S(IF($C:$C=C365,$I:$I))</f>
        <v>0.22834931756330515</v>
      </c>
      <c r="L365" s="7">
        <f t="shared" si="63"/>
        <v>-0.13421162308245796</v>
      </c>
      <c r="M365">
        <f t="shared" si="61"/>
        <v>0</v>
      </c>
      <c r="N365" s="9">
        <f t="shared" si="64"/>
        <v>6.5882352941176406E-2</v>
      </c>
      <c r="O365">
        <f>COUNTIFS($B$2:B365,B365,$C$2:C365,C365,$D$2:D365,"&lt;"&amp;D365,$F$2:F365,1)</f>
        <v>13</v>
      </c>
      <c r="P365">
        <f t="shared" si="62"/>
        <v>-1</v>
      </c>
      <c r="Q365" t="str">
        <f t="shared" si="65"/>
        <v>Monitor</v>
      </c>
      <c r="R365">
        <v>1</v>
      </c>
      <c r="S365">
        <f t="shared" si="66"/>
        <v>0</v>
      </c>
      <c r="T365">
        <f t="shared" si="67"/>
        <v>0</v>
      </c>
      <c r="U365" t="str">
        <f t="shared" si="68"/>
        <v>Not Improved Enough</v>
      </c>
      <c r="V365" t="str">
        <f t="shared" si="69"/>
        <v>Far</v>
      </c>
      <c r="W365" t="str">
        <f t="shared" si="70"/>
        <v>Normal</v>
      </c>
      <c r="X365" t="str">
        <f t="shared" si="71"/>
        <v>Maxed Out</v>
      </c>
    </row>
    <row r="366" spans="1:24" x14ac:dyDescent="0.3">
      <c r="A366" t="s">
        <v>23</v>
      </c>
      <c r="B366" t="s">
        <v>28</v>
      </c>
      <c r="C366" t="s">
        <v>27</v>
      </c>
      <c r="D366" s="3">
        <v>45535</v>
      </c>
      <c r="E366" s="6">
        <v>0.68389999999999995</v>
      </c>
      <c r="F366">
        <v>0</v>
      </c>
      <c r="G366" t="s">
        <v>17</v>
      </c>
      <c r="H366" s="6">
        <v>0.7</v>
      </c>
      <c r="I366" s="8">
        <v>0.1162069528317283</v>
      </c>
      <c r="J366" s="5">
        <f t="shared" si="60"/>
        <v>1.9288787744816144E-2</v>
      </c>
      <c r="K366" s="5" cm="1">
        <f t="array" ref="K366">_xlfn.STDEV.S(IF($C:$C=C366,$I:$I))</f>
        <v>0.27585788879837708</v>
      </c>
      <c r="L366" s="7">
        <f t="shared" si="63"/>
        <v>0.35133367223639228</v>
      </c>
      <c r="M366">
        <f t="shared" si="61"/>
        <v>0</v>
      </c>
      <c r="N366" s="9">
        <f t="shared" si="64"/>
        <v>2.3000000000000007E-2</v>
      </c>
      <c r="O366">
        <f>COUNTIFS($B$2:B366,B366,$C$2:C366,C366,$D$2:D366,"&lt;"&amp;D366,$F$2:F366,1)</f>
        <v>0</v>
      </c>
      <c r="P366">
        <f t="shared" si="62"/>
        <v>1</v>
      </c>
      <c r="Q366" t="str">
        <f t="shared" si="65"/>
        <v>Monitor</v>
      </c>
      <c r="R366">
        <v>1</v>
      </c>
      <c r="S366">
        <f t="shared" si="66"/>
        <v>0</v>
      </c>
      <c r="T366">
        <f t="shared" si="67"/>
        <v>0</v>
      </c>
      <c r="U366" t="str">
        <f t="shared" si="68"/>
        <v>Improved Enough</v>
      </c>
      <c r="V366" t="str">
        <f t="shared" si="69"/>
        <v>Far</v>
      </c>
      <c r="W366" t="str">
        <f t="shared" si="70"/>
        <v>Normal</v>
      </c>
      <c r="X366" t="str">
        <f t="shared" si="71"/>
        <v>Allowed</v>
      </c>
    </row>
    <row r="367" spans="1:24" x14ac:dyDescent="0.3">
      <c r="A367" t="s">
        <v>23</v>
      </c>
      <c r="B367" t="s">
        <v>28</v>
      </c>
      <c r="C367" t="s">
        <v>27</v>
      </c>
      <c r="D367" s="3">
        <v>45565</v>
      </c>
      <c r="E367" s="6">
        <v>0.69440000000000002</v>
      </c>
      <c r="F367">
        <v>0</v>
      </c>
      <c r="G367" t="s">
        <v>17</v>
      </c>
      <c r="H367" s="6">
        <v>0.7</v>
      </c>
      <c r="I367" s="8">
        <v>1.5353121801433049E-2</v>
      </c>
      <c r="J367" s="5">
        <f t="shared" si="60"/>
        <v>1.9288787744816144E-2</v>
      </c>
      <c r="K367" s="5" cm="1">
        <f t="array" ref="K367">_xlfn.STDEV.S(IF($C:$C=C367,$I:$I))</f>
        <v>0.27585788879837708</v>
      </c>
      <c r="L367" s="7">
        <f t="shared" si="63"/>
        <v>-1.4267005234204669E-2</v>
      </c>
      <c r="M367">
        <f t="shared" si="61"/>
        <v>0</v>
      </c>
      <c r="N367" s="9">
        <f t="shared" si="64"/>
        <v>7.9999999999999117E-3</v>
      </c>
      <c r="O367">
        <f>COUNTIFS($B$2:B367,B367,$C$2:C367,C367,$D$2:D367,"&lt;"&amp;D367,$F$2:F367,1)</f>
        <v>0</v>
      </c>
      <c r="P367">
        <f t="shared" si="62"/>
        <v>0</v>
      </c>
      <c r="Q367" t="str">
        <f t="shared" si="65"/>
        <v>Monitor</v>
      </c>
      <c r="R367">
        <v>0</v>
      </c>
      <c r="S367">
        <f t="shared" si="66"/>
        <v>0</v>
      </c>
      <c r="T367">
        <f t="shared" si="67"/>
        <v>0</v>
      </c>
      <c r="U367" t="str">
        <f t="shared" si="68"/>
        <v>Improved Enough</v>
      </c>
      <c r="V367" t="str">
        <f t="shared" si="69"/>
        <v>Close</v>
      </c>
      <c r="W367" t="str">
        <f t="shared" si="70"/>
        <v>Normal</v>
      </c>
      <c r="X367" t="str">
        <f t="shared" si="71"/>
        <v>Allowed</v>
      </c>
    </row>
    <row r="368" spans="1:24" x14ac:dyDescent="0.3">
      <c r="A368" t="s">
        <v>23</v>
      </c>
      <c r="B368" t="s">
        <v>28</v>
      </c>
      <c r="C368" t="s">
        <v>27</v>
      </c>
      <c r="D368" s="3">
        <v>45596</v>
      </c>
      <c r="E368" s="6">
        <v>0.65449999999999997</v>
      </c>
      <c r="F368">
        <v>1</v>
      </c>
      <c r="G368" t="s">
        <v>17</v>
      </c>
      <c r="H368" s="6">
        <v>0.7</v>
      </c>
      <c r="I368" s="8">
        <v>-5.7459677419354913E-2</v>
      </c>
      <c r="J368" s="5">
        <f t="shared" si="60"/>
        <v>1.9288787744816144E-2</v>
      </c>
      <c r="K368" s="5" cm="1">
        <f t="array" ref="K368">_xlfn.STDEV.S(IF($C:$C=C368,$I:$I))</f>
        <v>0.27585788879837708</v>
      </c>
      <c r="L368" s="7">
        <f t="shared" si="63"/>
        <v>-0.27821740207787227</v>
      </c>
      <c r="M368">
        <f t="shared" si="61"/>
        <v>0</v>
      </c>
      <c r="N368" s="9">
        <f t="shared" si="64"/>
        <v>6.4999999999999988E-2</v>
      </c>
      <c r="O368">
        <f>COUNTIFS($B$2:B368,B368,$C$2:C368,C368,$D$2:D368,"&lt;"&amp;D368,$F$2:F368,1)</f>
        <v>0</v>
      </c>
      <c r="P368">
        <f t="shared" si="62"/>
        <v>0</v>
      </c>
      <c r="Q368" t="str">
        <f t="shared" si="65"/>
        <v>Monitor</v>
      </c>
      <c r="R368">
        <v>0</v>
      </c>
      <c r="S368">
        <f t="shared" si="66"/>
        <v>0</v>
      </c>
      <c r="T368">
        <f t="shared" si="67"/>
        <v>0</v>
      </c>
      <c r="U368" t="str">
        <f t="shared" si="68"/>
        <v>Not Improved Enough</v>
      </c>
      <c r="V368" t="str">
        <f t="shared" si="69"/>
        <v>Far</v>
      </c>
      <c r="W368" t="str">
        <f t="shared" si="70"/>
        <v>Normal</v>
      </c>
      <c r="X368" t="str">
        <f t="shared" si="71"/>
        <v>Allowed</v>
      </c>
    </row>
    <row r="369" spans="1:24" x14ac:dyDescent="0.3">
      <c r="A369" t="s">
        <v>23</v>
      </c>
      <c r="B369" t="s">
        <v>28</v>
      </c>
      <c r="C369" t="s">
        <v>27</v>
      </c>
      <c r="D369" s="3">
        <v>45626</v>
      </c>
      <c r="E369" s="6">
        <v>0.6532</v>
      </c>
      <c r="F369">
        <v>1</v>
      </c>
      <c r="G369" t="s">
        <v>17</v>
      </c>
      <c r="H369" s="6">
        <v>0.7</v>
      </c>
      <c r="I369" s="8">
        <v>-1.986249045072525E-3</v>
      </c>
      <c r="J369" s="5">
        <f t="shared" si="60"/>
        <v>1.9288787744816144E-2</v>
      </c>
      <c r="K369" s="5" cm="1">
        <f t="array" ref="K369">_xlfn.STDEV.S(IF($C:$C=C369,$I:$I))</f>
        <v>0.27585788879837708</v>
      </c>
      <c r="L369" s="7">
        <f t="shared" si="63"/>
        <v>-7.7123177019013833E-2</v>
      </c>
      <c r="M369">
        <f t="shared" si="61"/>
        <v>0</v>
      </c>
      <c r="N369" s="9">
        <f t="shared" si="64"/>
        <v>6.6857142857142796E-2</v>
      </c>
      <c r="O369">
        <f>COUNTIFS($B$2:B369,B369,$C$2:C369,C369,$D$2:D369,"&lt;"&amp;D369,$F$2:F369,1)</f>
        <v>1</v>
      </c>
      <c r="P369">
        <f t="shared" si="62"/>
        <v>-1</v>
      </c>
      <c r="Q369" t="str">
        <f t="shared" si="65"/>
        <v>Monitor</v>
      </c>
      <c r="R369">
        <v>1</v>
      </c>
      <c r="S369">
        <f t="shared" si="66"/>
        <v>0</v>
      </c>
      <c r="T369">
        <f t="shared" si="67"/>
        <v>0</v>
      </c>
      <c r="U369" t="str">
        <f t="shared" si="68"/>
        <v>Not Improved Enough</v>
      </c>
      <c r="V369" t="str">
        <f t="shared" si="69"/>
        <v>Far</v>
      </c>
      <c r="W369" t="str">
        <f t="shared" si="70"/>
        <v>Normal</v>
      </c>
      <c r="X369" t="str">
        <f t="shared" si="71"/>
        <v>Allowed</v>
      </c>
    </row>
    <row r="370" spans="1:24" x14ac:dyDescent="0.3">
      <c r="A370" t="s">
        <v>23</v>
      </c>
      <c r="B370" t="s">
        <v>28</v>
      </c>
      <c r="C370" t="s">
        <v>27</v>
      </c>
      <c r="D370" s="3">
        <v>45657</v>
      </c>
      <c r="E370" s="6">
        <v>0.70479999999999998</v>
      </c>
      <c r="F370">
        <v>0</v>
      </c>
      <c r="G370" t="s">
        <v>17</v>
      </c>
      <c r="H370" s="6">
        <v>0.7</v>
      </c>
      <c r="I370" s="8">
        <v>7.8995713410900156E-2</v>
      </c>
      <c r="J370" s="5">
        <f t="shared" si="60"/>
        <v>1.9288787744816144E-2</v>
      </c>
      <c r="K370" s="5" cm="1">
        <f t="array" ref="K370">_xlfn.STDEV.S(IF($C:$C=C370,$I:$I))</f>
        <v>0.27585788879837708</v>
      </c>
      <c r="L370" s="7">
        <f t="shared" si="63"/>
        <v>0.21644088529120681</v>
      </c>
      <c r="M370">
        <f t="shared" si="61"/>
        <v>0</v>
      </c>
      <c r="N370" s="9">
        <f t="shared" si="64"/>
        <v>-6.8571428571428958E-3</v>
      </c>
      <c r="O370">
        <f>COUNTIFS($B$2:B370,B370,$C$2:C370,C370,$D$2:D370,"&lt;"&amp;D370,$F$2:F370,1)</f>
        <v>2</v>
      </c>
      <c r="P370">
        <f t="shared" si="62"/>
        <v>1</v>
      </c>
      <c r="Q370" t="str">
        <f t="shared" si="65"/>
        <v>Monitor</v>
      </c>
      <c r="R370">
        <v>1</v>
      </c>
      <c r="S370">
        <f t="shared" si="66"/>
        <v>0</v>
      </c>
      <c r="T370">
        <f t="shared" si="67"/>
        <v>0</v>
      </c>
      <c r="U370" t="str">
        <f t="shared" si="68"/>
        <v>Improved Enough</v>
      </c>
      <c r="V370" t="str">
        <f t="shared" si="69"/>
        <v>Close</v>
      </c>
      <c r="W370" t="str">
        <f t="shared" si="70"/>
        <v>Normal</v>
      </c>
      <c r="X370" t="str">
        <f t="shared" si="71"/>
        <v>Allowed</v>
      </c>
    </row>
    <row r="371" spans="1:24" x14ac:dyDescent="0.3">
      <c r="A371" t="s">
        <v>23</v>
      </c>
      <c r="B371" t="s">
        <v>28</v>
      </c>
      <c r="C371" t="s">
        <v>27</v>
      </c>
      <c r="D371" s="3">
        <v>45688</v>
      </c>
      <c r="E371" s="6">
        <v>0.67030000000000001</v>
      </c>
      <c r="F371">
        <v>0</v>
      </c>
      <c r="G371" t="s">
        <v>17</v>
      </c>
      <c r="H371" s="6">
        <v>0.7</v>
      </c>
      <c r="I371" s="8">
        <v>-4.8950056753688957E-2</v>
      </c>
      <c r="J371" s="5">
        <f t="shared" si="60"/>
        <v>1.9288787744816144E-2</v>
      </c>
      <c r="K371" s="5" cm="1">
        <f t="array" ref="K371">_xlfn.STDEV.S(IF($C:$C=C371,$I:$I))</f>
        <v>0.27585788879837708</v>
      </c>
      <c r="L371" s="7">
        <f t="shared" si="63"/>
        <v>-0.24736955972421176</v>
      </c>
      <c r="M371">
        <f t="shared" si="61"/>
        <v>0</v>
      </c>
      <c r="N371" s="9">
        <f t="shared" si="64"/>
        <v>4.2428571428571357E-2</v>
      </c>
      <c r="O371">
        <f>COUNTIFS($B$2:B371,B371,$C$2:C371,C371,$D$2:D371,"&lt;"&amp;D371,$F$2:F371,1)</f>
        <v>2</v>
      </c>
      <c r="P371">
        <f t="shared" si="62"/>
        <v>0</v>
      </c>
      <c r="Q371" t="str">
        <f t="shared" si="65"/>
        <v>Monitor</v>
      </c>
      <c r="R371">
        <v>0</v>
      </c>
      <c r="S371">
        <f t="shared" si="66"/>
        <v>0</v>
      </c>
      <c r="T371">
        <f t="shared" si="67"/>
        <v>0</v>
      </c>
      <c r="U371" t="str">
        <f t="shared" si="68"/>
        <v>Not Improved Enough</v>
      </c>
      <c r="V371" t="str">
        <f t="shared" si="69"/>
        <v>Far</v>
      </c>
      <c r="W371" t="str">
        <f t="shared" si="70"/>
        <v>Normal</v>
      </c>
      <c r="X371" t="str">
        <f t="shared" si="71"/>
        <v>Allowed</v>
      </c>
    </row>
    <row r="372" spans="1:24" x14ac:dyDescent="0.3">
      <c r="A372" t="s">
        <v>23</v>
      </c>
      <c r="B372" t="s">
        <v>28</v>
      </c>
      <c r="C372" t="s">
        <v>27</v>
      </c>
      <c r="D372" s="3">
        <v>45716</v>
      </c>
      <c r="E372" s="6">
        <v>0.64119999999999999</v>
      </c>
      <c r="F372">
        <v>1</v>
      </c>
      <c r="G372" t="s">
        <v>17</v>
      </c>
      <c r="H372" s="6">
        <v>0.7</v>
      </c>
      <c r="I372" s="8">
        <v>-4.3413396986424012E-2</v>
      </c>
      <c r="J372" s="5">
        <f t="shared" si="60"/>
        <v>1.9288787744816144E-2</v>
      </c>
      <c r="K372" s="5" cm="1">
        <f t="array" ref="K372">_xlfn.STDEV.S(IF($C:$C=C372,$I:$I))</f>
        <v>0.27585788879837708</v>
      </c>
      <c r="L372" s="7">
        <f t="shared" si="63"/>
        <v>-0.22729886393449789</v>
      </c>
      <c r="M372">
        <f t="shared" si="61"/>
        <v>0</v>
      </c>
      <c r="N372" s="9">
        <f t="shared" si="64"/>
        <v>8.399999999999995E-2</v>
      </c>
      <c r="O372">
        <f>COUNTIFS($B$2:B372,B372,$C$2:C372,C372,$D$2:D372,"&lt;"&amp;D372,$F$2:F372,1)</f>
        <v>2</v>
      </c>
      <c r="P372">
        <f t="shared" si="62"/>
        <v>0</v>
      </c>
      <c r="Q372" t="str">
        <f t="shared" si="65"/>
        <v>Monitor</v>
      </c>
      <c r="R372">
        <v>0</v>
      </c>
      <c r="S372">
        <f t="shared" si="66"/>
        <v>0</v>
      </c>
      <c r="T372">
        <f t="shared" si="67"/>
        <v>0</v>
      </c>
      <c r="U372" t="str">
        <f t="shared" si="68"/>
        <v>Not Improved Enough</v>
      </c>
      <c r="V372" t="str">
        <f t="shared" si="69"/>
        <v>Far</v>
      </c>
      <c r="W372" t="str">
        <f t="shared" si="70"/>
        <v>Normal</v>
      </c>
      <c r="X372" t="str">
        <f t="shared" si="71"/>
        <v>Allowed</v>
      </c>
    </row>
    <row r="373" spans="1:24" x14ac:dyDescent="0.3">
      <c r="A373" t="s">
        <v>23</v>
      </c>
      <c r="B373" t="s">
        <v>28</v>
      </c>
      <c r="C373" t="s">
        <v>27</v>
      </c>
      <c r="D373" s="3">
        <v>45747</v>
      </c>
      <c r="E373" s="6">
        <v>0.70509999999999995</v>
      </c>
      <c r="F373">
        <v>0</v>
      </c>
      <c r="G373" t="s">
        <v>17</v>
      </c>
      <c r="H373" s="6">
        <v>0.7</v>
      </c>
      <c r="I373" s="8">
        <v>9.9656893325015525E-2</v>
      </c>
      <c r="J373" s="5">
        <f t="shared" si="60"/>
        <v>1.9288787744816144E-2</v>
      </c>
      <c r="K373" s="5" cm="1">
        <f t="array" ref="K373">_xlfn.STDEV.S(IF($C:$C=C373,$I:$I))</f>
        <v>0.27585788879837708</v>
      </c>
      <c r="L373" s="7">
        <f t="shared" si="63"/>
        <v>0.29133879741586788</v>
      </c>
      <c r="M373">
        <f t="shared" si="61"/>
        <v>0</v>
      </c>
      <c r="N373" s="9">
        <f t="shared" si="64"/>
        <v>-7.2857142857142764E-3</v>
      </c>
      <c r="O373">
        <f>COUNTIFS($B$2:B373,B373,$C$2:C373,C373,$D$2:D373,"&lt;"&amp;D373,$F$2:F373,1)</f>
        <v>3</v>
      </c>
      <c r="P373">
        <f t="shared" si="62"/>
        <v>1</v>
      </c>
      <c r="Q373" t="str">
        <f t="shared" si="65"/>
        <v>Monitor</v>
      </c>
      <c r="R373">
        <v>1</v>
      </c>
      <c r="S373">
        <f t="shared" si="66"/>
        <v>0</v>
      </c>
      <c r="T373">
        <f t="shared" si="67"/>
        <v>0</v>
      </c>
      <c r="U373" t="str">
        <f t="shared" si="68"/>
        <v>Improved Enough</v>
      </c>
      <c r="V373" t="str">
        <f t="shared" si="69"/>
        <v>Close</v>
      </c>
      <c r="W373" t="str">
        <f t="shared" si="70"/>
        <v>Normal</v>
      </c>
      <c r="X373" t="str">
        <f t="shared" si="71"/>
        <v>Allowed</v>
      </c>
    </row>
    <row r="374" spans="1:24" x14ac:dyDescent="0.3">
      <c r="A374" t="s">
        <v>23</v>
      </c>
      <c r="B374" t="s">
        <v>28</v>
      </c>
      <c r="C374" t="s">
        <v>27</v>
      </c>
      <c r="D374" s="3">
        <v>45777</v>
      </c>
      <c r="E374" s="6">
        <v>0.63639999999999997</v>
      </c>
      <c r="F374">
        <v>0</v>
      </c>
      <c r="G374" t="s">
        <v>17</v>
      </c>
      <c r="H374" s="6">
        <v>0.7</v>
      </c>
      <c r="I374" s="8">
        <v>-9.7432988228620038E-2</v>
      </c>
      <c r="J374" s="5">
        <f t="shared" si="60"/>
        <v>1.9288787744816144E-2</v>
      </c>
      <c r="K374" s="5" cm="1">
        <f t="array" ref="K374">_xlfn.STDEV.S(IF($C:$C=C374,$I:$I))</f>
        <v>0.27585788879837708</v>
      </c>
      <c r="L374" s="7">
        <f t="shared" si="63"/>
        <v>-0.42312284952904661</v>
      </c>
      <c r="M374">
        <f t="shared" si="61"/>
        <v>0</v>
      </c>
      <c r="N374" s="9">
        <f t="shared" si="64"/>
        <v>9.0857142857142845E-2</v>
      </c>
      <c r="O374">
        <f>COUNTIFS($B$2:B374,B374,$C$2:C374,C374,$D$2:D374,"&lt;"&amp;D374,$F$2:F374,1)</f>
        <v>3</v>
      </c>
      <c r="P374">
        <f t="shared" si="62"/>
        <v>0</v>
      </c>
      <c r="Q374" t="str">
        <f t="shared" si="65"/>
        <v>Monitor</v>
      </c>
      <c r="R374">
        <v>0</v>
      </c>
      <c r="S374">
        <f t="shared" si="66"/>
        <v>0</v>
      </c>
      <c r="T374">
        <f t="shared" si="67"/>
        <v>0</v>
      </c>
      <c r="U374" t="str">
        <f t="shared" si="68"/>
        <v>Not Improved Enough</v>
      </c>
      <c r="V374" t="str">
        <f t="shared" si="69"/>
        <v>Far</v>
      </c>
      <c r="W374" t="str">
        <f t="shared" si="70"/>
        <v>Normal</v>
      </c>
      <c r="X374" t="str">
        <f t="shared" si="71"/>
        <v>Allowed</v>
      </c>
    </row>
    <row r="375" spans="1:24" x14ac:dyDescent="0.3">
      <c r="A375" t="s">
        <v>23</v>
      </c>
      <c r="B375" t="s">
        <v>28</v>
      </c>
      <c r="C375" t="s">
        <v>27</v>
      </c>
      <c r="D375" s="3">
        <v>45808</v>
      </c>
      <c r="E375" s="6">
        <v>0.66359999999999997</v>
      </c>
      <c r="F375">
        <v>0</v>
      </c>
      <c r="G375" t="s">
        <v>17</v>
      </c>
      <c r="H375" s="6">
        <v>0.7</v>
      </c>
      <c r="I375" s="8">
        <v>4.2740414833438087E-2</v>
      </c>
      <c r="J375" s="5">
        <f t="shared" si="60"/>
        <v>1.9288787744816144E-2</v>
      </c>
      <c r="K375" s="5" cm="1">
        <f t="array" ref="K375">_xlfn.STDEV.S(IF($C:$C=C375,$I:$I))</f>
        <v>0.27585788879837708</v>
      </c>
      <c r="L375" s="7">
        <f t="shared" si="63"/>
        <v>8.5013436413858001E-2</v>
      </c>
      <c r="M375">
        <f t="shared" si="61"/>
        <v>0</v>
      </c>
      <c r="N375" s="9">
        <f t="shared" si="64"/>
        <v>5.1999999999999984E-2</v>
      </c>
      <c r="O375">
        <f>COUNTIFS($B$2:B375,B375,$C$2:C375,C375,$D$2:D375,"&lt;"&amp;D375,$F$2:F375,1)</f>
        <v>3</v>
      </c>
      <c r="P375">
        <f t="shared" si="62"/>
        <v>0</v>
      </c>
      <c r="Q375" t="str">
        <f t="shared" si="65"/>
        <v>Monitor</v>
      </c>
      <c r="R375">
        <v>0</v>
      </c>
      <c r="S375">
        <f t="shared" si="66"/>
        <v>0</v>
      </c>
      <c r="T375">
        <f t="shared" si="67"/>
        <v>0</v>
      </c>
      <c r="U375" t="str">
        <f t="shared" si="68"/>
        <v>Improved Enough</v>
      </c>
      <c r="V375" t="str">
        <f t="shared" si="69"/>
        <v>Far</v>
      </c>
      <c r="W375" t="str">
        <f t="shared" si="70"/>
        <v>Normal</v>
      </c>
      <c r="X375" t="str">
        <f t="shared" si="71"/>
        <v>Allowed</v>
      </c>
    </row>
    <row r="376" spans="1:24" x14ac:dyDescent="0.3">
      <c r="A376" t="s">
        <v>23</v>
      </c>
      <c r="B376" t="s">
        <v>28</v>
      </c>
      <c r="C376" t="s">
        <v>27</v>
      </c>
      <c r="D376" s="3">
        <v>45838</v>
      </c>
      <c r="E376" s="6">
        <v>0.69940000000000002</v>
      </c>
      <c r="F376">
        <v>0</v>
      </c>
      <c r="G376" t="s">
        <v>17</v>
      </c>
      <c r="H376" s="6">
        <v>0.7</v>
      </c>
      <c r="I376" s="8">
        <v>5.3948161543098339E-2</v>
      </c>
      <c r="J376" s="5">
        <f t="shared" si="60"/>
        <v>1.9288787744816144E-2</v>
      </c>
      <c r="K376" s="5" cm="1">
        <f t="array" ref="K376">_xlfn.STDEV.S(IF($C:$C=C376,$I:$I))</f>
        <v>0.27585788879837708</v>
      </c>
      <c r="L376" s="7">
        <f t="shared" si="63"/>
        <v>0.12564213388733114</v>
      </c>
      <c r="M376">
        <f t="shared" si="61"/>
        <v>0</v>
      </c>
      <c r="N376" s="9">
        <f t="shared" si="64"/>
        <v>8.5714285714276277E-4</v>
      </c>
      <c r="O376">
        <f>COUNTIFS($B$2:B376,B376,$C$2:C376,C376,$D$2:D376,"&lt;"&amp;D376,$F$2:F376,1)</f>
        <v>3</v>
      </c>
      <c r="P376">
        <f t="shared" si="62"/>
        <v>0</v>
      </c>
      <c r="Q376" t="str">
        <f t="shared" si="65"/>
        <v>Monitor</v>
      </c>
      <c r="R376">
        <v>0</v>
      </c>
      <c r="S376">
        <f t="shared" si="66"/>
        <v>0</v>
      </c>
      <c r="T376">
        <f t="shared" si="67"/>
        <v>0</v>
      </c>
      <c r="U376" t="str">
        <f t="shared" si="68"/>
        <v>Improved Enough</v>
      </c>
      <c r="V376" t="str">
        <f t="shared" si="69"/>
        <v>Close</v>
      </c>
      <c r="W376" t="str">
        <f t="shared" si="70"/>
        <v>Normal</v>
      </c>
      <c r="X376" t="str">
        <f t="shared" si="71"/>
        <v>Allowed</v>
      </c>
    </row>
    <row r="377" spans="1:24" x14ac:dyDescent="0.3">
      <c r="A377" t="s">
        <v>23</v>
      </c>
      <c r="B377" t="s">
        <v>28</v>
      </c>
      <c r="C377" t="s">
        <v>27</v>
      </c>
      <c r="D377" s="3">
        <v>45869</v>
      </c>
      <c r="E377" s="6">
        <v>0.71899999999999997</v>
      </c>
      <c r="F377">
        <v>0</v>
      </c>
      <c r="G377" t="s">
        <v>17</v>
      </c>
      <c r="H377" s="6">
        <v>0.7</v>
      </c>
      <c r="I377" s="8">
        <v>2.8024020589076281E-2</v>
      </c>
      <c r="J377" s="5">
        <f t="shared" si="60"/>
        <v>1.9288787744816144E-2</v>
      </c>
      <c r="K377" s="5" cm="1">
        <f t="array" ref="K377">_xlfn.STDEV.S(IF($C:$C=C377,$I:$I))</f>
        <v>0.27585788879837708</v>
      </c>
      <c r="L377" s="7">
        <f t="shared" si="63"/>
        <v>3.1665698894131199E-2</v>
      </c>
      <c r="M377">
        <f t="shared" si="61"/>
        <v>0</v>
      </c>
      <c r="N377" s="9">
        <f t="shared" si="64"/>
        <v>-2.714285714285717E-2</v>
      </c>
      <c r="O377">
        <f>COUNTIFS($B$2:B377,B377,$C$2:C377,C377,$D$2:D377,"&lt;"&amp;D377,$F$2:F377,1)</f>
        <v>3</v>
      </c>
      <c r="P377">
        <f t="shared" si="62"/>
        <v>0</v>
      </c>
      <c r="Q377" t="str">
        <f t="shared" si="65"/>
        <v>Monitor</v>
      </c>
      <c r="R377">
        <v>0</v>
      </c>
      <c r="S377">
        <f t="shared" si="66"/>
        <v>0</v>
      </c>
      <c r="T377">
        <f t="shared" si="67"/>
        <v>0</v>
      </c>
      <c r="U377" t="str">
        <f t="shared" si="68"/>
        <v>Improved Enough</v>
      </c>
      <c r="V377" t="str">
        <f t="shared" si="69"/>
        <v>Close</v>
      </c>
      <c r="W377" t="str">
        <f t="shared" si="70"/>
        <v>Normal</v>
      </c>
      <c r="X377" t="str">
        <f t="shared" si="71"/>
        <v>Allowed</v>
      </c>
    </row>
    <row r="378" spans="1:24" x14ac:dyDescent="0.3">
      <c r="A378" t="s">
        <v>23</v>
      </c>
      <c r="B378" t="s">
        <v>28</v>
      </c>
      <c r="C378" t="s">
        <v>27</v>
      </c>
      <c r="D378" s="3">
        <v>45900</v>
      </c>
      <c r="E378" s="6">
        <v>0.68200000000000005</v>
      </c>
      <c r="F378">
        <v>0</v>
      </c>
      <c r="G378" t="s">
        <v>17</v>
      </c>
      <c r="H378" s="6">
        <v>0.7</v>
      </c>
      <c r="I378" s="8">
        <v>-5.1460361613351768E-2</v>
      </c>
      <c r="J378" s="5">
        <f t="shared" si="60"/>
        <v>1.9288787744816144E-2</v>
      </c>
      <c r="K378" s="5" cm="1">
        <f t="array" ref="K378">_xlfn.STDEV.S(IF($C:$C=C378,$I:$I))</f>
        <v>0.27585788879837708</v>
      </c>
      <c r="L378" s="7">
        <f t="shared" si="63"/>
        <v>-0.25646955273364702</v>
      </c>
      <c r="M378">
        <f t="shared" si="61"/>
        <v>0</v>
      </c>
      <c r="N378" s="9">
        <f t="shared" si="64"/>
        <v>2.5714285714285579E-2</v>
      </c>
      <c r="O378">
        <f>COUNTIFS($B$2:B378,B378,$C$2:C378,C378,$D$2:D378,"&lt;"&amp;D378,$F$2:F378,1)</f>
        <v>3</v>
      </c>
      <c r="P378">
        <f t="shared" si="62"/>
        <v>0</v>
      </c>
      <c r="Q378" t="str">
        <f t="shared" si="65"/>
        <v>Monitor</v>
      </c>
      <c r="R378">
        <v>0</v>
      </c>
      <c r="S378">
        <f t="shared" si="66"/>
        <v>0</v>
      </c>
      <c r="T378">
        <f t="shared" si="67"/>
        <v>0</v>
      </c>
      <c r="U378" t="str">
        <f t="shared" si="68"/>
        <v>Not Improved Enough</v>
      </c>
      <c r="V378" t="str">
        <f t="shared" si="69"/>
        <v>Far</v>
      </c>
      <c r="W378" t="str">
        <f t="shared" si="70"/>
        <v>Normal</v>
      </c>
      <c r="X378" t="str">
        <f t="shared" si="71"/>
        <v>Allowed</v>
      </c>
    </row>
    <row r="379" spans="1:24" x14ac:dyDescent="0.3">
      <c r="A379" t="s">
        <v>23</v>
      </c>
      <c r="B379" t="s">
        <v>28</v>
      </c>
      <c r="C379" t="s">
        <v>27</v>
      </c>
      <c r="D379" s="3">
        <v>45930</v>
      </c>
      <c r="E379" s="6">
        <v>0.72099999999999997</v>
      </c>
      <c r="F379">
        <v>0</v>
      </c>
      <c r="G379" t="s">
        <v>17</v>
      </c>
      <c r="H379" s="6">
        <v>0.7</v>
      </c>
      <c r="I379" s="8">
        <v>5.7184750733137717E-2</v>
      </c>
      <c r="J379" s="5">
        <f t="shared" si="60"/>
        <v>1.9288787744816144E-2</v>
      </c>
      <c r="K379" s="5" cm="1">
        <f t="array" ref="K379">_xlfn.STDEV.S(IF($C:$C=C379,$I:$I))</f>
        <v>0.27585788879837708</v>
      </c>
      <c r="L379" s="7">
        <f t="shared" si="63"/>
        <v>0.13737494748979068</v>
      </c>
      <c r="M379">
        <f t="shared" si="61"/>
        <v>0</v>
      </c>
      <c r="N379" s="9">
        <f t="shared" si="64"/>
        <v>-3.000000000000003E-2</v>
      </c>
      <c r="O379">
        <f>COUNTIFS($B$2:B379,B379,$C$2:C379,C379,$D$2:D379,"&lt;"&amp;D379,$F$2:F379,1)</f>
        <v>3</v>
      </c>
      <c r="P379">
        <f t="shared" si="62"/>
        <v>0</v>
      </c>
      <c r="Q379" t="str">
        <f t="shared" si="65"/>
        <v>Monitor</v>
      </c>
      <c r="R379">
        <v>0</v>
      </c>
      <c r="S379">
        <f t="shared" si="66"/>
        <v>0</v>
      </c>
      <c r="T379">
        <f t="shared" si="67"/>
        <v>0</v>
      </c>
      <c r="U379" t="str">
        <f t="shared" si="68"/>
        <v>Improved Enough</v>
      </c>
      <c r="V379" t="str">
        <f t="shared" si="69"/>
        <v>Close</v>
      </c>
      <c r="W379" t="str">
        <f t="shared" si="70"/>
        <v>Normal</v>
      </c>
      <c r="X379" t="str">
        <f t="shared" si="71"/>
        <v>Allowed</v>
      </c>
    </row>
    <row r="380" spans="1:24" x14ac:dyDescent="0.3">
      <c r="A380" t="s">
        <v>23</v>
      </c>
      <c r="B380" t="s">
        <v>28</v>
      </c>
      <c r="C380" t="s">
        <v>27</v>
      </c>
      <c r="D380" s="3">
        <v>45961</v>
      </c>
      <c r="E380" s="6">
        <v>0.74</v>
      </c>
      <c r="F380">
        <v>0</v>
      </c>
      <c r="G380" t="s">
        <v>17</v>
      </c>
      <c r="H380" s="6">
        <v>0.7</v>
      </c>
      <c r="I380" s="8">
        <v>2.6352288488210841E-2</v>
      </c>
      <c r="J380" s="5">
        <f t="shared" si="60"/>
        <v>1.9288787744816144E-2</v>
      </c>
      <c r="K380" s="5" cm="1">
        <f t="array" ref="K380">_xlfn.STDEV.S(IF($C:$C=C380,$I:$I))</f>
        <v>0.27585788879837708</v>
      </c>
      <c r="L380" s="7">
        <f t="shared" si="63"/>
        <v>2.5605578198843421E-2</v>
      </c>
      <c r="M380">
        <f t="shared" si="61"/>
        <v>0</v>
      </c>
      <c r="N380" s="9">
        <f t="shared" si="64"/>
        <v>-5.7142857142857197E-2</v>
      </c>
      <c r="O380">
        <f>COUNTIFS($B$2:B380,B380,$C$2:C380,C380,$D$2:D380,"&lt;"&amp;D380,$F$2:F380,1)</f>
        <v>3</v>
      </c>
      <c r="P380">
        <f t="shared" si="62"/>
        <v>0</v>
      </c>
      <c r="Q380" t="str">
        <f t="shared" si="65"/>
        <v>Monitor</v>
      </c>
      <c r="R380">
        <v>0</v>
      </c>
      <c r="S380">
        <f t="shared" si="66"/>
        <v>0</v>
      </c>
      <c r="T380">
        <f t="shared" si="67"/>
        <v>0</v>
      </c>
      <c r="U380" t="str">
        <f t="shared" si="68"/>
        <v>Improved Enough</v>
      </c>
      <c r="V380" t="str">
        <f t="shared" si="69"/>
        <v>Close</v>
      </c>
      <c r="W380" t="str">
        <f t="shared" si="70"/>
        <v>Normal</v>
      </c>
      <c r="X380" t="str">
        <f t="shared" si="71"/>
        <v>Allowed</v>
      </c>
    </row>
    <row r="381" spans="1:24" x14ac:dyDescent="0.3">
      <c r="A381" t="s">
        <v>23</v>
      </c>
      <c r="B381" t="s">
        <v>28</v>
      </c>
      <c r="C381" t="s">
        <v>27</v>
      </c>
      <c r="D381" s="3">
        <v>45991</v>
      </c>
      <c r="E381" s="6">
        <v>0.69799999999999995</v>
      </c>
      <c r="F381">
        <v>0</v>
      </c>
      <c r="G381" t="s">
        <v>17</v>
      </c>
      <c r="H381" s="6">
        <v>0.7</v>
      </c>
      <c r="I381" s="8">
        <v>-5.6756756756756808E-2</v>
      </c>
      <c r="J381" s="5">
        <f t="shared" si="60"/>
        <v>1.9288787744816144E-2</v>
      </c>
      <c r="K381" s="5" cm="1">
        <f t="array" ref="K381">_xlfn.STDEV.S(IF($C:$C=C381,$I:$I))</f>
        <v>0.27585788879837708</v>
      </c>
      <c r="L381" s="7">
        <f t="shared" si="63"/>
        <v>-0.27566927606393088</v>
      </c>
      <c r="M381">
        <f t="shared" si="61"/>
        <v>0</v>
      </c>
      <c r="N381" s="9">
        <f t="shared" si="64"/>
        <v>2.8571428571428597E-3</v>
      </c>
      <c r="O381">
        <f>COUNTIFS($B$2:B381,B381,$C$2:C381,C381,$D$2:D381,"&lt;"&amp;D381,$F$2:F381,1)</f>
        <v>3</v>
      </c>
      <c r="P381">
        <f t="shared" si="62"/>
        <v>0</v>
      </c>
      <c r="Q381" t="str">
        <f t="shared" si="65"/>
        <v>Monitor</v>
      </c>
      <c r="R381">
        <v>0</v>
      </c>
      <c r="S381">
        <f t="shared" si="66"/>
        <v>0</v>
      </c>
      <c r="T381">
        <f t="shared" si="67"/>
        <v>0</v>
      </c>
      <c r="U381" t="str">
        <f t="shared" si="68"/>
        <v>Not Improved Enough</v>
      </c>
      <c r="V381" t="str">
        <f t="shared" si="69"/>
        <v>Close</v>
      </c>
      <c r="W381" t="str">
        <f t="shared" si="70"/>
        <v>Normal</v>
      </c>
      <c r="X381" t="str">
        <f t="shared" si="71"/>
        <v>Allowed</v>
      </c>
    </row>
    <row r="382" spans="1:24" x14ac:dyDescent="0.3">
      <c r="A382" t="s">
        <v>10</v>
      </c>
      <c r="B382" t="s">
        <v>29</v>
      </c>
      <c r="C382" t="s">
        <v>12</v>
      </c>
      <c r="D382" s="3">
        <v>45535</v>
      </c>
      <c r="E382" s="6">
        <v>0.29139072847682118</v>
      </c>
      <c r="F382">
        <v>1</v>
      </c>
      <c r="G382" t="s">
        <v>13</v>
      </c>
      <c r="H382" s="6">
        <v>0.27</v>
      </c>
      <c r="I382" s="8">
        <v>-0.1194883115412915</v>
      </c>
      <c r="J382" s="5">
        <f t="shared" si="60"/>
        <v>1.2504550363164104E-2</v>
      </c>
      <c r="K382" s="5" cm="1">
        <f t="array" ref="K382">_xlfn.STDEV.S(IF($C:$C=C382,$I:$I))</f>
        <v>5.3924507863027986E-2</v>
      </c>
      <c r="L382" s="7">
        <f t="shared" si="63"/>
        <v>-2.4477341961047969</v>
      </c>
      <c r="M382">
        <f t="shared" si="61"/>
        <v>1</v>
      </c>
      <c r="N382" s="9">
        <f t="shared" si="64"/>
        <v>7.9224920284522826E-2</v>
      </c>
      <c r="O382">
        <f>COUNTIFS($B$2:B382,B382,$C$2:C382,C382,$D$2:D382,"&lt;"&amp;D382,$F$2:F382,1)</f>
        <v>0</v>
      </c>
      <c r="P382">
        <f t="shared" si="62"/>
        <v>0</v>
      </c>
      <c r="Q382" t="str">
        <f t="shared" si="65"/>
        <v>Intervene</v>
      </c>
      <c r="R382">
        <v>0</v>
      </c>
      <c r="S382">
        <f t="shared" si="66"/>
        <v>1</v>
      </c>
      <c r="T382">
        <f t="shared" si="67"/>
        <v>1</v>
      </c>
      <c r="U382" t="str">
        <f t="shared" si="68"/>
        <v>Not Improved Enough</v>
      </c>
      <c r="V382" t="str">
        <f t="shared" si="69"/>
        <v>Far</v>
      </c>
      <c r="W382" t="str">
        <f t="shared" si="70"/>
        <v>Abnormal</v>
      </c>
      <c r="X382" t="str">
        <f t="shared" si="71"/>
        <v>Allowed</v>
      </c>
    </row>
    <row r="383" spans="1:24" x14ac:dyDescent="0.3">
      <c r="A383" t="s">
        <v>10</v>
      </c>
      <c r="B383" t="s">
        <v>29</v>
      </c>
      <c r="C383" t="s">
        <v>12</v>
      </c>
      <c r="D383" s="3">
        <v>45565</v>
      </c>
      <c r="E383" s="6">
        <v>0.28227571115973737</v>
      </c>
      <c r="F383">
        <v>0</v>
      </c>
      <c r="G383" t="s">
        <v>13</v>
      </c>
      <c r="H383" s="6">
        <v>0.27</v>
      </c>
      <c r="I383" s="8">
        <v>3.1281082156355791E-2</v>
      </c>
      <c r="J383" s="5">
        <f t="shared" si="60"/>
        <v>1.2504550363164104E-2</v>
      </c>
      <c r="K383" s="5" cm="1">
        <f t="array" ref="K383">_xlfn.STDEV.S(IF($C:$C=C383,$I:$I))</f>
        <v>5.3924507863027986E-2</v>
      </c>
      <c r="L383" s="7">
        <f t="shared" si="63"/>
        <v>0.34820033667966682</v>
      </c>
      <c r="M383">
        <f t="shared" si="61"/>
        <v>0</v>
      </c>
      <c r="N383" s="9">
        <f t="shared" si="64"/>
        <v>4.5465596887916133E-2</v>
      </c>
      <c r="O383">
        <f>COUNTIFS($B$2:B383,B383,$C$2:C383,C383,$D$2:D383,"&lt;"&amp;D383,$F$2:F383,1)</f>
        <v>1</v>
      </c>
      <c r="P383">
        <f t="shared" si="62"/>
        <v>1</v>
      </c>
      <c r="Q383" t="str">
        <f t="shared" si="65"/>
        <v>Monitor</v>
      </c>
      <c r="R383">
        <v>1</v>
      </c>
      <c r="S383">
        <f t="shared" si="66"/>
        <v>0</v>
      </c>
      <c r="T383">
        <f t="shared" si="67"/>
        <v>0</v>
      </c>
      <c r="U383" t="str">
        <f t="shared" si="68"/>
        <v>Improved Enough</v>
      </c>
      <c r="V383" t="str">
        <f t="shared" si="69"/>
        <v>Far</v>
      </c>
      <c r="W383" t="str">
        <f t="shared" si="70"/>
        <v>Normal</v>
      </c>
      <c r="X383" t="str">
        <f t="shared" si="71"/>
        <v>Allowed</v>
      </c>
    </row>
    <row r="384" spans="1:24" x14ac:dyDescent="0.3">
      <c r="A384" t="s">
        <v>10</v>
      </c>
      <c r="B384" t="s">
        <v>29</v>
      </c>
      <c r="C384" t="s">
        <v>12</v>
      </c>
      <c r="D384" s="3">
        <v>45596</v>
      </c>
      <c r="E384" s="6">
        <v>0.30246575342465748</v>
      </c>
      <c r="F384">
        <v>1</v>
      </c>
      <c r="G384" t="s">
        <v>13</v>
      </c>
      <c r="H384" s="6">
        <v>0.27</v>
      </c>
      <c r="I384" s="8">
        <v>-7.1525963682701463E-2</v>
      </c>
      <c r="J384" s="5">
        <f t="shared" si="60"/>
        <v>1.2504550363164104E-2</v>
      </c>
      <c r="K384" s="5" cm="1">
        <f t="array" ref="K384">_xlfn.STDEV.S(IF($C:$C=C384,$I:$I))</f>
        <v>5.3924507863027986E-2</v>
      </c>
      <c r="L384" s="7">
        <f t="shared" si="63"/>
        <v>-1.5582991366246481</v>
      </c>
      <c r="M384">
        <f t="shared" si="61"/>
        <v>1</v>
      </c>
      <c r="N384" s="9">
        <f t="shared" si="64"/>
        <v>0.12024353120243504</v>
      </c>
      <c r="O384">
        <f>COUNTIFS($B$2:B384,B384,$C$2:C384,C384,$D$2:D384,"&lt;"&amp;D384,$F$2:F384,1)</f>
        <v>1</v>
      </c>
      <c r="P384">
        <f t="shared" si="62"/>
        <v>0</v>
      </c>
      <c r="Q384" t="str">
        <f t="shared" si="65"/>
        <v>Intervene</v>
      </c>
      <c r="R384">
        <v>0</v>
      </c>
      <c r="S384">
        <f t="shared" si="66"/>
        <v>1</v>
      </c>
      <c r="T384">
        <f t="shared" si="67"/>
        <v>1</v>
      </c>
      <c r="U384" t="str">
        <f t="shared" si="68"/>
        <v>Not Improved Enough</v>
      </c>
      <c r="V384" t="str">
        <f t="shared" si="69"/>
        <v>Far</v>
      </c>
      <c r="W384" t="str">
        <f t="shared" si="70"/>
        <v>Abnormal</v>
      </c>
      <c r="X384" t="str">
        <f t="shared" si="71"/>
        <v>Allowed</v>
      </c>
    </row>
    <row r="385" spans="1:24" x14ac:dyDescent="0.3">
      <c r="A385" t="s">
        <v>10</v>
      </c>
      <c r="B385" t="s">
        <v>29</v>
      </c>
      <c r="C385" t="s">
        <v>12</v>
      </c>
      <c r="D385" s="3">
        <v>45626</v>
      </c>
      <c r="E385" s="6">
        <v>0.29347826100000002</v>
      </c>
      <c r="F385">
        <v>0</v>
      </c>
      <c r="G385" t="s">
        <v>13</v>
      </c>
      <c r="H385" s="6">
        <v>0.27</v>
      </c>
      <c r="I385" s="8">
        <v>2.9714082744564978E-2</v>
      </c>
      <c r="J385" s="5">
        <f t="shared" si="60"/>
        <v>1.2504550363164104E-2</v>
      </c>
      <c r="K385" s="5" cm="1">
        <f t="array" ref="K385">_xlfn.STDEV.S(IF($C:$C=C385,$I:$I))</f>
        <v>5.3924507863027986E-2</v>
      </c>
      <c r="L385" s="7">
        <f t="shared" si="63"/>
        <v>0.31914120431315368</v>
      </c>
      <c r="M385">
        <f t="shared" si="61"/>
        <v>0</v>
      </c>
      <c r="N385" s="9">
        <f t="shared" si="64"/>
        <v>8.6956522222222221E-2</v>
      </c>
      <c r="O385">
        <f>COUNTIFS($B$2:B385,B385,$C$2:C385,C385,$D$2:D385,"&lt;"&amp;D385,$F$2:F385,1)</f>
        <v>2</v>
      </c>
      <c r="P385">
        <f t="shared" si="62"/>
        <v>1</v>
      </c>
      <c r="Q385" t="str">
        <f t="shared" si="65"/>
        <v>Monitor</v>
      </c>
      <c r="R385">
        <v>1</v>
      </c>
      <c r="S385">
        <f t="shared" si="66"/>
        <v>0</v>
      </c>
      <c r="T385">
        <f t="shared" si="67"/>
        <v>0</v>
      </c>
      <c r="U385" t="str">
        <f t="shared" si="68"/>
        <v>Improved Enough</v>
      </c>
      <c r="V385" t="str">
        <f t="shared" si="69"/>
        <v>Far</v>
      </c>
      <c r="W385" t="str">
        <f t="shared" si="70"/>
        <v>Normal</v>
      </c>
      <c r="X385" t="str">
        <f t="shared" si="71"/>
        <v>Allowed</v>
      </c>
    </row>
    <row r="386" spans="1:24" x14ac:dyDescent="0.3">
      <c r="A386" t="s">
        <v>10</v>
      </c>
      <c r="B386" t="s">
        <v>29</v>
      </c>
      <c r="C386" t="s">
        <v>12</v>
      </c>
      <c r="D386" s="3">
        <v>45657</v>
      </c>
      <c r="E386" s="6">
        <v>0.29967426710097722</v>
      </c>
      <c r="F386">
        <v>1</v>
      </c>
      <c r="G386" t="s">
        <v>13</v>
      </c>
      <c r="H386" s="6">
        <v>0.27</v>
      </c>
      <c r="I386" s="8">
        <v>-2.1112317075427961E-2</v>
      </c>
      <c r="J386" s="5">
        <f t="shared" ref="J386:J449" si="72">AVERAGEIF($C:$C,C386,$I:$I)</f>
        <v>1.2504550363164104E-2</v>
      </c>
      <c r="K386" s="5" cm="1">
        <f t="array" ref="K386">_xlfn.STDEV.S(IF($C:$C=C386,$I:$I))</f>
        <v>5.3924507863027986E-2</v>
      </c>
      <c r="L386" s="7">
        <f t="shared" si="63"/>
        <v>-0.62340610551293774</v>
      </c>
      <c r="M386">
        <f t="shared" ref="M386:M449" si="73">IF(L386&lt;=-$Z$4,1,IF(L386&gt;=$Z$4,-1,0))</f>
        <v>1</v>
      </c>
      <c r="N386" s="9">
        <f t="shared" si="64"/>
        <v>0.10990469296658223</v>
      </c>
      <c r="O386">
        <f>COUNTIFS($B$2:B386,B386,$C$2:C386,C386,$D$2:D386,"&lt;"&amp;D386,$F$2:F386,1)</f>
        <v>2</v>
      </c>
      <c r="P386">
        <f t="shared" ref="P386:P449" si="74">IF(AND(R386=1,I386&gt;0),1,IF(R386=1,-1,0))</f>
        <v>0</v>
      </c>
      <c r="Q386" t="str">
        <f t="shared" si="65"/>
        <v>Intervene</v>
      </c>
      <c r="R386">
        <v>0</v>
      </c>
      <c r="S386">
        <f t="shared" si="66"/>
        <v>1</v>
      </c>
      <c r="T386">
        <f t="shared" si="67"/>
        <v>1</v>
      </c>
      <c r="U386" t="str">
        <f t="shared" si="68"/>
        <v>Not Improved Enough</v>
      </c>
      <c r="V386" t="str">
        <f t="shared" si="69"/>
        <v>Far</v>
      </c>
      <c r="W386" t="str">
        <f t="shared" si="70"/>
        <v>Abnormal</v>
      </c>
      <c r="X386" t="str">
        <f t="shared" si="71"/>
        <v>Allowed</v>
      </c>
    </row>
    <row r="387" spans="1:24" x14ac:dyDescent="0.3">
      <c r="A387" t="s">
        <v>10</v>
      </c>
      <c r="B387" t="s">
        <v>29</v>
      </c>
      <c r="C387" t="s">
        <v>12</v>
      </c>
      <c r="D387" s="3">
        <v>45688</v>
      </c>
      <c r="E387" s="6">
        <v>0.32397408207343409</v>
      </c>
      <c r="F387">
        <v>1</v>
      </c>
      <c r="G387" t="s">
        <v>13</v>
      </c>
      <c r="H387" s="6">
        <v>0.27</v>
      </c>
      <c r="I387" s="8">
        <v>-8.1087426049394104E-2</v>
      </c>
      <c r="J387" s="5">
        <f t="shared" si="72"/>
        <v>1.2504550363164104E-2</v>
      </c>
      <c r="K387" s="5" cm="1">
        <f t="array" ref="K387">_xlfn.STDEV.S(IF($C:$C=C387,$I:$I))</f>
        <v>5.3924507863027986E-2</v>
      </c>
      <c r="L387" s="7">
        <f t="shared" ref="L387:L450" si="75">IFERROR((I387-J387)/K387,0)</f>
        <v>-1.7356111371528573</v>
      </c>
      <c r="M387">
        <f t="shared" si="73"/>
        <v>1</v>
      </c>
      <c r="N387" s="9">
        <f t="shared" ref="N387:N450" si="76">IFERROR(IF(G387="DOWN",(E387-H387)/H387,(H387-E387)/H387),0)</f>
        <v>0.19990400767938543</v>
      </c>
      <c r="O387">
        <f>COUNTIFS($B$2:B387,B387,$C$2:C387,C387,$D$2:D387,"&lt;"&amp;D387,$F$2:F387,1)</f>
        <v>3</v>
      </c>
      <c r="P387">
        <f t="shared" si="74"/>
        <v>-1</v>
      </c>
      <c r="Q387" t="str">
        <f t="shared" ref="Q387:Q450" si="77">IF(I387&gt;=$Z$1,"Monitor",IF(AND(N387&gt;=$Z$2,L387&lt;=-$Z$4),IF(O387&lt;$Z$3,"Intervene","Escalate / Bigger Fix"),"Monitor"))</f>
        <v>Intervene</v>
      </c>
      <c r="R387">
        <v>1</v>
      </c>
      <c r="S387">
        <f t="shared" ref="S387:S450" si="78">IF(Q387="Intervene",1,IF(Q387="Escalate / Bigger Fix",-1,0))</f>
        <v>1</v>
      </c>
      <c r="T387">
        <f t="shared" ref="T387:T450" si="79">IF(Q387="Intervene",1,0)</f>
        <v>1</v>
      </c>
      <c r="U387" t="str">
        <f t="shared" ref="U387:U450" si="80">IF(I387&gt;=$Z$1,"Improved Enough","Not Improved Enough")</f>
        <v>Not Improved Enough</v>
      </c>
      <c r="V387" t="str">
        <f t="shared" ref="V387:V450" si="81">IF(N387&gt;=$Z$2,"Far","Close")</f>
        <v>Far</v>
      </c>
      <c r="W387" t="str">
        <f t="shared" ref="W387:W450" si="82">IF(L387&lt;=-$Z$4,"Abnormal","Normal")</f>
        <v>Abnormal</v>
      </c>
      <c r="X387" t="str">
        <f t="shared" ref="X387:X450" si="83">IF(O387&lt;$Z$3,"Allowed","Maxed Out")</f>
        <v>Allowed</v>
      </c>
    </row>
    <row r="388" spans="1:24" x14ac:dyDescent="0.3">
      <c r="A388" t="s">
        <v>10</v>
      </c>
      <c r="B388" t="s">
        <v>29</v>
      </c>
      <c r="C388" t="s">
        <v>12</v>
      </c>
      <c r="D388" s="3">
        <v>45716</v>
      </c>
      <c r="E388" s="6">
        <v>0.29837837837837838</v>
      </c>
      <c r="F388">
        <v>1</v>
      </c>
      <c r="G388" t="s">
        <v>13</v>
      </c>
      <c r="H388" s="6">
        <v>0.27</v>
      </c>
      <c r="I388" s="8">
        <v>7.900540540540528E-2</v>
      </c>
      <c r="J388" s="5">
        <f t="shared" si="72"/>
        <v>1.2504550363164104E-2</v>
      </c>
      <c r="K388" s="5" cm="1">
        <f t="array" ref="K388">_xlfn.STDEV.S(IF($C:$C=C388,$I:$I))</f>
        <v>5.3924507863027986E-2</v>
      </c>
      <c r="L388" s="7">
        <f t="shared" si="75"/>
        <v>1.233221362189489</v>
      </c>
      <c r="M388">
        <f t="shared" si="73"/>
        <v>-1</v>
      </c>
      <c r="N388" s="9">
        <f t="shared" si="76"/>
        <v>0.10510510510510505</v>
      </c>
      <c r="O388">
        <f>COUNTIFS($B$2:B388,B388,$C$2:C388,C388,$D$2:D388,"&lt;"&amp;D388,$F$2:F388,1)</f>
        <v>4</v>
      </c>
      <c r="P388">
        <f t="shared" si="74"/>
        <v>1</v>
      </c>
      <c r="Q388" t="str">
        <f t="shared" si="77"/>
        <v>Monitor</v>
      </c>
      <c r="R388">
        <v>1</v>
      </c>
      <c r="S388">
        <f t="shared" si="78"/>
        <v>0</v>
      </c>
      <c r="T388">
        <f t="shared" si="79"/>
        <v>0</v>
      </c>
      <c r="U388" t="str">
        <f t="shared" si="80"/>
        <v>Improved Enough</v>
      </c>
      <c r="V388" t="str">
        <f t="shared" si="81"/>
        <v>Far</v>
      </c>
      <c r="W388" t="str">
        <f t="shared" si="82"/>
        <v>Normal</v>
      </c>
      <c r="X388" t="str">
        <f t="shared" si="83"/>
        <v>Allowed</v>
      </c>
    </row>
    <row r="389" spans="1:24" x14ac:dyDescent="0.3">
      <c r="A389" t="s">
        <v>10</v>
      </c>
      <c r="B389" t="s">
        <v>29</v>
      </c>
      <c r="C389" t="s">
        <v>12</v>
      </c>
      <c r="D389" s="3">
        <v>45747</v>
      </c>
      <c r="E389" s="6">
        <v>0.3043712898003238</v>
      </c>
      <c r="F389">
        <v>1</v>
      </c>
      <c r="G389" t="s">
        <v>13</v>
      </c>
      <c r="H389" s="6">
        <v>0.27</v>
      </c>
      <c r="I389" s="8">
        <v>-2.008493864238952E-2</v>
      </c>
      <c r="J389" s="5">
        <f t="shared" si="72"/>
        <v>1.2504550363164104E-2</v>
      </c>
      <c r="K389" s="5" cm="1">
        <f t="array" ref="K389">_xlfn.STDEV.S(IF($C:$C=C389,$I:$I))</f>
        <v>5.3924507863027986E-2</v>
      </c>
      <c r="L389" s="7">
        <f t="shared" si="75"/>
        <v>-0.60435394400507469</v>
      </c>
      <c r="M389">
        <f t="shared" si="73"/>
        <v>1</v>
      </c>
      <c r="N389" s="9">
        <f t="shared" si="76"/>
        <v>0.1273010733345325</v>
      </c>
      <c r="O389">
        <f>COUNTIFS($B$2:B389,B389,$C$2:C389,C389,$D$2:D389,"&lt;"&amp;D389,$F$2:F389,1)</f>
        <v>5</v>
      </c>
      <c r="P389">
        <f t="shared" si="74"/>
        <v>-1</v>
      </c>
      <c r="Q389" t="str">
        <f t="shared" si="77"/>
        <v>Escalate / Bigger Fix</v>
      </c>
      <c r="R389">
        <v>1</v>
      </c>
      <c r="S389">
        <f t="shared" si="78"/>
        <v>-1</v>
      </c>
      <c r="T389">
        <f t="shared" si="79"/>
        <v>0</v>
      </c>
      <c r="U389" t="str">
        <f t="shared" si="80"/>
        <v>Not Improved Enough</v>
      </c>
      <c r="V389" t="str">
        <f t="shared" si="81"/>
        <v>Far</v>
      </c>
      <c r="W389" t="str">
        <f t="shared" si="82"/>
        <v>Abnormal</v>
      </c>
      <c r="X389" t="str">
        <f t="shared" si="83"/>
        <v>Maxed Out</v>
      </c>
    </row>
    <row r="390" spans="1:24" x14ac:dyDescent="0.3">
      <c r="A390" t="s">
        <v>10</v>
      </c>
      <c r="B390" t="s">
        <v>29</v>
      </c>
      <c r="C390" t="s">
        <v>12</v>
      </c>
      <c r="D390" s="3">
        <v>45777</v>
      </c>
      <c r="E390" s="6">
        <v>0.30585683297180039</v>
      </c>
      <c r="F390">
        <v>1</v>
      </c>
      <c r="G390" t="s">
        <v>13</v>
      </c>
      <c r="H390" s="6">
        <v>0.27</v>
      </c>
      <c r="I390" s="8">
        <v>-4.8806941431668773E-3</v>
      </c>
      <c r="J390" s="5">
        <f t="shared" si="72"/>
        <v>1.2504550363164104E-2</v>
      </c>
      <c r="K390" s="5" cm="1">
        <f t="array" ref="K390">_xlfn.STDEV.S(IF($C:$C=C390,$I:$I))</f>
        <v>5.3924507863027986E-2</v>
      </c>
      <c r="L390" s="7">
        <f t="shared" si="75"/>
        <v>-0.32239968792094897</v>
      </c>
      <c r="M390">
        <f t="shared" si="73"/>
        <v>0</v>
      </c>
      <c r="N390" s="9">
        <f t="shared" si="76"/>
        <v>0.13280308508074209</v>
      </c>
      <c r="O390">
        <f>COUNTIFS($B$2:B390,B390,$C$2:C390,C390,$D$2:D390,"&lt;"&amp;D390,$F$2:F390,1)</f>
        <v>6</v>
      </c>
      <c r="P390">
        <f t="shared" si="74"/>
        <v>-1</v>
      </c>
      <c r="Q390" t="str">
        <f t="shared" si="77"/>
        <v>Monitor</v>
      </c>
      <c r="R390">
        <v>1</v>
      </c>
      <c r="S390">
        <f t="shared" si="78"/>
        <v>0</v>
      </c>
      <c r="T390">
        <f t="shared" si="79"/>
        <v>0</v>
      </c>
      <c r="U390" t="str">
        <f t="shared" si="80"/>
        <v>Not Improved Enough</v>
      </c>
      <c r="V390" t="str">
        <f t="shared" si="81"/>
        <v>Far</v>
      </c>
      <c r="W390" t="str">
        <f t="shared" si="82"/>
        <v>Normal</v>
      </c>
      <c r="X390" t="str">
        <f t="shared" si="83"/>
        <v>Maxed Out</v>
      </c>
    </row>
    <row r="391" spans="1:24" x14ac:dyDescent="0.3">
      <c r="A391" t="s">
        <v>10</v>
      </c>
      <c r="B391" t="s">
        <v>29</v>
      </c>
      <c r="C391" t="s">
        <v>12</v>
      </c>
      <c r="D391" s="3">
        <v>45808</v>
      </c>
      <c r="E391" s="6">
        <v>0.2816593886462882</v>
      </c>
      <c r="F391">
        <v>1</v>
      </c>
      <c r="G391" t="s">
        <v>13</v>
      </c>
      <c r="H391" s="6">
        <v>0.27</v>
      </c>
      <c r="I391" s="8">
        <v>7.9113630028802256E-2</v>
      </c>
      <c r="J391" s="5">
        <f t="shared" si="72"/>
        <v>1.2504550363164104E-2</v>
      </c>
      <c r="K391" s="5" cm="1">
        <f t="array" ref="K391">_xlfn.STDEV.S(IF($C:$C=C391,$I:$I))</f>
        <v>5.3924507863027986E-2</v>
      </c>
      <c r="L391" s="7">
        <f t="shared" si="75"/>
        <v>1.2352283276247948</v>
      </c>
      <c r="M391">
        <f t="shared" si="73"/>
        <v>-1</v>
      </c>
      <c r="N391" s="9">
        <f t="shared" si="76"/>
        <v>4.318292091217845E-2</v>
      </c>
      <c r="O391">
        <f>COUNTIFS($B$2:B391,B391,$C$2:C391,C391,$D$2:D391,"&lt;"&amp;D391,$F$2:F391,1)</f>
        <v>7</v>
      </c>
      <c r="P391">
        <f t="shared" si="74"/>
        <v>1</v>
      </c>
      <c r="Q391" t="str">
        <f t="shared" si="77"/>
        <v>Monitor</v>
      </c>
      <c r="R391">
        <v>1</v>
      </c>
      <c r="S391">
        <f t="shared" si="78"/>
        <v>0</v>
      </c>
      <c r="T391">
        <f t="shared" si="79"/>
        <v>0</v>
      </c>
      <c r="U391" t="str">
        <f t="shared" si="80"/>
        <v>Improved Enough</v>
      </c>
      <c r="V391" t="str">
        <f t="shared" si="81"/>
        <v>Far</v>
      </c>
      <c r="W391" t="str">
        <f t="shared" si="82"/>
        <v>Normal</v>
      </c>
      <c r="X391" t="str">
        <f t="shared" si="83"/>
        <v>Maxed Out</v>
      </c>
    </row>
    <row r="392" spans="1:24" x14ac:dyDescent="0.3">
      <c r="A392" t="s">
        <v>10</v>
      </c>
      <c r="B392" t="s">
        <v>29</v>
      </c>
      <c r="C392" t="s">
        <v>12</v>
      </c>
      <c r="D392" s="3">
        <v>45838</v>
      </c>
      <c r="E392" s="6">
        <v>0.29480737018425462</v>
      </c>
      <c r="F392">
        <v>0</v>
      </c>
      <c r="G392" t="s">
        <v>13</v>
      </c>
      <c r="H392" s="6">
        <v>0.27</v>
      </c>
      <c r="I392" s="8">
        <v>-4.6680430576655989E-2</v>
      </c>
      <c r="J392" s="5">
        <f t="shared" si="72"/>
        <v>1.2504550363164104E-2</v>
      </c>
      <c r="K392" s="5" cm="1">
        <f t="array" ref="K392">_xlfn.STDEV.S(IF($C:$C=C392,$I:$I))</f>
        <v>5.3924507863027986E-2</v>
      </c>
      <c r="L392" s="7">
        <f t="shared" si="75"/>
        <v>-1.0975525467966083</v>
      </c>
      <c r="M392">
        <f t="shared" si="73"/>
        <v>1</v>
      </c>
      <c r="N392" s="9">
        <f t="shared" si="76"/>
        <v>9.1879148830572618E-2</v>
      </c>
      <c r="O392">
        <f>COUNTIFS($B$2:B392,B392,$C$2:C392,C392,$D$2:D392,"&lt;"&amp;D392,$F$2:F392,1)</f>
        <v>8</v>
      </c>
      <c r="P392">
        <f t="shared" si="74"/>
        <v>-1</v>
      </c>
      <c r="Q392" t="str">
        <f t="shared" si="77"/>
        <v>Escalate / Bigger Fix</v>
      </c>
      <c r="R392">
        <v>1</v>
      </c>
      <c r="S392">
        <f t="shared" si="78"/>
        <v>-1</v>
      </c>
      <c r="T392">
        <f t="shared" si="79"/>
        <v>0</v>
      </c>
      <c r="U392" t="str">
        <f t="shared" si="80"/>
        <v>Not Improved Enough</v>
      </c>
      <c r="V392" t="str">
        <f t="shared" si="81"/>
        <v>Far</v>
      </c>
      <c r="W392" t="str">
        <f t="shared" si="82"/>
        <v>Abnormal</v>
      </c>
      <c r="X392" t="str">
        <f t="shared" si="83"/>
        <v>Maxed Out</v>
      </c>
    </row>
    <row r="393" spans="1:24" x14ac:dyDescent="0.3">
      <c r="A393" t="s">
        <v>10</v>
      </c>
      <c r="B393" t="s">
        <v>29</v>
      </c>
      <c r="C393" t="s">
        <v>12</v>
      </c>
      <c r="D393" s="3">
        <v>45869</v>
      </c>
      <c r="E393" s="6">
        <v>0.287835522558538</v>
      </c>
      <c r="F393">
        <v>0</v>
      </c>
      <c r="G393" t="s">
        <v>13</v>
      </c>
      <c r="H393" s="6">
        <v>0.27</v>
      </c>
      <c r="I393" s="8">
        <v>2.3648824048595581E-2</v>
      </c>
      <c r="J393" s="5">
        <f t="shared" si="72"/>
        <v>1.2504550363164104E-2</v>
      </c>
      <c r="K393" s="5" cm="1">
        <f t="array" ref="K393">_xlfn.STDEV.S(IF($C:$C=C393,$I:$I))</f>
        <v>5.3924507863027986E-2</v>
      </c>
      <c r="L393" s="7">
        <f t="shared" si="75"/>
        <v>0.20666435591287563</v>
      </c>
      <c r="M393">
        <f t="shared" si="73"/>
        <v>0</v>
      </c>
      <c r="N393" s="9">
        <f t="shared" si="76"/>
        <v>6.6057490957548093E-2</v>
      </c>
      <c r="O393">
        <f>COUNTIFS($B$2:B393,B393,$C$2:C393,C393,$D$2:D393,"&lt;"&amp;D393,$F$2:F393,1)</f>
        <v>8</v>
      </c>
      <c r="P393">
        <f t="shared" si="74"/>
        <v>0</v>
      </c>
      <c r="Q393" t="str">
        <f t="shared" si="77"/>
        <v>Monitor</v>
      </c>
      <c r="R393">
        <v>0</v>
      </c>
      <c r="S393">
        <f t="shared" si="78"/>
        <v>0</v>
      </c>
      <c r="T393">
        <f t="shared" si="79"/>
        <v>0</v>
      </c>
      <c r="U393" t="str">
        <f t="shared" si="80"/>
        <v>Improved Enough</v>
      </c>
      <c r="V393" t="str">
        <f t="shared" si="81"/>
        <v>Far</v>
      </c>
      <c r="W393" t="str">
        <f t="shared" si="82"/>
        <v>Normal</v>
      </c>
      <c r="X393" t="str">
        <f t="shared" si="83"/>
        <v>Maxed Out</v>
      </c>
    </row>
    <row r="394" spans="1:24" x14ac:dyDescent="0.3">
      <c r="A394" t="s">
        <v>10</v>
      </c>
      <c r="B394" t="s">
        <v>29</v>
      </c>
      <c r="C394" t="s">
        <v>12</v>
      </c>
      <c r="D394" s="3">
        <v>45900</v>
      </c>
      <c r="E394" s="6">
        <v>0.25366999412800939</v>
      </c>
      <c r="F394">
        <v>0</v>
      </c>
      <c r="G394" t="s">
        <v>13</v>
      </c>
      <c r="H394" s="6">
        <v>0.27</v>
      </c>
      <c r="I394" s="8">
        <v>0.1186980957973325</v>
      </c>
      <c r="J394" s="5">
        <f t="shared" si="72"/>
        <v>1.2504550363164104E-2</v>
      </c>
      <c r="K394" s="5" cm="1">
        <f t="array" ref="K394">_xlfn.STDEV.S(IF($C:$C=C394,$I:$I))</f>
        <v>5.3924507863027986E-2</v>
      </c>
      <c r="L394" s="7">
        <f t="shared" si="75"/>
        <v>1.9693002243786335</v>
      </c>
      <c r="M394">
        <f t="shared" si="73"/>
        <v>-1</v>
      </c>
      <c r="N394" s="9">
        <f t="shared" si="76"/>
        <v>-6.0481503229594911E-2</v>
      </c>
      <c r="O394">
        <f>COUNTIFS($B$2:B394,B394,$C$2:C394,C394,$D$2:D394,"&lt;"&amp;D394,$F$2:F394,1)</f>
        <v>8</v>
      </c>
      <c r="P394">
        <f t="shared" si="74"/>
        <v>0</v>
      </c>
      <c r="Q394" t="str">
        <f t="shared" si="77"/>
        <v>Monitor</v>
      </c>
      <c r="R394">
        <v>0</v>
      </c>
      <c r="S394">
        <f t="shared" si="78"/>
        <v>0</v>
      </c>
      <c r="T394">
        <f t="shared" si="79"/>
        <v>0</v>
      </c>
      <c r="U394" t="str">
        <f t="shared" si="80"/>
        <v>Improved Enough</v>
      </c>
      <c r="V394" t="str">
        <f t="shared" si="81"/>
        <v>Close</v>
      </c>
      <c r="W394" t="str">
        <f t="shared" si="82"/>
        <v>Normal</v>
      </c>
      <c r="X394" t="str">
        <f t="shared" si="83"/>
        <v>Maxed Out</v>
      </c>
    </row>
    <row r="395" spans="1:24" x14ac:dyDescent="0.3">
      <c r="A395" t="s">
        <v>10</v>
      </c>
      <c r="B395" t="s">
        <v>29</v>
      </c>
      <c r="C395" t="s">
        <v>12</v>
      </c>
      <c r="D395" s="3">
        <v>45930</v>
      </c>
      <c r="E395" s="6">
        <v>0.24757281553398061</v>
      </c>
      <c r="F395">
        <v>0</v>
      </c>
      <c r="G395" t="s">
        <v>13</v>
      </c>
      <c r="H395" s="6">
        <v>0.27</v>
      </c>
      <c r="I395" s="8">
        <v>2.4035868392664379E-2</v>
      </c>
      <c r="J395" s="5">
        <f t="shared" si="72"/>
        <v>1.2504550363164104E-2</v>
      </c>
      <c r="K395" s="5" cm="1">
        <f t="array" ref="K395">_xlfn.STDEV.S(IF($C:$C=C395,$I:$I))</f>
        <v>5.3924507863027986E-2</v>
      </c>
      <c r="L395" s="7">
        <f t="shared" si="75"/>
        <v>0.21384187796002935</v>
      </c>
      <c r="M395">
        <f t="shared" si="73"/>
        <v>0</v>
      </c>
      <c r="N395" s="9">
        <f t="shared" si="76"/>
        <v>-8.3063646170442235E-2</v>
      </c>
      <c r="O395">
        <f>COUNTIFS($B$2:B395,B395,$C$2:C395,C395,$D$2:D395,"&lt;"&amp;D395,$F$2:F395,1)</f>
        <v>8</v>
      </c>
      <c r="P395">
        <f t="shared" si="74"/>
        <v>0</v>
      </c>
      <c r="Q395" t="str">
        <f t="shared" si="77"/>
        <v>Monitor</v>
      </c>
      <c r="R395">
        <v>0</v>
      </c>
      <c r="S395">
        <f t="shared" si="78"/>
        <v>0</v>
      </c>
      <c r="T395">
        <f t="shared" si="79"/>
        <v>0</v>
      </c>
      <c r="U395" t="str">
        <f t="shared" si="80"/>
        <v>Improved Enough</v>
      </c>
      <c r="V395" t="str">
        <f t="shared" si="81"/>
        <v>Close</v>
      </c>
      <c r="W395" t="str">
        <f t="shared" si="82"/>
        <v>Normal</v>
      </c>
      <c r="X395" t="str">
        <f t="shared" si="83"/>
        <v>Maxed Out</v>
      </c>
    </row>
    <row r="396" spans="1:24" x14ac:dyDescent="0.3">
      <c r="A396" t="s">
        <v>10</v>
      </c>
      <c r="B396" t="s">
        <v>29</v>
      </c>
      <c r="C396" t="s">
        <v>12</v>
      </c>
      <c r="D396" s="3">
        <v>45961</v>
      </c>
      <c r="E396" s="6">
        <v>0.25579937304075229</v>
      </c>
      <c r="F396">
        <v>0</v>
      </c>
      <c r="G396" t="s">
        <v>13</v>
      </c>
      <c r="H396" s="6">
        <v>0.27</v>
      </c>
      <c r="I396" s="8">
        <v>-3.3228840125391471E-2</v>
      </c>
      <c r="J396" s="5">
        <f t="shared" si="72"/>
        <v>1.2504550363164104E-2</v>
      </c>
      <c r="K396" s="5" cm="1">
        <f t="array" ref="K396">_xlfn.STDEV.S(IF($C:$C=C396,$I:$I))</f>
        <v>5.3924507863027986E-2</v>
      </c>
      <c r="L396" s="7">
        <f t="shared" si="75"/>
        <v>-0.8481002850266447</v>
      </c>
      <c r="M396">
        <f t="shared" si="73"/>
        <v>1</v>
      </c>
      <c r="N396" s="9">
        <f t="shared" si="76"/>
        <v>-5.2594914663880478E-2</v>
      </c>
      <c r="O396">
        <f>COUNTIFS($B$2:B396,B396,$C$2:C396,C396,$D$2:D396,"&lt;"&amp;D396,$F$2:F396,1)</f>
        <v>8</v>
      </c>
      <c r="P396">
        <f t="shared" si="74"/>
        <v>0</v>
      </c>
      <c r="Q396" t="str">
        <f t="shared" si="77"/>
        <v>Monitor</v>
      </c>
      <c r="R396">
        <v>0</v>
      </c>
      <c r="S396">
        <f t="shared" si="78"/>
        <v>0</v>
      </c>
      <c r="T396">
        <f t="shared" si="79"/>
        <v>0</v>
      </c>
      <c r="U396" t="str">
        <f t="shared" si="80"/>
        <v>Not Improved Enough</v>
      </c>
      <c r="V396" t="str">
        <f t="shared" si="81"/>
        <v>Close</v>
      </c>
      <c r="W396" t="str">
        <f t="shared" si="82"/>
        <v>Abnormal</v>
      </c>
      <c r="X396" t="str">
        <f t="shared" si="83"/>
        <v>Maxed Out</v>
      </c>
    </row>
    <row r="397" spans="1:24" x14ac:dyDescent="0.3">
      <c r="A397" t="s">
        <v>10</v>
      </c>
      <c r="B397" t="s">
        <v>29</v>
      </c>
      <c r="C397" t="s">
        <v>12</v>
      </c>
      <c r="D397" s="3">
        <v>45991</v>
      </c>
      <c r="E397" s="6">
        <v>0.2574772431729519</v>
      </c>
      <c r="F397">
        <v>0</v>
      </c>
      <c r="G397" t="s">
        <v>13</v>
      </c>
      <c r="H397" s="6">
        <v>0.27</v>
      </c>
      <c r="I397" s="8">
        <v>-6.5593207373979886E-3</v>
      </c>
      <c r="J397" s="5">
        <f t="shared" si="72"/>
        <v>1.2504550363164104E-2</v>
      </c>
      <c r="K397" s="5" cm="1">
        <f t="array" ref="K397">_xlfn.STDEV.S(IF($C:$C=C397,$I:$I))</f>
        <v>5.3924507863027986E-2</v>
      </c>
      <c r="L397" s="7">
        <f t="shared" si="75"/>
        <v>-0.35352888428737556</v>
      </c>
      <c r="M397">
        <f t="shared" si="73"/>
        <v>0</v>
      </c>
      <c r="N397" s="9">
        <f t="shared" si="76"/>
        <v>-4.6380580840918964E-2</v>
      </c>
      <c r="O397">
        <f>COUNTIFS($B$2:B397,B397,$C$2:C397,C397,$D$2:D397,"&lt;"&amp;D397,$F$2:F397,1)</f>
        <v>8</v>
      </c>
      <c r="P397">
        <f t="shared" si="74"/>
        <v>0</v>
      </c>
      <c r="Q397" t="str">
        <f t="shared" si="77"/>
        <v>Monitor</v>
      </c>
      <c r="R397">
        <v>0</v>
      </c>
      <c r="S397">
        <f t="shared" si="78"/>
        <v>0</v>
      </c>
      <c r="T397">
        <f t="shared" si="79"/>
        <v>0</v>
      </c>
      <c r="U397" t="str">
        <f t="shared" si="80"/>
        <v>Not Improved Enough</v>
      </c>
      <c r="V397" t="str">
        <f t="shared" si="81"/>
        <v>Close</v>
      </c>
      <c r="W397" t="str">
        <f t="shared" si="82"/>
        <v>Normal</v>
      </c>
      <c r="X397" t="str">
        <f t="shared" si="83"/>
        <v>Maxed Out</v>
      </c>
    </row>
    <row r="398" spans="1:24" x14ac:dyDescent="0.3">
      <c r="A398" t="s">
        <v>10</v>
      </c>
      <c r="B398" t="s">
        <v>29</v>
      </c>
      <c r="C398" t="s">
        <v>14</v>
      </c>
      <c r="D398" s="3">
        <v>45535</v>
      </c>
      <c r="E398" s="6">
        <v>7.01468189233279E-2</v>
      </c>
      <c r="F398">
        <v>1</v>
      </c>
      <c r="G398" t="s">
        <v>13</v>
      </c>
      <c r="H398" s="6">
        <v>5.3999999999999999E-2</v>
      </c>
      <c r="I398" s="8">
        <v>-2.380952380952386E-2</v>
      </c>
      <c r="J398" s="5">
        <f t="shared" si="72"/>
        <v>1.0109678696460058E-2</v>
      </c>
      <c r="K398" s="5" cm="1">
        <f t="array" ref="K398">_xlfn.STDEV.S(IF($C:$C=C398,$I:$I))</f>
        <v>0.17556416633612926</v>
      </c>
      <c r="L398" s="7">
        <f t="shared" si="75"/>
        <v>-0.19320117091003269</v>
      </c>
      <c r="M398">
        <f t="shared" si="73"/>
        <v>0</v>
      </c>
      <c r="N398" s="9">
        <f t="shared" si="76"/>
        <v>0.29901516524681299</v>
      </c>
      <c r="O398">
        <f>COUNTIFS($B$2:B398,B398,$C$2:C398,C398,$D$2:D398,"&lt;"&amp;D398,$F$2:F398,1)</f>
        <v>0</v>
      </c>
      <c r="P398">
        <f t="shared" si="74"/>
        <v>0</v>
      </c>
      <c r="Q398" t="str">
        <f t="shared" si="77"/>
        <v>Monitor</v>
      </c>
      <c r="R398">
        <v>0</v>
      </c>
      <c r="S398">
        <f t="shared" si="78"/>
        <v>0</v>
      </c>
      <c r="T398">
        <f t="shared" si="79"/>
        <v>0</v>
      </c>
      <c r="U398" t="str">
        <f t="shared" si="80"/>
        <v>Not Improved Enough</v>
      </c>
      <c r="V398" t="str">
        <f t="shared" si="81"/>
        <v>Far</v>
      </c>
      <c r="W398" t="str">
        <f t="shared" si="82"/>
        <v>Normal</v>
      </c>
      <c r="X398" t="str">
        <f t="shared" si="83"/>
        <v>Allowed</v>
      </c>
    </row>
    <row r="399" spans="1:24" x14ac:dyDescent="0.3">
      <c r="A399" t="s">
        <v>10</v>
      </c>
      <c r="B399" t="s">
        <v>29</v>
      </c>
      <c r="C399" t="s">
        <v>14</v>
      </c>
      <c r="D399" s="3">
        <v>45565</v>
      </c>
      <c r="E399" s="6">
        <v>7.7046548956661312E-2</v>
      </c>
      <c r="F399">
        <v>1</v>
      </c>
      <c r="G399" t="s">
        <v>13</v>
      </c>
      <c r="H399" s="6">
        <v>5.3999999999999999E-2</v>
      </c>
      <c r="I399" s="8">
        <v>-9.8361267684497239E-2</v>
      </c>
      <c r="J399" s="5">
        <f t="shared" si="72"/>
        <v>1.0109678696460058E-2</v>
      </c>
      <c r="K399" s="5" cm="1">
        <f t="array" ref="K399">_xlfn.STDEV.S(IF($C:$C=C399,$I:$I))</f>
        <v>0.17556416633612926</v>
      </c>
      <c r="L399" s="7">
        <f t="shared" si="75"/>
        <v>-0.61784217499875493</v>
      </c>
      <c r="M399">
        <f t="shared" si="73"/>
        <v>1</v>
      </c>
      <c r="N399" s="9">
        <f t="shared" si="76"/>
        <v>0.42678794364187617</v>
      </c>
      <c r="O399">
        <f>COUNTIFS($B$2:B399,B399,$C$2:C399,C399,$D$2:D399,"&lt;"&amp;D399,$F$2:F399,1)</f>
        <v>1</v>
      </c>
      <c r="P399">
        <f t="shared" si="74"/>
        <v>-1</v>
      </c>
      <c r="Q399" t="str">
        <f t="shared" si="77"/>
        <v>Intervene</v>
      </c>
      <c r="R399">
        <v>1</v>
      </c>
      <c r="S399">
        <f t="shared" si="78"/>
        <v>1</v>
      </c>
      <c r="T399">
        <f t="shared" si="79"/>
        <v>1</v>
      </c>
      <c r="U399" t="str">
        <f t="shared" si="80"/>
        <v>Not Improved Enough</v>
      </c>
      <c r="V399" t="str">
        <f t="shared" si="81"/>
        <v>Far</v>
      </c>
      <c r="W399" t="str">
        <f t="shared" si="82"/>
        <v>Abnormal</v>
      </c>
      <c r="X399" t="str">
        <f t="shared" si="83"/>
        <v>Allowed</v>
      </c>
    </row>
    <row r="400" spans="1:24" x14ac:dyDescent="0.3">
      <c r="A400" t="s">
        <v>10</v>
      </c>
      <c r="B400" t="s">
        <v>29</v>
      </c>
      <c r="C400" t="s">
        <v>14</v>
      </c>
      <c r="D400" s="3">
        <v>45596</v>
      </c>
      <c r="E400" s="6">
        <v>6.354515050167224E-2</v>
      </c>
      <c r="F400">
        <v>1</v>
      </c>
      <c r="G400" t="s">
        <v>13</v>
      </c>
      <c r="H400" s="6">
        <v>5.3999999999999999E-2</v>
      </c>
      <c r="I400" s="8">
        <v>0.17523690078037901</v>
      </c>
      <c r="J400" s="5">
        <f t="shared" si="72"/>
        <v>1.0109678696460058E-2</v>
      </c>
      <c r="K400" s="5" cm="1">
        <f t="array" ref="K400">_xlfn.STDEV.S(IF($C:$C=C400,$I:$I))</f>
        <v>0.17556416633612926</v>
      </c>
      <c r="L400" s="7">
        <f t="shared" si="75"/>
        <v>0.94055196757960224</v>
      </c>
      <c r="M400">
        <f t="shared" si="73"/>
        <v>-1</v>
      </c>
      <c r="N400" s="9">
        <f t="shared" si="76"/>
        <v>0.17676204632726372</v>
      </c>
      <c r="O400">
        <f>COUNTIFS($B$2:B400,B400,$C$2:C400,C400,$D$2:D400,"&lt;"&amp;D400,$F$2:F400,1)</f>
        <v>2</v>
      </c>
      <c r="P400">
        <f t="shared" si="74"/>
        <v>1</v>
      </c>
      <c r="Q400" t="str">
        <f t="shared" si="77"/>
        <v>Monitor</v>
      </c>
      <c r="R400">
        <v>1</v>
      </c>
      <c r="S400">
        <f t="shared" si="78"/>
        <v>0</v>
      </c>
      <c r="T400">
        <f t="shared" si="79"/>
        <v>0</v>
      </c>
      <c r="U400" t="str">
        <f t="shared" si="80"/>
        <v>Improved Enough</v>
      </c>
      <c r="V400" t="str">
        <f t="shared" si="81"/>
        <v>Far</v>
      </c>
      <c r="W400" t="str">
        <f t="shared" si="82"/>
        <v>Normal</v>
      </c>
      <c r="X400" t="str">
        <f t="shared" si="83"/>
        <v>Allowed</v>
      </c>
    </row>
    <row r="401" spans="1:24" x14ac:dyDescent="0.3">
      <c r="A401" t="s">
        <v>10</v>
      </c>
      <c r="B401" t="s">
        <v>29</v>
      </c>
      <c r="C401" t="s">
        <v>14</v>
      </c>
      <c r="D401" s="3">
        <v>45626</v>
      </c>
      <c r="E401" s="6">
        <v>6.3741722000000001E-2</v>
      </c>
      <c r="F401">
        <v>0</v>
      </c>
      <c r="G401" t="s">
        <v>13</v>
      </c>
      <c r="H401" s="6">
        <v>5.3999999999999999E-2</v>
      </c>
      <c r="I401" s="8">
        <v>-3.0934146315789689E-3</v>
      </c>
      <c r="J401" s="5">
        <f t="shared" si="72"/>
        <v>1.0109678696460058E-2</v>
      </c>
      <c r="K401" s="5" cm="1">
        <f t="array" ref="K401">_xlfn.STDEV.S(IF($C:$C=C401,$I:$I))</f>
        <v>0.17556416633612926</v>
      </c>
      <c r="L401" s="7">
        <f t="shared" si="75"/>
        <v>-7.5203804988090955E-2</v>
      </c>
      <c r="M401">
        <f t="shared" si="73"/>
        <v>0</v>
      </c>
      <c r="N401" s="9">
        <f t="shared" si="76"/>
        <v>0.18040225925925929</v>
      </c>
      <c r="O401">
        <f>COUNTIFS($B$2:B401,B401,$C$2:C401,C401,$D$2:D401,"&lt;"&amp;D401,$F$2:F401,1)</f>
        <v>3</v>
      </c>
      <c r="P401">
        <f t="shared" si="74"/>
        <v>-1</v>
      </c>
      <c r="Q401" t="str">
        <f t="shared" si="77"/>
        <v>Monitor</v>
      </c>
      <c r="R401">
        <v>1</v>
      </c>
      <c r="S401">
        <f t="shared" si="78"/>
        <v>0</v>
      </c>
      <c r="T401">
        <f t="shared" si="79"/>
        <v>0</v>
      </c>
      <c r="U401" t="str">
        <f t="shared" si="80"/>
        <v>Not Improved Enough</v>
      </c>
      <c r="V401" t="str">
        <f t="shared" si="81"/>
        <v>Far</v>
      </c>
      <c r="W401" t="str">
        <f t="shared" si="82"/>
        <v>Normal</v>
      </c>
      <c r="X401" t="str">
        <f t="shared" si="83"/>
        <v>Allowed</v>
      </c>
    </row>
    <row r="402" spans="1:24" x14ac:dyDescent="0.3">
      <c r="A402" t="s">
        <v>10</v>
      </c>
      <c r="B402" t="s">
        <v>29</v>
      </c>
      <c r="C402" t="s">
        <v>14</v>
      </c>
      <c r="D402" s="3">
        <v>45657</v>
      </c>
      <c r="E402" s="6">
        <v>6.5560165975103737E-2</v>
      </c>
      <c r="F402">
        <v>1</v>
      </c>
      <c r="G402" t="s">
        <v>13</v>
      </c>
      <c r="H402" s="6">
        <v>5.3999999999999999E-2</v>
      </c>
      <c r="I402" s="8">
        <v>-2.8528315803952341E-2</v>
      </c>
      <c r="J402" s="5">
        <f t="shared" si="72"/>
        <v>1.0109678696460058E-2</v>
      </c>
      <c r="K402" s="5" cm="1">
        <f t="array" ref="K402">_xlfn.STDEV.S(IF($C:$C=C402,$I:$I))</f>
        <v>0.17556416633612926</v>
      </c>
      <c r="L402" s="7">
        <f t="shared" si="75"/>
        <v>-0.22007904748875345</v>
      </c>
      <c r="M402">
        <f t="shared" si="73"/>
        <v>0</v>
      </c>
      <c r="N402" s="9">
        <f t="shared" si="76"/>
        <v>0.21407714768710626</v>
      </c>
      <c r="O402">
        <f>COUNTIFS($B$2:B402,B402,$C$2:C402,C402,$D$2:D402,"&lt;"&amp;D402,$F$2:F402,1)</f>
        <v>3</v>
      </c>
      <c r="P402">
        <f t="shared" si="74"/>
        <v>0</v>
      </c>
      <c r="Q402" t="str">
        <f t="shared" si="77"/>
        <v>Monitor</v>
      </c>
      <c r="R402">
        <v>0</v>
      </c>
      <c r="S402">
        <f t="shared" si="78"/>
        <v>0</v>
      </c>
      <c r="T402">
        <f t="shared" si="79"/>
        <v>0</v>
      </c>
      <c r="U402" t="str">
        <f t="shared" si="80"/>
        <v>Not Improved Enough</v>
      </c>
      <c r="V402" t="str">
        <f t="shared" si="81"/>
        <v>Far</v>
      </c>
      <c r="W402" t="str">
        <f t="shared" si="82"/>
        <v>Normal</v>
      </c>
      <c r="X402" t="str">
        <f t="shared" si="83"/>
        <v>Allowed</v>
      </c>
    </row>
    <row r="403" spans="1:24" x14ac:dyDescent="0.3">
      <c r="A403" t="s">
        <v>10</v>
      </c>
      <c r="B403" t="s">
        <v>29</v>
      </c>
      <c r="C403" t="s">
        <v>14</v>
      </c>
      <c r="D403" s="3">
        <v>45688</v>
      </c>
      <c r="E403" s="6">
        <v>6.7880794701986755E-2</v>
      </c>
      <c r="F403">
        <v>0</v>
      </c>
      <c r="G403" t="s">
        <v>13</v>
      </c>
      <c r="H403" s="6">
        <v>5.3999999999999999E-2</v>
      </c>
      <c r="I403" s="8">
        <v>-3.5396931846759953E-2</v>
      </c>
      <c r="J403" s="5">
        <f t="shared" si="72"/>
        <v>1.0109678696460058E-2</v>
      </c>
      <c r="K403" s="5" cm="1">
        <f t="array" ref="K403">_xlfn.STDEV.S(IF($C:$C=C403,$I:$I))</f>
        <v>0.17556416633612926</v>
      </c>
      <c r="L403" s="7">
        <f t="shared" si="75"/>
        <v>-0.25920215664109147</v>
      </c>
      <c r="M403">
        <f t="shared" si="73"/>
        <v>0</v>
      </c>
      <c r="N403" s="9">
        <f t="shared" si="76"/>
        <v>0.25705175374049549</v>
      </c>
      <c r="O403">
        <f>COUNTIFS($B$2:B403,B403,$C$2:C403,C403,$D$2:D403,"&lt;"&amp;D403,$F$2:F403,1)</f>
        <v>4</v>
      </c>
      <c r="P403">
        <f t="shared" si="74"/>
        <v>-1</v>
      </c>
      <c r="Q403" t="str">
        <f t="shared" si="77"/>
        <v>Monitor</v>
      </c>
      <c r="R403">
        <v>1</v>
      </c>
      <c r="S403">
        <f t="shared" si="78"/>
        <v>0</v>
      </c>
      <c r="T403">
        <f t="shared" si="79"/>
        <v>0</v>
      </c>
      <c r="U403" t="str">
        <f t="shared" si="80"/>
        <v>Not Improved Enough</v>
      </c>
      <c r="V403" t="str">
        <f t="shared" si="81"/>
        <v>Far</v>
      </c>
      <c r="W403" t="str">
        <f t="shared" si="82"/>
        <v>Normal</v>
      </c>
      <c r="X403" t="str">
        <f t="shared" si="83"/>
        <v>Allowed</v>
      </c>
    </row>
    <row r="404" spans="1:24" x14ac:dyDescent="0.3">
      <c r="A404" t="s">
        <v>10</v>
      </c>
      <c r="B404" t="s">
        <v>29</v>
      </c>
      <c r="C404" t="s">
        <v>14</v>
      </c>
      <c r="D404" s="3">
        <v>45716</v>
      </c>
      <c r="E404" s="6">
        <v>6.4489112227805692E-2</v>
      </c>
      <c r="F404">
        <v>0</v>
      </c>
      <c r="G404" t="s">
        <v>13</v>
      </c>
      <c r="H404" s="6">
        <v>5.3999999999999999E-2</v>
      </c>
      <c r="I404" s="8">
        <v>4.9965273522081993E-2</v>
      </c>
      <c r="J404" s="5">
        <f t="shared" si="72"/>
        <v>1.0109678696460058E-2</v>
      </c>
      <c r="K404" s="5" cm="1">
        <f t="array" ref="K404">_xlfn.STDEV.S(IF($C:$C=C404,$I:$I))</f>
        <v>0.17556416633612926</v>
      </c>
      <c r="L404" s="7">
        <f t="shared" si="75"/>
        <v>0.22701440537310871</v>
      </c>
      <c r="M404">
        <f t="shared" si="73"/>
        <v>0</v>
      </c>
      <c r="N404" s="9">
        <f t="shared" si="76"/>
        <v>0.19424281903343876</v>
      </c>
      <c r="O404">
        <f>COUNTIFS($B$2:B404,B404,$C$2:C404,C404,$D$2:D404,"&lt;"&amp;D404,$F$2:F404,1)</f>
        <v>4</v>
      </c>
      <c r="P404">
        <f t="shared" si="74"/>
        <v>0</v>
      </c>
      <c r="Q404" t="str">
        <f t="shared" si="77"/>
        <v>Monitor</v>
      </c>
      <c r="R404">
        <v>0</v>
      </c>
      <c r="S404">
        <f t="shared" si="78"/>
        <v>0</v>
      </c>
      <c r="T404">
        <f t="shared" si="79"/>
        <v>0</v>
      </c>
      <c r="U404" t="str">
        <f t="shared" si="80"/>
        <v>Improved Enough</v>
      </c>
      <c r="V404" t="str">
        <f t="shared" si="81"/>
        <v>Far</v>
      </c>
      <c r="W404" t="str">
        <f t="shared" si="82"/>
        <v>Normal</v>
      </c>
      <c r="X404" t="str">
        <f t="shared" si="83"/>
        <v>Allowed</v>
      </c>
    </row>
    <row r="405" spans="1:24" x14ac:dyDescent="0.3">
      <c r="A405" t="s">
        <v>10</v>
      </c>
      <c r="B405" t="s">
        <v>29</v>
      </c>
      <c r="C405" t="s">
        <v>14</v>
      </c>
      <c r="D405" s="3">
        <v>45747</v>
      </c>
      <c r="E405" s="6">
        <v>6.9051580698835269E-2</v>
      </c>
      <c r="F405">
        <v>1</v>
      </c>
      <c r="G405" t="s">
        <v>13</v>
      </c>
      <c r="H405" s="6">
        <v>5.3999999999999999E-2</v>
      </c>
      <c r="I405" s="8">
        <v>-7.0747887719601485E-2</v>
      </c>
      <c r="J405" s="5">
        <f t="shared" si="72"/>
        <v>1.0109678696460058E-2</v>
      </c>
      <c r="K405" s="5" cm="1">
        <f t="array" ref="K405">_xlfn.STDEV.S(IF($C:$C=C405,$I:$I))</f>
        <v>0.17556416633612926</v>
      </c>
      <c r="L405" s="7">
        <f t="shared" si="75"/>
        <v>-0.46055848470384531</v>
      </c>
      <c r="M405">
        <f t="shared" si="73"/>
        <v>0</v>
      </c>
      <c r="N405" s="9">
        <f t="shared" si="76"/>
        <v>0.27873297590435686</v>
      </c>
      <c r="O405">
        <f>COUNTIFS($B$2:B405,B405,$C$2:C405,C405,$D$2:D405,"&lt;"&amp;D405,$F$2:F405,1)</f>
        <v>4</v>
      </c>
      <c r="P405">
        <f t="shared" si="74"/>
        <v>0</v>
      </c>
      <c r="Q405" t="str">
        <f t="shared" si="77"/>
        <v>Monitor</v>
      </c>
      <c r="R405">
        <v>0</v>
      </c>
      <c r="S405">
        <f t="shared" si="78"/>
        <v>0</v>
      </c>
      <c r="T405">
        <f t="shared" si="79"/>
        <v>0</v>
      </c>
      <c r="U405" t="str">
        <f t="shared" si="80"/>
        <v>Not Improved Enough</v>
      </c>
      <c r="V405" t="str">
        <f t="shared" si="81"/>
        <v>Far</v>
      </c>
      <c r="W405" t="str">
        <f t="shared" si="82"/>
        <v>Normal</v>
      </c>
      <c r="X405" t="str">
        <f t="shared" si="83"/>
        <v>Allowed</v>
      </c>
    </row>
    <row r="406" spans="1:24" x14ac:dyDescent="0.3">
      <c r="A406" t="s">
        <v>10</v>
      </c>
      <c r="B406" t="s">
        <v>29</v>
      </c>
      <c r="C406" t="s">
        <v>14</v>
      </c>
      <c r="D406" s="3">
        <v>45777</v>
      </c>
      <c r="E406" s="6">
        <v>6.7612687813021696E-2</v>
      </c>
      <c r="F406">
        <v>1</v>
      </c>
      <c r="G406" t="s">
        <v>13</v>
      </c>
      <c r="H406" s="6">
        <v>5.3999999999999999E-2</v>
      </c>
      <c r="I406" s="8">
        <v>2.083794275599897E-2</v>
      </c>
      <c r="J406" s="5">
        <f t="shared" si="72"/>
        <v>1.0109678696460058E-2</v>
      </c>
      <c r="K406" s="5" cm="1">
        <f t="array" ref="K406">_xlfn.STDEV.S(IF($C:$C=C406,$I:$I))</f>
        <v>0.17556416633612926</v>
      </c>
      <c r="L406" s="7">
        <f t="shared" si="75"/>
        <v>6.1107367656102085E-2</v>
      </c>
      <c r="M406">
        <f t="shared" si="73"/>
        <v>0</v>
      </c>
      <c r="N406" s="9">
        <f t="shared" si="76"/>
        <v>0.25208681135225364</v>
      </c>
      <c r="O406">
        <f>COUNTIFS($B$2:B406,B406,$C$2:C406,C406,$D$2:D406,"&lt;"&amp;D406,$F$2:F406,1)</f>
        <v>5</v>
      </c>
      <c r="P406">
        <f t="shared" si="74"/>
        <v>1</v>
      </c>
      <c r="Q406" t="str">
        <f t="shared" si="77"/>
        <v>Monitor</v>
      </c>
      <c r="R406">
        <v>1</v>
      </c>
      <c r="S406">
        <f t="shared" si="78"/>
        <v>0</v>
      </c>
      <c r="T406">
        <f t="shared" si="79"/>
        <v>0</v>
      </c>
      <c r="U406" t="str">
        <f t="shared" si="80"/>
        <v>Improved Enough</v>
      </c>
      <c r="V406" t="str">
        <f t="shared" si="81"/>
        <v>Far</v>
      </c>
      <c r="W406" t="str">
        <f t="shared" si="82"/>
        <v>Normal</v>
      </c>
      <c r="X406" t="str">
        <f t="shared" si="83"/>
        <v>Maxed Out</v>
      </c>
    </row>
    <row r="407" spans="1:24" x14ac:dyDescent="0.3">
      <c r="A407" t="s">
        <v>10</v>
      </c>
      <c r="B407" t="s">
        <v>29</v>
      </c>
      <c r="C407" t="s">
        <v>14</v>
      </c>
      <c r="D407" s="3">
        <v>45808</v>
      </c>
      <c r="E407" s="6">
        <v>6.4080944350758853E-2</v>
      </c>
      <c r="F407">
        <v>1</v>
      </c>
      <c r="G407" t="s">
        <v>13</v>
      </c>
      <c r="H407" s="6">
        <v>5.3999999999999999E-2</v>
      </c>
      <c r="I407" s="8">
        <v>5.2234921824578853E-2</v>
      </c>
      <c r="J407" s="5">
        <f t="shared" si="72"/>
        <v>1.0109678696460058E-2</v>
      </c>
      <c r="K407" s="5" cm="1">
        <f t="array" ref="K407">_xlfn.STDEV.S(IF($C:$C=C407,$I:$I))</f>
        <v>0.17556416633612926</v>
      </c>
      <c r="L407" s="7">
        <f t="shared" si="75"/>
        <v>0.23994214769013408</v>
      </c>
      <c r="M407">
        <f t="shared" si="73"/>
        <v>0</v>
      </c>
      <c r="N407" s="9">
        <f t="shared" si="76"/>
        <v>0.18668415464368249</v>
      </c>
      <c r="O407">
        <f>COUNTIFS($B$2:B407,B407,$C$2:C407,C407,$D$2:D407,"&lt;"&amp;D407,$F$2:F407,1)</f>
        <v>6</v>
      </c>
      <c r="P407">
        <f t="shared" si="74"/>
        <v>1</v>
      </c>
      <c r="Q407" t="str">
        <f t="shared" si="77"/>
        <v>Monitor</v>
      </c>
      <c r="R407">
        <v>1</v>
      </c>
      <c r="S407">
        <f t="shared" si="78"/>
        <v>0</v>
      </c>
      <c r="T407">
        <f t="shared" si="79"/>
        <v>0</v>
      </c>
      <c r="U407" t="str">
        <f t="shared" si="80"/>
        <v>Improved Enough</v>
      </c>
      <c r="V407" t="str">
        <f t="shared" si="81"/>
        <v>Far</v>
      </c>
      <c r="W407" t="str">
        <f t="shared" si="82"/>
        <v>Normal</v>
      </c>
      <c r="X407" t="str">
        <f t="shared" si="83"/>
        <v>Maxed Out</v>
      </c>
    </row>
    <row r="408" spans="1:24" x14ac:dyDescent="0.3">
      <c r="A408" t="s">
        <v>10</v>
      </c>
      <c r="B408" t="s">
        <v>29</v>
      </c>
      <c r="C408" t="s">
        <v>14</v>
      </c>
      <c r="D408" s="3">
        <v>45838</v>
      </c>
      <c r="E408" s="6">
        <v>5.2003410059676042E-2</v>
      </c>
      <c r="F408">
        <v>0</v>
      </c>
      <c r="G408" t="s">
        <v>13</v>
      </c>
      <c r="H408" s="6">
        <v>5.3999999999999999E-2</v>
      </c>
      <c r="I408" s="8">
        <v>0.1884731009108449</v>
      </c>
      <c r="J408" s="5">
        <f t="shared" si="72"/>
        <v>1.0109678696460058E-2</v>
      </c>
      <c r="K408" s="5" cm="1">
        <f t="array" ref="K408">_xlfn.STDEV.S(IF($C:$C=C408,$I:$I))</f>
        <v>0.17556416633612926</v>
      </c>
      <c r="L408" s="7">
        <f t="shared" si="75"/>
        <v>1.0159443463701825</v>
      </c>
      <c r="M408">
        <f t="shared" si="73"/>
        <v>-1</v>
      </c>
      <c r="N408" s="9">
        <f t="shared" si="76"/>
        <v>-3.6973887783776992E-2</v>
      </c>
      <c r="O408">
        <f>COUNTIFS($B$2:B408,B408,$C$2:C408,C408,$D$2:D408,"&lt;"&amp;D408,$F$2:F408,1)</f>
        <v>7</v>
      </c>
      <c r="P408">
        <f t="shared" si="74"/>
        <v>1</v>
      </c>
      <c r="Q408" t="str">
        <f t="shared" si="77"/>
        <v>Monitor</v>
      </c>
      <c r="R408">
        <v>1</v>
      </c>
      <c r="S408">
        <f t="shared" si="78"/>
        <v>0</v>
      </c>
      <c r="T408">
        <f t="shared" si="79"/>
        <v>0</v>
      </c>
      <c r="U408" t="str">
        <f t="shared" si="80"/>
        <v>Improved Enough</v>
      </c>
      <c r="V408" t="str">
        <f t="shared" si="81"/>
        <v>Close</v>
      </c>
      <c r="W408" t="str">
        <f t="shared" si="82"/>
        <v>Normal</v>
      </c>
      <c r="X408" t="str">
        <f t="shared" si="83"/>
        <v>Maxed Out</v>
      </c>
    </row>
    <row r="409" spans="1:24" x14ac:dyDescent="0.3">
      <c r="A409" t="s">
        <v>10</v>
      </c>
      <c r="B409" t="s">
        <v>29</v>
      </c>
      <c r="C409" t="s">
        <v>14</v>
      </c>
      <c r="D409" s="3">
        <v>45869</v>
      </c>
      <c r="E409" s="6">
        <v>4.5376712328767117E-2</v>
      </c>
      <c r="F409">
        <v>0</v>
      </c>
      <c r="G409" t="s">
        <v>13</v>
      </c>
      <c r="H409" s="6">
        <v>5.3999999999999999E-2</v>
      </c>
      <c r="I409" s="8">
        <v>0.1274281383337077</v>
      </c>
      <c r="J409" s="5">
        <f t="shared" si="72"/>
        <v>1.0109678696460058E-2</v>
      </c>
      <c r="K409" s="5" cm="1">
        <f t="array" ref="K409">_xlfn.STDEV.S(IF($C:$C=C409,$I:$I))</f>
        <v>0.17556416633612926</v>
      </c>
      <c r="L409" s="7">
        <f t="shared" si="75"/>
        <v>0.66823693060822931</v>
      </c>
      <c r="M409">
        <f t="shared" si="73"/>
        <v>-1</v>
      </c>
      <c r="N409" s="9">
        <f t="shared" si="76"/>
        <v>-0.15969051243023855</v>
      </c>
      <c r="O409">
        <f>COUNTIFS($B$2:B409,B409,$C$2:C409,C409,$D$2:D409,"&lt;"&amp;D409,$F$2:F409,1)</f>
        <v>7</v>
      </c>
      <c r="P409">
        <f t="shared" si="74"/>
        <v>0</v>
      </c>
      <c r="Q409" t="str">
        <f t="shared" si="77"/>
        <v>Monitor</v>
      </c>
      <c r="R409">
        <v>0</v>
      </c>
      <c r="S409">
        <f t="shared" si="78"/>
        <v>0</v>
      </c>
      <c r="T409">
        <f t="shared" si="79"/>
        <v>0</v>
      </c>
      <c r="U409" t="str">
        <f t="shared" si="80"/>
        <v>Improved Enough</v>
      </c>
      <c r="V409" t="str">
        <f t="shared" si="81"/>
        <v>Close</v>
      </c>
      <c r="W409" t="str">
        <f t="shared" si="82"/>
        <v>Normal</v>
      </c>
      <c r="X409" t="str">
        <f t="shared" si="83"/>
        <v>Maxed Out</v>
      </c>
    </row>
    <row r="410" spans="1:24" x14ac:dyDescent="0.3">
      <c r="A410" t="s">
        <v>10</v>
      </c>
      <c r="B410" t="s">
        <v>29</v>
      </c>
      <c r="C410" t="s">
        <v>14</v>
      </c>
      <c r="D410" s="3">
        <v>45900</v>
      </c>
      <c r="E410" s="6">
        <v>3.8826574633304571E-2</v>
      </c>
      <c r="F410">
        <v>0</v>
      </c>
      <c r="G410" t="s">
        <v>13</v>
      </c>
      <c r="H410" s="6">
        <v>5.3999999999999999E-2</v>
      </c>
      <c r="I410" s="8">
        <v>0.14435020430755199</v>
      </c>
      <c r="J410" s="5">
        <f t="shared" si="72"/>
        <v>1.0109678696460058E-2</v>
      </c>
      <c r="K410" s="5" cm="1">
        <f t="array" ref="K410">_xlfn.STDEV.S(IF($C:$C=C410,$I:$I))</f>
        <v>0.17556416633612926</v>
      </c>
      <c r="L410" s="7">
        <f t="shared" si="75"/>
        <v>0.7646237179976666</v>
      </c>
      <c r="M410">
        <f t="shared" si="73"/>
        <v>-1</v>
      </c>
      <c r="N410" s="9">
        <f t="shared" si="76"/>
        <v>-0.28098935864250796</v>
      </c>
      <c r="O410">
        <f>COUNTIFS($B$2:B410,B410,$C$2:C410,C410,$D$2:D410,"&lt;"&amp;D410,$F$2:F410,1)</f>
        <v>7</v>
      </c>
      <c r="P410">
        <f t="shared" si="74"/>
        <v>0</v>
      </c>
      <c r="Q410" t="str">
        <f t="shared" si="77"/>
        <v>Monitor</v>
      </c>
      <c r="R410">
        <v>0</v>
      </c>
      <c r="S410">
        <f t="shared" si="78"/>
        <v>0</v>
      </c>
      <c r="T410">
        <f t="shared" si="79"/>
        <v>0</v>
      </c>
      <c r="U410" t="str">
        <f t="shared" si="80"/>
        <v>Improved Enough</v>
      </c>
      <c r="V410" t="str">
        <f t="shared" si="81"/>
        <v>Close</v>
      </c>
      <c r="W410" t="str">
        <f t="shared" si="82"/>
        <v>Normal</v>
      </c>
      <c r="X410" t="str">
        <f t="shared" si="83"/>
        <v>Maxed Out</v>
      </c>
    </row>
    <row r="411" spans="1:24" x14ac:dyDescent="0.3">
      <c r="A411" t="s">
        <v>10</v>
      </c>
      <c r="B411" t="s">
        <v>29</v>
      </c>
      <c r="C411" t="s">
        <v>14</v>
      </c>
      <c r="D411" s="3">
        <v>45930</v>
      </c>
      <c r="E411" s="6">
        <v>5.1020408163265307E-2</v>
      </c>
      <c r="F411">
        <v>0</v>
      </c>
      <c r="G411" t="s">
        <v>13</v>
      </c>
      <c r="H411" s="6">
        <v>5.3999999999999999E-2</v>
      </c>
      <c r="I411" s="8">
        <v>-0.31405895691609992</v>
      </c>
      <c r="J411" s="5">
        <f t="shared" si="72"/>
        <v>1.0109678696460058E-2</v>
      </c>
      <c r="K411" s="5" cm="1">
        <f t="array" ref="K411">_xlfn.STDEV.S(IF($C:$C=C411,$I:$I))</f>
        <v>0.17556416633612926</v>
      </c>
      <c r="L411" s="7">
        <f t="shared" si="75"/>
        <v>-1.8464396373000034</v>
      </c>
      <c r="M411">
        <f t="shared" si="73"/>
        <v>1</v>
      </c>
      <c r="N411" s="9">
        <f t="shared" si="76"/>
        <v>-5.5177626606198002E-2</v>
      </c>
      <c r="O411">
        <f>COUNTIFS($B$2:B411,B411,$C$2:C411,C411,$D$2:D411,"&lt;"&amp;D411,$F$2:F411,1)</f>
        <v>7</v>
      </c>
      <c r="P411">
        <f t="shared" si="74"/>
        <v>0</v>
      </c>
      <c r="Q411" t="str">
        <f t="shared" si="77"/>
        <v>Monitor</v>
      </c>
      <c r="R411">
        <v>0</v>
      </c>
      <c r="S411">
        <f t="shared" si="78"/>
        <v>0</v>
      </c>
      <c r="T411">
        <f t="shared" si="79"/>
        <v>0</v>
      </c>
      <c r="U411" t="str">
        <f t="shared" si="80"/>
        <v>Not Improved Enough</v>
      </c>
      <c r="V411" t="str">
        <f t="shared" si="81"/>
        <v>Close</v>
      </c>
      <c r="W411" t="str">
        <f t="shared" si="82"/>
        <v>Abnormal</v>
      </c>
      <c r="X411" t="str">
        <f t="shared" si="83"/>
        <v>Maxed Out</v>
      </c>
    </row>
    <row r="412" spans="1:24" x14ac:dyDescent="0.3">
      <c r="A412" t="s">
        <v>10</v>
      </c>
      <c r="B412" t="s">
        <v>29</v>
      </c>
      <c r="C412" t="s">
        <v>14</v>
      </c>
      <c r="D412" s="3">
        <v>45961</v>
      </c>
      <c r="E412" s="6">
        <v>5.0818260120585712E-2</v>
      </c>
      <c r="F412">
        <v>0</v>
      </c>
      <c r="G412" t="s">
        <v>13</v>
      </c>
      <c r="H412" s="6">
        <v>5.3999999999999999E-2</v>
      </c>
      <c r="I412" s="8">
        <v>3.9621016365200658E-3</v>
      </c>
      <c r="J412" s="5">
        <f t="shared" si="72"/>
        <v>1.0109678696460058E-2</v>
      </c>
      <c r="K412" s="5" cm="1">
        <f t="array" ref="K412">_xlfn.STDEV.S(IF($C:$C=C412,$I:$I))</f>
        <v>0.17556416633612926</v>
      </c>
      <c r="L412" s="7">
        <f t="shared" si="75"/>
        <v>-3.5016126515077385E-2</v>
      </c>
      <c r="M412">
        <f t="shared" si="73"/>
        <v>0</v>
      </c>
      <c r="N412" s="9">
        <f t="shared" si="76"/>
        <v>-5.8921108878042361E-2</v>
      </c>
      <c r="O412">
        <f>COUNTIFS($B$2:B412,B412,$C$2:C412,C412,$D$2:D412,"&lt;"&amp;D412,$F$2:F412,1)</f>
        <v>7</v>
      </c>
      <c r="P412">
        <f t="shared" si="74"/>
        <v>0</v>
      </c>
      <c r="Q412" t="str">
        <f t="shared" si="77"/>
        <v>Monitor</v>
      </c>
      <c r="R412">
        <v>0</v>
      </c>
      <c r="S412">
        <f t="shared" si="78"/>
        <v>0</v>
      </c>
      <c r="T412">
        <f t="shared" si="79"/>
        <v>0</v>
      </c>
      <c r="U412" t="str">
        <f t="shared" si="80"/>
        <v>Not Improved Enough</v>
      </c>
      <c r="V412" t="str">
        <f t="shared" si="81"/>
        <v>Close</v>
      </c>
      <c r="W412" t="str">
        <f t="shared" si="82"/>
        <v>Normal</v>
      </c>
      <c r="X412" t="str">
        <f t="shared" si="83"/>
        <v>Maxed Out</v>
      </c>
    </row>
    <row r="413" spans="1:24" x14ac:dyDescent="0.3">
      <c r="A413" t="s">
        <v>10</v>
      </c>
      <c r="B413" t="s">
        <v>29</v>
      </c>
      <c r="C413" t="s">
        <v>14</v>
      </c>
      <c r="D413" s="3">
        <v>45991</v>
      </c>
      <c r="E413" s="6">
        <v>4.6511627906976737E-2</v>
      </c>
      <c r="F413">
        <v>0</v>
      </c>
      <c r="G413" t="s">
        <v>13</v>
      </c>
      <c r="H413" s="6">
        <v>5.3999999999999999E-2</v>
      </c>
      <c r="I413" s="8">
        <v>8.4745762711864736E-2</v>
      </c>
      <c r="J413" s="5">
        <f t="shared" si="72"/>
        <v>1.0109678696460058E-2</v>
      </c>
      <c r="K413" s="5" cm="1">
        <f t="array" ref="K413">_xlfn.STDEV.S(IF($C:$C=C413,$I:$I))</f>
        <v>0.17556416633612926</v>
      </c>
      <c r="L413" s="7">
        <f t="shared" si="75"/>
        <v>0.4251213990473941</v>
      </c>
      <c r="M413">
        <f t="shared" si="73"/>
        <v>0</v>
      </c>
      <c r="N413" s="9">
        <f t="shared" si="76"/>
        <v>-0.13867355727820857</v>
      </c>
      <c r="O413">
        <f>COUNTIFS($B$2:B413,B413,$C$2:C413,C413,$D$2:D413,"&lt;"&amp;D413,$F$2:F413,1)</f>
        <v>7</v>
      </c>
      <c r="P413">
        <f t="shared" si="74"/>
        <v>0</v>
      </c>
      <c r="Q413" t="str">
        <f t="shared" si="77"/>
        <v>Monitor</v>
      </c>
      <c r="R413">
        <v>0</v>
      </c>
      <c r="S413">
        <f t="shared" si="78"/>
        <v>0</v>
      </c>
      <c r="T413">
        <f t="shared" si="79"/>
        <v>0</v>
      </c>
      <c r="U413" t="str">
        <f t="shared" si="80"/>
        <v>Improved Enough</v>
      </c>
      <c r="V413" t="str">
        <f t="shared" si="81"/>
        <v>Close</v>
      </c>
      <c r="W413" t="str">
        <f t="shared" si="82"/>
        <v>Normal</v>
      </c>
      <c r="X413" t="str">
        <f t="shared" si="83"/>
        <v>Maxed Out</v>
      </c>
    </row>
    <row r="414" spans="1:24" x14ac:dyDescent="0.3">
      <c r="A414" t="s">
        <v>10</v>
      </c>
      <c r="B414" t="s">
        <v>29</v>
      </c>
      <c r="C414" t="s">
        <v>15</v>
      </c>
      <c r="D414" s="3">
        <v>45535</v>
      </c>
      <c r="E414" s="6">
        <v>7.7134986225895319E-2</v>
      </c>
      <c r="F414">
        <v>0</v>
      </c>
      <c r="G414" t="s">
        <v>13</v>
      </c>
      <c r="H414" s="6">
        <v>6.6000000000000003E-2</v>
      </c>
      <c r="I414" s="8">
        <v>7.6951331496786027E-2</v>
      </c>
      <c r="J414" s="5">
        <f t="shared" si="72"/>
        <v>-2.475667272801203E-2</v>
      </c>
      <c r="K414" s="5" cm="1">
        <f t="array" ref="K414">_xlfn.STDEV.S(IF($C:$C=C414,$I:$I))</f>
        <v>0.42334565134305008</v>
      </c>
      <c r="L414" s="7">
        <f t="shared" si="75"/>
        <v>0.24024813743127579</v>
      </c>
      <c r="M414">
        <f t="shared" si="73"/>
        <v>0</v>
      </c>
      <c r="N414" s="9">
        <f t="shared" si="76"/>
        <v>0.16871191251356538</v>
      </c>
      <c r="O414">
        <f>COUNTIFS($B$2:B414,B414,$C$2:C414,C414,$D$2:D414,"&lt;"&amp;D414,$F$2:F414,1)</f>
        <v>0</v>
      </c>
      <c r="P414">
        <f t="shared" si="74"/>
        <v>0</v>
      </c>
      <c r="Q414" t="str">
        <f t="shared" si="77"/>
        <v>Monitor</v>
      </c>
      <c r="R414">
        <v>0</v>
      </c>
      <c r="S414">
        <f t="shared" si="78"/>
        <v>0</v>
      </c>
      <c r="T414">
        <f t="shared" si="79"/>
        <v>0</v>
      </c>
      <c r="U414" t="str">
        <f t="shared" si="80"/>
        <v>Improved Enough</v>
      </c>
      <c r="V414" t="str">
        <f t="shared" si="81"/>
        <v>Far</v>
      </c>
      <c r="W414" t="str">
        <f t="shared" si="82"/>
        <v>Normal</v>
      </c>
      <c r="X414" t="str">
        <f t="shared" si="83"/>
        <v>Allowed</v>
      </c>
    </row>
    <row r="415" spans="1:24" x14ac:dyDescent="0.3">
      <c r="A415" t="s">
        <v>10</v>
      </c>
      <c r="B415" t="s">
        <v>29</v>
      </c>
      <c r="C415" t="s">
        <v>15</v>
      </c>
      <c r="D415" s="3">
        <v>45565</v>
      </c>
      <c r="E415" s="6">
        <v>9.1644204851752023E-2</v>
      </c>
      <c r="F415">
        <v>0</v>
      </c>
      <c r="G415" t="s">
        <v>13</v>
      </c>
      <c r="H415" s="6">
        <v>6.6000000000000003E-2</v>
      </c>
      <c r="I415" s="8">
        <v>-0.18810165575664231</v>
      </c>
      <c r="J415" s="5">
        <f t="shared" si="72"/>
        <v>-2.475667272801203E-2</v>
      </c>
      <c r="K415" s="5" cm="1">
        <f t="array" ref="K415">_xlfn.STDEV.S(IF($C:$C=C415,$I:$I))</f>
        <v>0.42334565134305008</v>
      </c>
      <c r="L415" s="7">
        <f t="shared" si="75"/>
        <v>-0.38584306348824826</v>
      </c>
      <c r="M415">
        <f t="shared" si="73"/>
        <v>0</v>
      </c>
      <c r="N415" s="9">
        <f t="shared" si="76"/>
        <v>0.38854855835987906</v>
      </c>
      <c r="O415">
        <f>COUNTIFS($B$2:B415,B415,$C$2:C415,C415,$D$2:D415,"&lt;"&amp;D415,$F$2:F415,1)</f>
        <v>0</v>
      </c>
      <c r="P415">
        <f t="shared" si="74"/>
        <v>0</v>
      </c>
      <c r="Q415" t="str">
        <f t="shared" si="77"/>
        <v>Monitor</v>
      </c>
      <c r="R415">
        <v>0</v>
      </c>
      <c r="S415">
        <f t="shared" si="78"/>
        <v>0</v>
      </c>
      <c r="T415">
        <f t="shared" si="79"/>
        <v>0</v>
      </c>
      <c r="U415" t="str">
        <f t="shared" si="80"/>
        <v>Not Improved Enough</v>
      </c>
      <c r="V415" t="str">
        <f t="shared" si="81"/>
        <v>Far</v>
      </c>
      <c r="W415" t="str">
        <f t="shared" si="82"/>
        <v>Normal</v>
      </c>
      <c r="X415" t="str">
        <f t="shared" si="83"/>
        <v>Allowed</v>
      </c>
    </row>
    <row r="416" spans="1:24" x14ac:dyDescent="0.3">
      <c r="A416" t="s">
        <v>10</v>
      </c>
      <c r="B416" t="s">
        <v>29</v>
      </c>
      <c r="C416" t="s">
        <v>15</v>
      </c>
      <c r="D416" s="3">
        <v>45596</v>
      </c>
      <c r="E416" s="6">
        <v>7.7994428969359333E-2</v>
      </c>
      <c r="F416">
        <v>0</v>
      </c>
      <c r="G416" t="s">
        <v>13</v>
      </c>
      <c r="H416" s="6">
        <v>6.6000000000000003E-2</v>
      </c>
      <c r="I416" s="8">
        <v>0.1489431427166967</v>
      </c>
      <c r="J416" s="5">
        <f t="shared" si="72"/>
        <v>-2.475667272801203E-2</v>
      </c>
      <c r="K416" s="5" cm="1">
        <f t="array" ref="K416">_xlfn.STDEV.S(IF($C:$C=C416,$I:$I))</f>
        <v>0.42334565134305008</v>
      </c>
      <c r="L416" s="7">
        <f t="shared" si="75"/>
        <v>0.41030258582709378</v>
      </c>
      <c r="M416">
        <f t="shared" si="73"/>
        <v>0</v>
      </c>
      <c r="N416" s="9">
        <f t="shared" si="76"/>
        <v>0.18173377226302015</v>
      </c>
      <c r="O416">
        <f>COUNTIFS($B$2:B416,B416,$C$2:C416,C416,$D$2:D416,"&lt;"&amp;D416,$F$2:F416,1)</f>
        <v>0</v>
      </c>
      <c r="P416">
        <f t="shared" si="74"/>
        <v>0</v>
      </c>
      <c r="Q416" t="str">
        <f t="shared" si="77"/>
        <v>Monitor</v>
      </c>
      <c r="R416">
        <v>0</v>
      </c>
      <c r="S416">
        <f t="shared" si="78"/>
        <v>0</v>
      </c>
      <c r="T416">
        <f t="shared" si="79"/>
        <v>0</v>
      </c>
      <c r="U416" t="str">
        <f t="shared" si="80"/>
        <v>Improved Enough</v>
      </c>
      <c r="V416" t="str">
        <f t="shared" si="81"/>
        <v>Far</v>
      </c>
      <c r="W416" t="str">
        <f t="shared" si="82"/>
        <v>Normal</v>
      </c>
      <c r="X416" t="str">
        <f t="shared" si="83"/>
        <v>Allowed</v>
      </c>
    </row>
    <row r="417" spans="1:24" x14ac:dyDescent="0.3">
      <c r="A417" t="s">
        <v>10</v>
      </c>
      <c r="B417" t="s">
        <v>29</v>
      </c>
      <c r="C417" t="s">
        <v>15</v>
      </c>
      <c r="D417" s="3">
        <v>45626</v>
      </c>
      <c r="E417" s="6">
        <v>7.3239437000000004E-2</v>
      </c>
      <c r="F417">
        <v>0</v>
      </c>
      <c r="G417" t="s">
        <v>13</v>
      </c>
      <c r="H417" s="6">
        <v>6.6000000000000003E-2</v>
      </c>
      <c r="I417" s="8">
        <v>6.0965789892857107E-2</v>
      </c>
      <c r="J417" s="5">
        <f t="shared" si="72"/>
        <v>-2.475667272801203E-2</v>
      </c>
      <c r="K417" s="5" cm="1">
        <f t="array" ref="K417">_xlfn.STDEV.S(IF($C:$C=C417,$I:$I))</f>
        <v>0.42334565134305008</v>
      </c>
      <c r="L417" s="7">
        <f t="shared" si="75"/>
        <v>0.20248811426057514</v>
      </c>
      <c r="M417">
        <f t="shared" si="73"/>
        <v>0</v>
      </c>
      <c r="N417" s="9">
        <f t="shared" si="76"/>
        <v>0.10968843939393941</v>
      </c>
      <c r="O417">
        <f>COUNTIFS($B$2:B417,B417,$C$2:C417,C417,$D$2:D417,"&lt;"&amp;D417,$F$2:F417,1)</f>
        <v>0</v>
      </c>
      <c r="P417">
        <f t="shared" si="74"/>
        <v>0</v>
      </c>
      <c r="Q417" t="str">
        <f t="shared" si="77"/>
        <v>Monitor</v>
      </c>
      <c r="R417">
        <v>0</v>
      </c>
      <c r="S417">
        <f t="shared" si="78"/>
        <v>0</v>
      </c>
      <c r="T417">
        <f t="shared" si="79"/>
        <v>0</v>
      </c>
      <c r="U417" t="str">
        <f t="shared" si="80"/>
        <v>Improved Enough</v>
      </c>
      <c r="V417" t="str">
        <f t="shared" si="81"/>
        <v>Far</v>
      </c>
      <c r="W417" t="str">
        <f t="shared" si="82"/>
        <v>Normal</v>
      </c>
      <c r="X417" t="str">
        <f t="shared" si="83"/>
        <v>Allowed</v>
      </c>
    </row>
    <row r="418" spans="1:24" x14ac:dyDescent="0.3">
      <c r="A418" t="s">
        <v>10</v>
      </c>
      <c r="B418" t="s">
        <v>29</v>
      </c>
      <c r="C418" t="s">
        <v>15</v>
      </c>
      <c r="D418" s="3">
        <v>45657</v>
      </c>
      <c r="E418" s="6">
        <v>6.8181818181818177E-2</v>
      </c>
      <c r="F418">
        <v>0</v>
      </c>
      <c r="G418" t="s">
        <v>13</v>
      </c>
      <c r="H418" s="6">
        <v>6.6000000000000003E-2</v>
      </c>
      <c r="I418" s="8">
        <v>6.9055948889692145E-2</v>
      </c>
      <c r="J418" s="5">
        <f t="shared" si="72"/>
        <v>-2.475667272801203E-2</v>
      </c>
      <c r="K418" s="5" cm="1">
        <f t="array" ref="K418">_xlfn.STDEV.S(IF($C:$C=C418,$I:$I))</f>
        <v>0.42334565134305008</v>
      </c>
      <c r="L418" s="7">
        <f t="shared" si="75"/>
        <v>0.22159817000620352</v>
      </c>
      <c r="M418">
        <f t="shared" si="73"/>
        <v>0</v>
      </c>
      <c r="N418" s="9">
        <f t="shared" si="76"/>
        <v>3.3057851239669298E-2</v>
      </c>
      <c r="O418">
        <f>COUNTIFS($B$2:B418,B418,$C$2:C418,C418,$D$2:D418,"&lt;"&amp;D418,$F$2:F418,1)</f>
        <v>0</v>
      </c>
      <c r="P418">
        <f t="shared" si="74"/>
        <v>0</v>
      </c>
      <c r="Q418" t="str">
        <f t="shared" si="77"/>
        <v>Monitor</v>
      </c>
      <c r="R418">
        <v>0</v>
      </c>
      <c r="S418">
        <f t="shared" si="78"/>
        <v>0</v>
      </c>
      <c r="T418">
        <f t="shared" si="79"/>
        <v>0</v>
      </c>
      <c r="U418" t="str">
        <f t="shared" si="80"/>
        <v>Improved Enough</v>
      </c>
      <c r="V418" t="str">
        <f t="shared" si="81"/>
        <v>Far</v>
      </c>
      <c r="W418" t="str">
        <f t="shared" si="82"/>
        <v>Normal</v>
      </c>
      <c r="X418" t="str">
        <f t="shared" si="83"/>
        <v>Allowed</v>
      </c>
    </row>
    <row r="419" spans="1:24" x14ac:dyDescent="0.3">
      <c r="A419" t="s">
        <v>10</v>
      </c>
      <c r="B419" t="s">
        <v>29</v>
      </c>
      <c r="C419" t="s">
        <v>15</v>
      </c>
      <c r="D419" s="3">
        <v>45688</v>
      </c>
      <c r="E419" s="6">
        <v>5.8495821727019497E-2</v>
      </c>
      <c r="F419">
        <v>0</v>
      </c>
      <c r="G419" t="s">
        <v>13</v>
      </c>
      <c r="H419" s="6">
        <v>6.6000000000000003E-2</v>
      </c>
      <c r="I419" s="8">
        <v>0.14206128133704729</v>
      </c>
      <c r="J419" s="5">
        <f t="shared" si="72"/>
        <v>-2.475667272801203E-2</v>
      </c>
      <c r="K419" s="5" cm="1">
        <f t="array" ref="K419">_xlfn.STDEV.S(IF($C:$C=C419,$I:$I))</f>
        <v>0.42334565134305008</v>
      </c>
      <c r="L419" s="7">
        <f t="shared" si="75"/>
        <v>0.39404669337179882</v>
      </c>
      <c r="M419">
        <f t="shared" si="73"/>
        <v>0</v>
      </c>
      <c r="N419" s="9">
        <f t="shared" si="76"/>
        <v>-0.11369967080273494</v>
      </c>
      <c r="O419">
        <f>COUNTIFS($B$2:B419,B419,$C$2:C419,C419,$D$2:D419,"&lt;"&amp;D419,$F$2:F419,1)</f>
        <v>0</v>
      </c>
      <c r="P419">
        <f t="shared" si="74"/>
        <v>0</v>
      </c>
      <c r="Q419" t="str">
        <f t="shared" si="77"/>
        <v>Monitor</v>
      </c>
      <c r="R419">
        <v>0</v>
      </c>
      <c r="S419">
        <f t="shared" si="78"/>
        <v>0</v>
      </c>
      <c r="T419">
        <f t="shared" si="79"/>
        <v>0</v>
      </c>
      <c r="U419" t="str">
        <f t="shared" si="80"/>
        <v>Improved Enough</v>
      </c>
      <c r="V419" t="str">
        <f t="shared" si="81"/>
        <v>Close</v>
      </c>
      <c r="W419" t="str">
        <f t="shared" si="82"/>
        <v>Normal</v>
      </c>
      <c r="X419" t="str">
        <f t="shared" si="83"/>
        <v>Allowed</v>
      </c>
    </row>
    <row r="420" spans="1:24" x14ac:dyDescent="0.3">
      <c r="A420" t="s">
        <v>10</v>
      </c>
      <c r="B420" t="s">
        <v>29</v>
      </c>
      <c r="C420" t="s">
        <v>15</v>
      </c>
      <c r="D420" s="3">
        <v>45716</v>
      </c>
      <c r="E420" s="6">
        <v>5.8988764044943819E-2</v>
      </c>
      <c r="F420">
        <v>0</v>
      </c>
      <c r="G420" t="s">
        <v>13</v>
      </c>
      <c r="H420" s="6">
        <v>6.6000000000000003E-2</v>
      </c>
      <c r="I420" s="8">
        <v>-8.4269662921348382E-3</v>
      </c>
      <c r="J420" s="5">
        <f t="shared" si="72"/>
        <v>-2.475667272801203E-2</v>
      </c>
      <c r="K420" s="5" cm="1">
        <f t="array" ref="K420">_xlfn.STDEV.S(IF($C:$C=C420,$I:$I))</f>
        <v>0.42334565134305008</v>
      </c>
      <c r="L420" s="7">
        <f t="shared" si="75"/>
        <v>3.8572987307349767E-2</v>
      </c>
      <c r="M420">
        <f t="shared" si="73"/>
        <v>0</v>
      </c>
      <c r="N420" s="9">
        <f t="shared" si="76"/>
        <v>-0.10623084780388158</v>
      </c>
      <c r="O420">
        <f>COUNTIFS($B$2:B420,B420,$C$2:C420,C420,$D$2:D420,"&lt;"&amp;D420,$F$2:F420,1)</f>
        <v>0</v>
      </c>
      <c r="P420">
        <f t="shared" si="74"/>
        <v>0</v>
      </c>
      <c r="Q420" t="str">
        <f t="shared" si="77"/>
        <v>Monitor</v>
      </c>
      <c r="R420">
        <v>0</v>
      </c>
      <c r="S420">
        <f t="shared" si="78"/>
        <v>0</v>
      </c>
      <c r="T420">
        <f t="shared" si="79"/>
        <v>0</v>
      </c>
      <c r="U420" t="str">
        <f t="shared" si="80"/>
        <v>Not Improved Enough</v>
      </c>
      <c r="V420" t="str">
        <f t="shared" si="81"/>
        <v>Close</v>
      </c>
      <c r="W420" t="str">
        <f t="shared" si="82"/>
        <v>Normal</v>
      </c>
      <c r="X420" t="str">
        <f t="shared" si="83"/>
        <v>Allowed</v>
      </c>
    </row>
    <row r="421" spans="1:24" x14ac:dyDescent="0.3">
      <c r="A421" t="s">
        <v>10</v>
      </c>
      <c r="B421" t="s">
        <v>29</v>
      </c>
      <c r="C421" t="s">
        <v>15</v>
      </c>
      <c r="D421" s="3">
        <v>45747</v>
      </c>
      <c r="E421" s="6">
        <v>4.8022598870056499E-2</v>
      </c>
      <c r="F421">
        <v>0</v>
      </c>
      <c r="G421" t="s">
        <v>13</v>
      </c>
      <c r="H421" s="6">
        <v>6.6000000000000003E-2</v>
      </c>
      <c r="I421" s="8">
        <v>0.1859026096314231</v>
      </c>
      <c r="J421" s="5">
        <f t="shared" si="72"/>
        <v>-2.475667272801203E-2</v>
      </c>
      <c r="K421" s="5" cm="1">
        <f t="array" ref="K421">_xlfn.STDEV.S(IF($C:$C=C421,$I:$I))</f>
        <v>0.42334565134305008</v>
      </c>
      <c r="L421" s="7">
        <f t="shared" si="75"/>
        <v>0.49760587286328684</v>
      </c>
      <c r="M421">
        <f t="shared" si="73"/>
        <v>0</v>
      </c>
      <c r="N421" s="9">
        <f t="shared" si="76"/>
        <v>-0.27238486560520458</v>
      </c>
      <c r="O421">
        <f>COUNTIFS($B$2:B421,B421,$C$2:C421,C421,$D$2:D421,"&lt;"&amp;D421,$F$2:F421,1)</f>
        <v>0</v>
      </c>
      <c r="P421">
        <f t="shared" si="74"/>
        <v>0</v>
      </c>
      <c r="Q421" t="str">
        <f t="shared" si="77"/>
        <v>Monitor</v>
      </c>
      <c r="R421">
        <v>0</v>
      </c>
      <c r="S421">
        <f t="shared" si="78"/>
        <v>0</v>
      </c>
      <c r="T421">
        <f t="shared" si="79"/>
        <v>0</v>
      </c>
      <c r="U421" t="str">
        <f t="shared" si="80"/>
        <v>Improved Enough</v>
      </c>
      <c r="V421" t="str">
        <f t="shared" si="81"/>
        <v>Close</v>
      </c>
      <c r="W421" t="str">
        <f t="shared" si="82"/>
        <v>Normal</v>
      </c>
      <c r="X421" t="str">
        <f t="shared" si="83"/>
        <v>Allowed</v>
      </c>
    </row>
    <row r="422" spans="1:24" x14ac:dyDescent="0.3">
      <c r="A422" t="s">
        <v>10</v>
      </c>
      <c r="B422" t="s">
        <v>29</v>
      </c>
      <c r="C422" t="s">
        <v>15</v>
      </c>
      <c r="D422" s="3">
        <v>45777</v>
      </c>
      <c r="E422" s="6">
        <v>5.4285714285714277E-2</v>
      </c>
      <c r="F422">
        <v>0</v>
      </c>
      <c r="G422" t="s">
        <v>13</v>
      </c>
      <c r="H422" s="6">
        <v>6.6000000000000003E-2</v>
      </c>
      <c r="I422" s="8">
        <v>-0.1304201680672267</v>
      </c>
      <c r="J422" s="5">
        <f t="shared" si="72"/>
        <v>-2.475667272801203E-2</v>
      </c>
      <c r="K422" s="5" cm="1">
        <f t="array" ref="K422">_xlfn.STDEV.S(IF($C:$C=C422,$I:$I))</f>
        <v>0.42334565134305008</v>
      </c>
      <c r="L422" s="7">
        <f t="shared" si="75"/>
        <v>-0.24959154535779621</v>
      </c>
      <c r="M422">
        <f t="shared" si="73"/>
        <v>0</v>
      </c>
      <c r="N422" s="9">
        <f t="shared" si="76"/>
        <v>-0.17748917748917764</v>
      </c>
      <c r="O422">
        <f>COUNTIFS($B$2:B422,B422,$C$2:C422,C422,$D$2:D422,"&lt;"&amp;D422,$F$2:F422,1)</f>
        <v>0</v>
      </c>
      <c r="P422">
        <f t="shared" si="74"/>
        <v>0</v>
      </c>
      <c r="Q422" t="str">
        <f t="shared" si="77"/>
        <v>Monitor</v>
      </c>
      <c r="R422">
        <v>0</v>
      </c>
      <c r="S422">
        <f t="shared" si="78"/>
        <v>0</v>
      </c>
      <c r="T422">
        <f t="shared" si="79"/>
        <v>0</v>
      </c>
      <c r="U422" t="str">
        <f t="shared" si="80"/>
        <v>Not Improved Enough</v>
      </c>
      <c r="V422" t="str">
        <f t="shared" si="81"/>
        <v>Close</v>
      </c>
      <c r="W422" t="str">
        <f t="shared" si="82"/>
        <v>Normal</v>
      </c>
      <c r="X422" t="str">
        <f t="shared" si="83"/>
        <v>Allowed</v>
      </c>
    </row>
    <row r="423" spans="1:24" x14ac:dyDescent="0.3">
      <c r="A423" t="s">
        <v>10</v>
      </c>
      <c r="B423" t="s">
        <v>29</v>
      </c>
      <c r="C423" t="s">
        <v>15</v>
      </c>
      <c r="D423" s="3">
        <v>45808</v>
      </c>
      <c r="E423" s="6">
        <v>6.8965517241379309E-2</v>
      </c>
      <c r="F423">
        <v>0</v>
      </c>
      <c r="G423" t="s">
        <v>13</v>
      </c>
      <c r="H423" s="6">
        <v>6.6000000000000003E-2</v>
      </c>
      <c r="I423" s="8">
        <v>-0.2704174228675138</v>
      </c>
      <c r="J423" s="5">
        <f t="shared" si="72"/>
        <v>-2.475667272801203E-2</v>
      </c>
      <c r="K423" s="5" cm="1">
        <f t="array" ref="K423">_xlfn.STDEV.S(IF($C:$C=C423,$I:$I))</f>
        <v>0.42334565134305008</v>
      </c>
      <c r="L423" s="7">
        <f t="shared" si="75"/>
        <v>-0.58028409967163042</v>
      </c>
      <c r="M423">
        <f t="shared" si="73"/>
        <v>1</v>
      </c>
      <c r="N423" s="9">
        <f t="shared" si="76"/>
        <v>4.4932079414837969E-2</v>
      </c>
      <c r="O423">
        <f>COUNTIFS($B$2:B423,B423,$C$2:C423,C423,$D$2:D423,"&lt;"&amp;D423,$F$2:F423,1)</f>
        <v>0</v>
      </c>
      <c r="P423">
        <f t="shared" si="74"/>
        <v>0</v>
      </c>
      <c r="Q423" t="str">
        <f t="shared" si="77"/>
        <v>Intervene</v>
      </c>
      <c r="R423">
        <v>0</v>
      </c>
      <c r="S423">
        <f t="shared" si="78"/>
        <v>1</v>
      </c>
      <c r="T423">
        <f t="shared" si="79"/>
        <v>1</v>
      </c>
      <c r="U423" t="str">
        <f t="shared" si="80"/>
        <v>Not Improved Enough</v>
      </c>
      <c r="V423" t="str">
        <f t="shared" si="81"/>
        <v>Far</v>
      </c>
      <c r="W423" t="str">
        <f t="shared" si="82"/>
        <v>Abnormal</v>
      </c>
      <c r="X423" t="str">
        <f t="shared" si="83"/>
        <v>Allowed</v>
      </c>
    </row>
    <row r="424" spans="1:24" x14ac:dyDescent="0.3">
      <c r="A424" t="s">
        <v>10</v>
      </c>
      <c r="B424" t="s">
        <v>29</v>
      </c>
      <c r="C424" t="s">
        <v>15</v>
      </c>
      <c r="D424" s="3">
        <v>45838</v>
      </c>
      <c r="E424" s="6">
        <v>4.6511627906976737E-2</v>
      </c>
      <c r="F424">
        <v>0</v>
      </c>
      <c r="G424" t="s">
        <v>13</v>
      </c>
      <c r="H424" s="6">
        <v>6.6000000000000003E-2</v>
      </c>
      <c r="I424" s="8">
        <v>0.32558139534883729</v>
      </c>
      <c r="J424" s="5">
        <f t="shared" si="72"/>
        <v>-2.475667272801203E-2</v>
      </c>
      <c r="K424" s="5" cm="1">
        <f t="array" ref="K424">_xlfn.STDEV.S(IF($C:$C=C424,$I:$I))</f>
        <v>0.42334565134305008</v>
      </c>
      <c r="L424" s="7">
        <f t="shared" si="75"/>
        <v>0.82754615989419844</v>
      </c>
      <c r="M424">
        <f t="shared" si="73"/>
        <v>-1</v>
      </c>
      <c r="N424" s="9">
        <f t="shared" si="76"/>
        <v>-0.29527836504580707</v>
      </c>
      <c r="O424">
        <f>COUNTIFS($B$2:B424,B424,$C$2:C424,C424,$D$2:D424,"&lt;"&amp;D424,$F$2:F424,1)</f>
        <v>0</v>
      </c>
      <c r="P424">
        <f t="shared" si="74"/>
        <v>0</v>
      </c>
      <c r="Q424" t="str">
        <f t="shared" si="77"/>
        <v>Monitor</v>
      </c>
      <c r="R424">
        <v>0</v>
      </c>
      <c r="S424">
        <f t="shared" si="78"/>
        <v>0</v>
      </c>
      <c r="T424">
        <f t="shared" si="79"/>
        <v>0</v>
      </c>
      <c r="U424" t="str">
        <f t="shared" si="80"/>
        <v>Improved Enough</v>
      </c>
      <c r="V424" t="str">
        <f t="shared" si="81"/>
        <v>Close</v>
      </c>
      <c r="W424" t="str">
        <f t="shared" si="82"/>
        <v>Normal</v>
      </c>
      <c r="X424" t="str">
        <f t="shared" si="83"/>
        <v>Allowed</v>
      </c>
    </row>
    <row r="425" spans="1:24" x14ac:dyDescent="0.3">
      <c r="A425" t="s">
        <v>10</v>
      </c>
      <c r="B425" t="s">
        <v>29</v>
      </c>
      <c r="C425" t="s">
        <v>15</v>
      </c>
      <c r="D425" s="3">
        <v>45869</v>
      </c>
      <c r="E425" s="6">
        <v>4.4817927170868348E-2</v>
      </c>
      <c r="F425">
        <v>0</v>
      </c>
      <c r="G425" t="s">
        <v>13</v>
      </c>
      <c r="H425" s="6">
        <v>6.6000000000000003E-2</v>
      </c>
      <c r="I425" s="8">
        <v>3.6414565826330368E-2</v>
      </c>
      <c r="J425" s="5">
        <f t="shared" si="72"/>
        <v>-2.475667272801203E-2</v>
      </c>
      <c r="K425" s="5" cm="1">
        <f t="array" ref="K425">_xlfn.STDEV.S(IF($C:$C=C425,$I:$I))</f>
        <v>0.42334565134305008</v>
      </c>
      <c r="L425" s="7">
        <f t="shared" si="75"/>
        <v>0.14449478425083301</v>
      </c>
      <c r="M425">
        <f t="shared" si="73"/>
        <v>0</v>
      </c>
      <c r="N425" s="9">
        <f t="shared" si="76"/>
        <v>-0.32094049741108566</v>
      </c>
      <c r="O425">
        <f>COUNTIFS($B$2:B425,B425,$C$2:C425,C425,$D$2:D425,"&lt;"&amp;D425,$F$2:F425,1)</f>
        <v>0</v>
      </c>
      <c r="P425">
        <f t="shared" si="74"/>
        <v>0</v>
      </c>
      <c r="Q425" t="str">
        <f t="shared" si="77"/>
        <v>Monitor</v>
      </c>
      <c r="R425">
        <v>0</v>
      </c>
      <c r="S425">
        <f t="shared" si="78"/>
        <v>0</v>
      </c>
      <c r="T425">
        <f t="shared" si="79"/>
        <v>0</v>
      </c>
      <c r="U425" t="str">
        <f t="shared" si="80"/>
        <v>Improved Enough</v>
      </c>
      <c r="V425" t="str">
        <f t="shared" si="81"/>
        <v>Close</v>
      </c>
      <c r="W425" t="str">
        <f t="shared" si="82"/>
        <v>Normal</v>
      </c>
      <c r="X425" t="str">
        <f t="shared" si="83"/>
        <v>Allowed</v>
      </c>
    </row>
    <row r="426" spans="1:24" x14ac:dyDescent="0.3">
      <c r="A426" t="s">
        <v>10</v>
      </c>
      <c r="B426" t="s">
        <v>29</v>
      </c>
      <c r="C426" t="s">
        <v>15</v>
      </c>
      <c r="D426" s="3">
        <v>45900</v>
      </c>
      <c r="E426" s="6">
        <v>3.6827195467422087E-2</v>
      </c>
      <c r="F426">
        <v>0</v>
      </c>
      <c r="G426" t="s">
        <v>13</v>
      </c>
      <c r="H426" s="6">
        <v>6.6000000000000003E-2</v>
      </c>
      <c r="I426" s="8">
        <v>0.1782932011331447</v>
      </c>
      <c r="J426" s="5">
        <f t="shared" si="72"/>
        <v>-2.475667272801203E-2</v>
      </c>
      <c r="K426" s="5" cm="1">
        <f t="array" ref="K426">_xlfn.STDEV.S(IF($C:$C=C426,$I:$I))</f>
        <v>0.42334565134305008</v>
      </c>
      <c r="L426" s="7">
        <f t="shared" si="75"/>
        <v>0.47963141517336416</v>
      </c>
      <c r="M426">
        <f t="shared" si="73"/>
        <v>0</v>
      </c>
      <c r="N426" s="9">
        <f t="shared" si="76"/>
        <v>-0.44201218988754415</v>
      </c>
      <c r="O426">
        <f>COUNTIFS($B$2:B426,B426,$C$2:C426,C426,$D$2:D426,"&lt;"&amp;D426,$F$2:F426,1)</f>
        <v>0</v>
      </c>
      <c r="P426">
        <f t="shared" si="74"/>
        <v>0</v>
      </c>
      <c r="Q426" t="str">
        <f t="shared" si="77"/>
        <v>Monitor</v>
      </c>
      <c r="R426">
        <v>0</v>
      </c>
      <c r="S426">
        <f t="shared" si="78"/>
        <v>0</v>
      </c>
      <c r="T426">
        <f t="shared" si="79"/>
        <v>0</v>
      </c>
      <c r="U426" t="str">
        <f t="shared" si="80"/>
        <v>Improved Enough</v>
      </c>
      <c r="V426" t="str">
        <f t="shared" si="81"/>
        <v>Close</v>
      </c>
      <c r="W426" t="str">
        <f t="shared" si="82"/>
        <v>Normal</v>
      </c>
      <c r="X426" t="str">
        <f t="shared" si="83"/>
        <v>Allowed</v>
      </c>
    </row>
    <row r="427" spans="1:24" x14ac:dyDescent="0.3">
      <c r="A427" t="s">
        <v>10</v>
      </c>
      <c r="B427" t="s">
        <v>29</v>
      </c>
      <c r="C427" t="s">
        <v>15</v>
      </c>
      <c r="D427" s="3">
        <v>45930</v>
      </c>
      <c r="E427" s="6">
        <v>6.5934065934065936E-2</v>
      </c>
      <c r="F427">
        <v>0</v>
      </c>
      <c r="G427" t="s">
        <v>13</v>
      </c>
      <c r="H427" s="6">
        <v>6.6000000000000003E-2</v>
      </c>
      <c r="I427" s="8">
        <v>-0.79036348267117551</v>
      </c>
      <c r="J427" s="5">
        <f t="shared" si="72"/>
        <v>-2.475667272801203E-2</v>
      </c>
      <c r="K427" s="5" cm="1">
        <f t="array" ref="K427">_xlfn.STDEV.S(IF($C:$C=C427,$I:$I))</f>
        <v>0.42334565134305008</v>
      </c>
      <c r="L427" s="7">
        <f t="shared" si="75"/>
        <v>-1.80846740131687</v>
      </c>
      <c r="M427">
        <f t="shared" si="73"/>
        <v>1</v>
      </c>
      <c r="N427" s="9">
        <f t="shared" si="76"/>
        <v>-9.9900099900102068E-4</v>
      </c>
      <c r="O427">
        <f>COUNTIFS($B$2:B427,B427,$C$2:C427,C427,$D$2:D427,"&lt;"&amp;D427,$F$2:F427,1)</f>
        <v>0</v>
      </c>
      <c r="P427">
        <f t="shared" si="74"/>
        <v>0</v>
      </c>
      <c r="Q427" t="str">
        <f t="shared" si="77"/>
        <v>Monitor</v>
      </c>
      <c r="R427">
        <v>0</v>
      </c>
      <c r="S427">
        <f t="shared" si="78"/>
        <v>0</v>
      </c>
      <c r="T427">
        <f t="shared" si="79"/>
        <v>0</v>
      </c>
      <c r="U427" t="str">
        <f t="shared" si="80"/>
        <v>Not Improved Enough</v>
      </c>
      <c r="V427" t="str">
        <f t="shared" si="81"/>
        <v>Close</v>
      </c>
      <c r="W427" t="str">
        <f t="shared" si="82"/>
        <v>Abnormal</v>
      </c>
      <c r="X427" t="str">
        <f t="shared" si="83"/>
        <v>Allowed</v>
      </c>
    </row>
    <row r="428" spans="1:24" x14ac:dyDescent="0.3">
      <c r="A428" t="s">
        <v>10</v>
      </c>
      <c r="B428" t="s">
        <v>29</v>
      </c>
      <c r="C428" t="s">
        <v>15</v>
      </c>
      <c r="D428" s="3">
        <v>45961</v>
      </c>
      <c r="E428" s="6">
        <v>5.8495821727019497E-2</v>
      </c>
      <c r="F428">
        <v>0</v>
      </c>
      <c r="G428" t="s">
        <v>13</v>
      </c>
      <c r="H428" s="6">
        <v>6.6000000000000003E-2</v>
      </c>
      <c r="I428" s="8">
        <v>0.11281337047353771</v>
      </c>
      <c r="J428" s="5">
        <f t="shared" si="72"/>
        <v>-2.475667272801203E-2</v>
      </c>
      <c r="K428" s="5" cm="1">
        <f t="array" ref="K428">_xlfn.STDEV.S(IF($C:$C=C428,$I:$I))</f>
        <v>0.42334565134305008</v>
      </c>
      <c r="L428" s="7">
        <f t="shared" si="75"/>
        <v>0.3249591504367963</v>
      </c>
      <c r="M428">
        <f t="shared" si="73"/>
        <v>0</v>
      </c>
      <c r="N428" s="9">
        <f t="shared" si="76"/>
        <v>-0.11369967080273494</v>
      </c>
      <c r="O428">
        <f>COUNTIFS($B$2:B428,B428,$C$2:C428,C428,$D$2:D428,"&lt;"&amp;D428,$F$2:F428,1)</f>
        <v>0</v>
      </c>
      <c r="P428">
        <f t="shared" si="74"/>
        <v>0</v>
      </c>
      <c r="Q428" t="str">
        <f t="shared" si="77"/>
        <v>Monitor</v>
      </c>
      <c r="R428">
        <v>0</v>
      </c>
      <c r="S428">
        <f t="shared" si="78"/>
        <v>0</v>
      </c>
      <c r="T428">
        <f t="shared" si="79"/>
        <v>0</v>
      </c>
      <c r="U428" t="str">
        <f t="shared" si="80"/>
        <v>Improved Enough</v>
      </c>
      <c r="V428" t="str">
        <f t="shared" si="81"/>
        <v>Close</v>
      </c>
      <c r="W428" t="str">
        <f t="shared" si="82"/>
        <v>Normal</v>
      </c>
      <c r="X428" t="str">
        <f t="shared" si="83"/>
        <v>Allowed</v>
      </c>
    </row>
    <row r="429" spans="1:24" x14ac:dyDescent="0.3">
      <c r="A429" t="s">
        <v>10</v>
      </c>
      <c r="B429" t="s">
        <v>29</v>
      </c>
      <c r="C429" t="s">
        <v>15</v>
      </c>
      <c r="D429" s="3">
        <v>45991</v>
      </c>
      <c r="E429" s="6">
        <v>6.1281337047353758E-2</v>
      </c>
      <c r="F429">
        <v>0</v>
      </c>
      <c r="G429" t="s">
        <v>13</v>
      </c>
      <c r="H429" s="6">
        <v>6.6000000000000003E-2</v>
      </c>
      <c r="I429" s="8">
        <v>-4.7619047619047623E-2</v>
      </c>
      <c r="J429" s="5">
        <f t="shared" si="72"/>
        <v>-2.475667272801203E-2</v>
      </c>
      <c r="K429" s="5" cm="1">
        <f t="array" ref="K429">_xlfn.STDEV.S(IF($C:$C=C429,$I:$I))</f>
        <v>0.42334565134305008</v>
      </c>
      <c r="L429" s="7">
        <f t="shared" si="75"/>
        <v>-5.4004038587630379E-2</v>
      </c>
      <c r="M429">
        <f t="shared" si="73"/>
        <v>0</v>
      </c>
      <c r="N429" s="9">
        <f t="shared" si="76"/>
        <v>-7.1494893221912797E-2</v>
      </c>
      <c r="O429">
        <f>COUNTIFS($B$2:B429,B429,$C$2:C429,C429,$D$2:D429,"&lt;"&amp;D429,$F$2:F429,1)</f>
        <v>0</v>
      </c>
      <c r="P429">
        <f t="shared" si="74"/>
        <v>0</v>
      </c>
      <c r="Q429" t="str">
        <f t="shared" si="77"/>
        <v>Monitor</v>
      </c>
      <c r="R429">
        <v>0</v>
      </c>
      <c r="S429">
        <f t="shared" si="78"/>
        <v>0</v>
      </c>
      <c r="T429">
        <f t="shared" si="79"/>
        <v>0</v>
      </c>
      <c r="U429" t="str">
        <f t="shared" si="80"/>
        <v>Not Improved Enough</v>
      </c>
      <c r="V429" t="str">
        <f t="shared" si="81"/>
        <v>Close</v>
      </c>
      <c r="W429" t="str">
        <f t="shared" si="82"/>
        <v>Normal</v>
      </c>
      <c r="X429" t="str">
        <f t="shared" si="83"/>
        <v>Allowed</v>
      </c>
    </row>
    <row r="430" spans="1:24" x14ac:dyDescent="0.3">
      <c r="A430" t="s">
        <v>10</v>
      </c>
      <c r="B430" t="s">
        <v>29</v>
      </c>
      <c r="C430" t="s">
        <v>16</v>
      </c>
      <c r="D430" s="3">
        <v>45535</v>
      </c>
      <c r="E430" s="6">
        <v>4.1666666666666657E-2</v>
      </c>
      <c r="F430">
        <v>0</v>
      </c>
      <c r="G430" t="s">
        <v>17</v>
      </c>
      <c r="H430" s="6">
        <v>0.16400000000000001</v>
      </c>
      <c r="I430" s="8">
        <v>1.0416666666666661</v>
      </c>
      <c r="J430" s="5">
        <f t="shared" si="72"/>
        <v>2.6472445732452773E-2</v>
      </c>
      <c r="K430" s="5" cm="1">
        <f t="array" ref="K430">_xlfn.STDEV.S(IF($C:$C=C430,$I:$I))</f>
        <v>0.13493378643970674</v>
      </c>
      <c r="L430" s="7">
        <f t="shared" si="75"/>
        <v>7.5236473215538089</v>
      </c>
      <c r="M430">
        <f t="shared" si="73"/>
        <v>-1</v>
      </c>
      <c r="N430" s="9">
        <f t="shared" si="76"/>
        <v>0.74593495934959353</v>
      </c>
      <c r="O430">
        <f>COUNTIFS($B$2:B430,B430,$C$2:C430,C430,$D$2:D430,"&lt;"&amp;D430,$F$2:F430,1)</f>
        <v>0</v>
      </c>
      <c r="P430">
        <f t="shared" si="74"/>
        <v>0</v>
      </c>
      <c r="Q430" t="str">
        <f t="shared" si="77"/>
        <v>Monitor</v>
      </c>
      <c r="R430">
        <v>0</v>
      </c>
      <c r="S430">
        <f t="shared" si="78"/>
        <v>0</v>
      </c>
      <c r="T430">
        <f t="shared" si="79"/>
        <v>0</v>
      </c>
      <c r="U430" t="str">
        <f t="shared" si="80"/>
        <v>Improved Enough</v>
      </c>
      <c r="V430" t="str">
        <f t="shared" si="81"/>
        <v>Far</v>
      </c>
      <c r="W430" t="str">
        <f t="shared" si="82"/>
        <v>Normal</v>
      </c>
      <c r="X430" t="str">
        <f t="shared" si="83"/>
        <v>Allowed</v>
      </c>
    </row>
    <row r="431" spans="1:24" x14ac:dyDescent="0.3">
      <c r="A431" t="s">
        <v>10</v>
      </c>
      <c r="B431" t="s">
        <v>29</v>
      </c>
      <c r="C431" t="s">
        <v>16</v>
      </c>
      <c r="D431" s="3">
        <v>45565</v>
      </c>
      <c r="E431" s="6">
        <v>4.1666666666666657E-2</v>
      </c>
      <c r="F431">
        <v>0</v>
      </c>
      <c r="G431" t="s">
        <v>17</v>
      </c>
      <c r="H431" s="6">
        <v>0.16400000000000001</v>
      </c>
      <c r="I431" s="8">
        <v>0</v>
      </c>
      <c r="J431" s="5">
        <f t="shared" si="72"/>
        <v>2.6472445732452773E-2</v>
      </c>
      <c r="K431" s="5" cm="1">
        <f t="array" ref="K431">_xlfn.STDEV.S(IF($C:$C=C431,$I:$I))</f>
        <v>0.13493378643970674</v>
      </c>
      <c r="L431" s="7">
        <f t="shared" si="75"/>
        <v>-0.19618841530309838</v>
      </c>
      <c r="M431">
        <f t="shared" si="73"/>
        <v>0</v>
      </c>
      <c r="N431" s="9">
        <f t="shared" si="76"/>
        <v>0.74593495934959353</v>
      </c>
      <c r="O431">
        <f>COUNTIFS($B$2:B431,B431,$C$2:C431,C431,$D$2:D431,"&lt;"&amp;D431,$F$2:F431,1)</f>
        <v>0</v>
      </c>
      <c r="P431">
        <f t="shared" si="74"/>
        <v>0</v>
      </c>
      <c r="Q431" t="str">
        <f t="shared" si="77"/>
        <v>Monitor</v>
      </c>
      <c r="R431">
        <v>0</v>
      </c>
      <c r="S431">
        <f t="shared" si="78"/>
        <v>0</v>
      </c>
      <c r="T431">
        <f t="shared" si="79"/>
        <v>0</v>
      </c>
      <c r="U431" t="str">
        <f t="shared" si="80"/>
        <v>Not Improved Enough</v>
      </c>
      <c r="V431" t="str">
        <f t="shared" si="81"/>
        <v>Far</v>
      </c>
      <c r="W431" t="str">
        <f t="shared" si="82"/>
        <v>Normal</v>
      </c>
      <c r="X431" t="str">
        <f t="shared" si="83"/>
        <v>Allowed</v>
      </c>
    </row>
    <row r="432" spans="1:24" x14ac:dyDescent="0.3">
      <c r="A432" t="s">
        <v>10</v>
      </c>
      <c r="B432" t="s">
        <v>29</v>
      </c>
      <c r="C432" t="s">
        <v>16</v>
      </c>
      <c r="D432" s="3">
        <v>45596</v>
      </c>
      <c r="E432" s="6">
        <v>4.2553191489361701E-2</v>
      </c>
      <c r="F432">
        <v>0</v>
      </c>
      <c r="G432" t="s">
        <v>17</v>
      </c>
      <c r="H432" s="6">
        <v>0.16400000000000001</v>
      </c>
      <c r="I432" s="8">
        <v>2.1276595744681048E-2</v>
      </c>
      <c r="J432" s="5">
        <f t="shared" si="72"/>
        <v>2.6472445732452773E-2</v>
      </c>
      <c r="K432" s="5" cm="1">
        <f t="array" ref="K432">_xlfn.STDEV.S(IF($C:$C=C432,$I:$I))</f>
        <v>0.13493378643970674</v>
      </c>
      <c r="L432" s="7">
        <f t="shared" si="75"/>
        <v>-3.85066640821898E-2</v>
      </c>
      <c r="M432">
        <f t="shared" si="73"/>
        <v>0</v>
      </c>
      <c r="N432" s="9">
        <f t="shared" si="76"/>
        <v>0.74052932018681883</v>
      </c>
      <c r="O432">
        <f>COUNTIFS($B$2:B432,B432,$C$2:C432,C432,$D$2:D432,"&lt;"&amp;D432,$F$2:F432,1)</f>
        <v>0</v>
      </c>
      <c r="P432">
        <f t="shared" si="74"/>
        <v>0</v>
      </c>
      <c r="Q432" t="str">
        <f t="shared" si="77"/>
        <v>Monitor</v>
      </c>
      <c r="R432">
        <v>0</v>
      </c>
      <c r="S432">
        <f t="shared" si="78"/>
        <v>0</v>
      </c>
      <c r="T432">
        <f t="shared" si="79"/>
        <v>0</v>
      </c>
      <c r="U432" t="str">
        <f t="shared" si="80"/>
        <v>Improved Enough</v>
      </c>
      <c r="V432" t="str">
        <f t="shared" si="81"/>
        <v>Far</v>
      </c>
      <c r="W432" t="str">
        <f t="shared" si="82"/>
        <v>Normal</v>
      </c>
      <c r="X432" t="str">
        <f t="shared" si="83"/>
        <v>Allowed</v>
      </c>
    </row>
    <row r="433" spans="1:24" x14ac:dyDescent="0.3">
      <c r="A433" t="s">
        <v>10</v>
      </c>
      <c r="B433" t="s">
        <v>29</v>
      </c>
      <c r="C433" t="s">
        <v>16</v>
      </c>
      <c r="D433" s="3">
        <v>45626</v>
      </c>
      <c r="E433" s="6">
        <v>6.25E-2</v>
      </c>
      <c r="F433">
        <v>0</v>
      </c>
      <c r="G433" t="s">
        <v>17</v>
      </c>
      <c r="H433" s="6">
        <v>0.16400000000000001</v>
      </c>
      <c r="I433" s="8">
        <v>0.46875000000000011</v>
      </c>
      <c r="J433" s="5">
        <f t="shared" si="72"/>
        <v>2.6472445732452773E-2</v>
      </c>
      <c r="K433" s="5" cm="1">
        <f t="array" ref="K433">_xlfn.STDEV.S(IF($C:$C=C433,$I:$I))</f>
        <v>0.13493378643970674</v>
      </c>
      <c r="L433" s="7">
        <f t="shared" si="75"/>
        <v>3.2777376662825128</v>
      </c>
      <c r="M433">
        <f t="shared" si="73"/>
        <v>-1</v>
      </c>
      <c r="N433" s="9">
        <f t="shared" si="76"/>
        <v>0.61890243902439024</v>
      </c>
      <c r="O433">
        <f>COUNTIFS($B$2:B433,B433,$C$2:C433,C433,$D$2:D433,"&lt;"&amp;D433,$F$2:F433,1)</f>
        <v>0</v>
      </c>
      <c r="P433">
        <f t="shared" si="74"/>
        <v>0</v>
      </c>
      <c r="Q433" t="str">
        <f t="shared" si="77"/>
        <v>Monitor</v>
      </c>
      <c r="R433">
        <v>0</v>
      </c>
      <c r="S433">
        <f t="shared" si="78"/>
        <v>0</v>
      </c>
      <c r="T433">
        <f t="shared" si="79"/>
        <v>0</v>
      </c>
      <c r="U433" t="str">
        <f t="shared" si="80"/>
        <v>Improved Enough</v>
      </c>
      <c r="V433" t="str">
        <f t="shared" si="81"/>
        <v>Far</v>
      </c>
      <c r="W433" t="str">
        <f t="shared" si="82"/>
        <v>Normal</v>
      </c>
      <c r="X433" t="str">
        <f t="shared" si="83"/>
        <v>Allowed</v>
      </c>
    </row>
    <row r="434" spans="1:24" x14ac:dyDescent="0.3">
      <c r="A434" t="s">
        <v>10</v>
      </c>
      <c r="B434" t="s">
        <v>29</v>
      </c>
      <c r="C434" t="s">
        <v>16</v>
      </c>
      <c r="D434" s="3">
        <v>45657</v>
      </c>
      <c r="E434" s="6">
        <v>6.1224489795918373E-2</v>
      </c>
      <c r="F434">
        <v>0</v>
      </c>
      <c r="G434" t="s">
        <v>17</v>
      </c>
      <c r="H434" s="6">
        <v>0.16400000000000001</v>
      </c>
      <c r="I434" s="8">
        <v>-2.0408163265306031E-2</v>
      </c>
      <c r="J434" s="5">
        <f t="shared" si="72"/>
        <v>2.6472445732452773E-2</v>
      </c>
      <c r="K434" s="5" cm="1">
        <f t="array" ref="K434">_xlfn.STDEV.S(IF($C:$C=C434,$I:$I))</f>
        <v>0.13493378643970674</v>
      </c>
      <c r="L434" s="7">
        <f t="shared" si="75"/>
        <v>-0.34743417667825355</v>
      </c>
      <c r="M434">
        <f t="shared" si="73"/>
        <v>0</v>
      </c>
      <c r="N434" s="9">
        <f t="shared" si="76"/>
        <v>0.62667994026879037</v>
      </c>
      <c r="O434">
        <f>COUNTIFS($B$2:B434,B434,$C$2:C434,C434,$D$2:D434,"&lt;"&amp;D434,$F$2:F434,1)</f>
        <v>0</v>
      </c>
      <c r="P434">
        <f t="shared" si="74"/>
        <v>0</v>
      </c>
      <c r="Q434" t="str">
        <f t="shared" si="77"/>
        <v>Monitor</v>
      </c>
      <c r="R434">
        <v>0</v>
      </c>
      <c r="S434">
        <f t="shared" si="78"/>
        <v>0</v>
      </c>
      <c r="T434">
        <f t="shared" si="79"/>
        <v>0</v>
      </c>
      <c r="U434" t="str">
        <f t="shared" si="80"/>
        <v>Not Improved Enough</v>
      </c>
      <c r="V434" t="str">
        <f t="shared" si="81"/>
        <v>Far</v>
      </c>
      <c r="W434" t="str">
        <f t="shared" si="82"/>
        <v>Normal</v>
      </c>
      <c r="X434" t="str">
        <f t="shared" si="83"/>
        <v>Allowed</v>
      </c>
    </row>
    <row r="435" spans="1:24" x14ac:dyDescent="0.3">
      <c r="A435" t="s">
        <v>10</v>
      </c>
      <c r="B435" t="s">
        <v>29</v>
      </c>
      <c r="C435" t="s">
        <v>16</v>
      </c>
      <c r="D435" s="3">
        <v>45688</v>
      </c>
      <c r="E435" s="6">
        <v>4.0816326530612242E-2</v>
      </c>
      <c r="F435">
        <v>0</v>
      </c>
      <c r="G435" t="s">
        <v>17</v>
      </c>
      <c r="H435" s="6">
        <v>0.16400000000000001</v>
      </c>
      <c r="I435" s="8">
        <v>-0.33333333333333343</v>
      </c>
      <c r="J435" s="5">
        <f t="shared" si="72"/>
        <v>2.6472445732452773E-2</v>
      </c>
      <c r="K435" s="5" cm="1">
        <f t="array" ref="K435">_xlfn.STDEV.S(IF($C:$C=C435,$I:$I))</f>
        <v>0.13493378643970674</v>
      </c>
      <c r="L435" s="7">
        <f t="shared" si="75"/>
        <v>-2.6665358510973109</v>
      </c>
      <c r="M435">
        <f t="shared" si="73"/>
        <v>1</v>
      </c>
      <c r="N435" s="9">
        <f t="shared" si="76"/>
        <v>0.75111996017919369</v>
      </c>
      <c r="O435">
        <f>COUNTIFS($B$2:B435,B435,$C$2:C435,C435,$D$2:D435,"&lt;"&amp;D435,$F$2:F435,1)</f>
        <v>0</v>
      </c>
      <c r="P435">
        <f t="shared" si="74"/>
        <v>0</v>
      </c>
      <c r="Q435" t="str">
        <f t="shared" si="77"/>
        <v>Intervene</v>
      </c>
      <c r="R435">
        <v>0</v>
      </c>
      <c r="S435">
        <f t="shared" si="78"/>
        <v>1</v>
      </c>
      <c r="T435">
        <f t="shared" si="79"/>
        <v>1</v>
      </c>
      <c r="U435" t="str">
        <f t="shared" si="80"/>
        <v>Not Improved Enough</v>
      </c>
      <c r="V435" t="str">
        <f t="shared" si="81"/>
        <v>Far</v>
      </c>
      <c r="W435" t="str">
        <f t="shared" si="82"/>
        <v>Abnormal</v>
      </c>
      <c r="X435" t="str">
        <f t="shared" si="83"/>
        <v>Allowed</v>
      </c>
    </row>
    <row r="436" spans="1:24" x14ac:dyDescent="0.3">
      <c r="A436" t="s">
        <v>10</v>
      </c>
      <c r="B436" t="s">
        <v>29</v>
      </c>
      <c r="C436" t="s">
        <v>16</v>
      </c>
      <c r="D436" s="3">
        <v>45716</v>
      </c>
      <c r="E436" s="6">
        <v>5.8823529411764712E-2</v>
      </c>
      <c r="F436">
        <v>0</v>
      </c>
      <c r="G436" t="s">
        <v>17</v>
      </c>
      <c r="H436" s="6">
        <v>0.16400000000000001</v>
      </c>
      <c r="I436" s="8">
        <v>0.44117647058823561</v>
      </c>
      <c r="J436" s="5">
        <f t="shared" si="72"/>
        <v>2.6472445732452773E-2</v>
      </c>
      <c r="K436" s="5" cm="1">
        <f t="array" ref="K436">_xlfn.STDEV.S(IF($C:$C=C436,$I:$I))</f>
        <v>0.13493378643970674</v>
      </c>
      <c r="L436" s="7">
        <f t="shared" si="75"/>
        <v>3.0733890732480664</v>
      </c>
      <c r="M436">
        <f t="shared" si="73"/>
        <v>-1</v>
      </c>
      <c r="N436" s="9">
        <f t="shared" si="76"/>
        <v>0.64131994261119074</v>
      </c>
      <c r="O436">
        <f>COUNTIFS($B$2:B436,B436,$C$2:C436,C436,$D$2:D436,"&lt;"&amp;D436,$F$2:F436,1)</f>
        <v>0</v>
      </c>
      <c r="P436">
        <f t="shared" si="74"/>
        <v>0</v>
      </c>
      <c r="Q436" t="str">
        <f t="shared" si="77"/>
        <v>Monitor</v>
      </c>
      <c r="R436">
        <v>0</v>
      </c>
      <c r="S436">
        <f t="shared" si="78"/>
        <v>0</v>
      </c>
      <c r="T436">
        <f t="shared" si="79"/>
        <v>0</v>
      </c>
      <c r="U436" t="str">
        <f t="shared" si="80"/>
        <v>Improved Enough</v>
      </c>
      <c r="V436" t="str">
        <f t="shared" si="81"/>
        <v>Far</v>
      </c>
      <c r="W436" t="str">
        <f t="shared" si="82"/>
        <v>Normal</v>
      </c>
      <c r="X436" t="str">
        <f t="shared" si="83"/>
        <v>Allowed</v>
      </c>
    </row>
    <row r="437" spans="1:24" x14ac:dyDescent="0.3">
      <c r="A437" t="s">
        <v>10</v>
      </c>
      <c r="B437" t="s">
        <v>29</v>
      </c>
      <c r="C437" t="s">
        <v>16</v>
      </c>
      <c r="D437" s="3">
        <v>45747</v>
      </c>
      <c r="E437" s="6">
        <v>5.7692307692307702E-2</v>
      </c>
      <c r="F437">
        <v>0</v>
      </c>
      <c r="G437" t="s">
        <v>17</v>
      </c>
      <c r="H437" s="6">
        <v>0.16400000000000001</v>
      </c>
      <c r="I437" s="8">
        <v>-1.9230769230769159E-2</v>
      </c>
      <c r="J437" s="5">
        <f t="shared" si="72"/>
        <v>2.6472445732452773E-2</v>
      </c>
      <c r="K437" s="5" cm="1">
        <f t="array" ref="K437">_xlfn.STDEV.S(IF($C:$C=C437,$I:$I))</f>
        <v>0.13493378643970674</v>
      </c>
      <c r="L437" s="7">
        <f t="shared" si="75"/>
        <v>-0.33870845967584085</v>
      </c>
      <c r="M437">
        <f t="shared" si="73"/>
        <v>0</v>
      </c>
      <c r="N437" s="9">
        <f t="shared" si="76"/>
        <v>0.64821763602251403</v>
      </c>
      <c r="O437">
        <f>COUNTIFS($B$2:B437,B437,$C$2:C437,C437,$D$2:D437,"&lt;"&amp;D437,$F$2:F437,1)</f>
        <v>0</v>
      </c>
      <c r="P437">
        <f t="shared" si="74"/>
        <v>0</v>
      </c>
      <c r="Q437" t="str">
        <f t="shared" si="77"/>
        <v>Monitor</v>
      </c>
      <c r="R437">
        <v>0</v>
      </c>
      <c r="S437">
        <f t="shared" si="78"/>
        <v>0</v>
      </c>
      <c r="T437">
        <f t="shared" si="79"/>
        <v>0</v>
      </c>
      <c r="U437" t="str">
        <f t="shared" si="80"/>
        <v>Not Improved Enough</v>
      </c>
      <c r="V437" t="str">
        <f t="shared" si="81"/>
        <v>Far</v>
      </c>
      <c r="W437" t="str">
        <f t="shared" si="82"/>
        <v>Normal</v>
      </c>
      <c r="X437" t="str">
        <f t="shared" si="83"/>
        <v>Allowed</v>
      </c>
    </row>
    <row r="438" spans="1:24" x14ac:dyDescent="0.3">
      <c r="A438" t="s">
        <v>10</v>
      </c>
      <c r="B438" t="s">
        <v>29</v>
      </c>
      <c r="C438" t="s">
        <v>16</v>
      </c>
      <c r="D438" s="3">
        <v>45777</v>
      </c>
      <c r="E438" s="6">
        <v>5.8823529411764712E-2</v>
      </c>
      <c r="F438">
        <v>0</v>
      </c>
      <c r="G438" t="s">
        <v>17</v>
      </c>
      <c r="H438" s="6">
        <v>0.16400000000000001</v>
      </c>
      <c r="I438" s="8">
        <v>1.9607843137254829E-2</v>
      </c>
      <c r="J438" s="5">
        <f t="shared" si="72"/>
        <v>2.6472445732452773E-2</v>
      </c>
      <c r="K438" s="5" cm="1">
        <f t="array" ref="K438">_xlfn.STDEV.S(IF($C:$C=C438,$I:$I))</f>
        <v>0.13493378643970674</v>
      </c>
      <c r="L438" s="7">
        <f t="shared" si="75"/>
        <v>-5.0873860256380597E-2</v>
      </c>
      <c r="M438">
        <f t="shared" si="73"/>
        <v>0</v>
      </c>
      <c r="N438" s="9">
        <f t="shared" si="76"/>
        <v>0.64131994261119074</v>
      </c>
      <c r="O438">
        <f>COUNTIFS($B$2:B438,B438,$C$2:C438,C438,$D$2:D438,"&lt;"&amp;D438,$F$2:F438,1)</f>
        <v>0</v>
      </c>
      <c r="P438">
        <f t="shared" si="74"/>
        <v>0</v>
      </c>
      <c r="Q438" t="str">
        <f t="shared" si="77"/>
        <v>Monitor</v>
      </c>
      <c r="R438">
        <v>0</v>
      </c>
      <c r="S438">
        <f t="shared" si="78"/>
        <v>0</v>
      </c>
      <c r="T438">
        <f t="shared" si="79"/>
        <v>0</v>
      </c>
      <c r="U438" t="str">
        <f t="shared" si="80"/>
        <v>Improved Enough</v>
      </c>
      <c r="V438" t="str">
        <f t="shared" si="81"/>
        <v>Far</v>
      </c>
      <c r="W438" t="str">
        <f t="shared" si="82"/>
        <v>Normal</v>
      </c>
      <c r="X438" t="str">
        <f t="shared" si="83"/>
        <v>Allowed</v>
      </c>
    </row>
    <row r="439" spans="1:24" x14ac:dyDescent="0.3">
      <c r="A439" t="s">
        <v>10</v>
      </c>
      <c r="B439" t="s">
        <v>29</v>
      </c>
      <c r="C439" t="s">
        <v>16</v>
      </c>
      <c r="D439" s="3">
        <v>45808</v>
      </c>
      <c r="E439" s="6">
        <v>0.06</v>
      </c>
      <c r="F439">
        <v>0</v>
      </c>
      <c r="G439" t="s">
        <v>17</v>
      </c>
      <c r="H439" s="6">
        <v>0.16400000000000001</v>
      </c>
      <c r="I439" s="8">
        <v>1.9999999999999851E-2</v>
      </c>
      <c r="J439" s="5">
        <f t="shared" si="72"/>
        <v>2.6472445732452773E-2</v>
      </c>
      <c r="K439" s="5" cm="1">
        <f t="array" ref="K439">_xlfn.STDEV.S(IF($C:$C=C439,$I:$I))</f>
        <v>0.13493378643970674</v>
      </c>
      <c r="L439" s="7">
        <f t="shared" si="75"/>
        <v>-4.7967569155446789E-2</v>
      </c>
      <c r="M439">
        <f t="shared" si="73"/>
        <v>0</v>
      </c>
      <c r="N439" s="9">
        <f t="shared" si="76"/>
        <v>0.63414634146341464</v>
      </c>
      <c r="O439">
        <f>COUNTIFS($B$2:B439,B439,$C$2:C439,C439,$D$2:D439,"&lt;"&amp;D439,$F$2:F439,1)</f>
        <v>0</v>
      </c>
      <c r="P439">
        <f t="shared" si="74"/>
        <v>0</v>
      </c>
      <c r="Q439" t="str">
        <f t="shared" si="77"/>
        <v>Monitor</v>
      </c>
      <c r="R439">
        <v>0</v>
      </c>
      <c r="S439">
        <f t="shared" si="78"/>
        <v>0</v>
      </c>
      <c r="T439">
        <f t="shared" si="79"/>
        <v>0</v>
      </c>
      <c r="U439" t="str">
        <f t="shared" si="80"/>
        <v>Improved Enough</v>
      </c>
      <c r="V439" t="str">
        <f t="shared" si="81"/>
        <v>Far</v>
      </c>
      <c r="W439" t="str">
        <f t="shared" si="82"/>
        <v>Normal</v>
      </c>
      <c r="X439" t="str">
        <f t="shared" si="83"/>
        <v>Allowed</v>
      </c>
    </row>
    <row r="440" spans="1:24" x14ac:dyDescent="0.3">
      <c r="A440" t="s">
        <v>10</v>
      </c>
      <c r="B440" t="s">
        <v>29</v>
      </c>
      <c r="C440" t="s">
        <v>16</v>
      </c>
      <c r="D440" s="3">
        <v>45838</v>
      </c>
      <c r="E440" s="6">
        <v>5.8823529411764712E-2</v>
      </c>
      <c r="F440">
        <v>0</v>
      </c>
      <c r="G440" t="s">
        <v>17</v>
      </c>
      <c r="H440" s="6">
        <v>0.16400000000000001</v>
      </c>
      <c r="I440" s="8">
        <v>-1.9607843137254759E-2</v>
      </c>
      <c r="J440" s="5">
        <f t="shared" si="72"/>
        <v>2.6472445732452773E-2</v>
      </c>
      <c r="K440" s="5" cm="1">
        <f t="array" ref="K440">_xlfn.STDEV.S(IF($C:$C=C440,$I:$I))</f>
        <v>0.13493378643970674</v>
      </c>
      <c r="L440" s="7">
        <f t="shared" si="75"/>
        <v>-0.34150297034981569</v>
      </c>
      <c r="M440">
        <f t="shared" si="73"/>
        <v>0</v>
      </c>
      <c r="N440" s="9">
        <f t="shared" si="76"/>
        <v>0.64131994261119074</v>
      </c>
      <c r="O440">
        <f>COUNTIFS($B$2:B440,B440,$C$2:C440,C440,$D$2:D440,"&lt;"&amp;D440,$F$2:F440,1)</f>
        <v>0</v>
      </c>
      <c r="P440">
        <f t="shared" si="74"/>
        <v>0</v>
      </c>
      <c r="Q440" t="str">
        <f t="shared" si="77"/>
        <v>Monitor</v>
      </c>
      <c r="R440">
        <v>0</v>
      </c>
      <c r="S440">
        <f t="shared" si="78"/>
        <v>0</v>
      </c>
      <c r="T440">
        <f t="shared" si="79"/>
        <v>0</v>
      </c>
      <c r="U440" t="str">
        <f t="shared" si="80"/>
        <v>Not Improved Enough</v>
      </c>
      <c r="V440" t="str">
        <f t="shared" si="81"/>
        <v>Far</v>
      </c>
      <c r="W440" t="str">
        <f t="shared" si="82"/>
        <v>Normal</v>
      </c>
      <c r="X440" t="str">
        <f t="shared" si="83"/>
        <v>Allowed</v>
      </c>
    </row>
    <row r="441" spans="1:24" x14ac:dyDescent="0.3">
      <c r="A441" t="s">
        <v>10</v>
      </c>
      <c r="B441" t="s">
        <v>29</v>
      </c>
      <c r="C441" t="s">
        <v>16</v>
      </c>
      <c r="D441" s="3">
        <v>45869</v>
      </c>
      <c r="E441" s="6">
        <v>5.7692307692307702E-2</v>
      </c>
      <c r="F441">
        <v>0</v>
      </c>
      <c r="G441" t="s">
        <v>17</v>
      </c>
      <c r="H441" s="6">
        <v>0.16400000000000001</v>
      </c>
      <c r="I441" s="8">
        <v>-1.9230769230769159E-2</v>
      </c>
      <c r="J441" s="5">
        <f t="shared" si="72"/>
        <v>2.6472445732452773E-2</v>
      </c>
      <c r="K441" s="5" cm="1">
        <f t="array" ref="K441">_xlfn.STDEV.S(IF($C:$C=C441,$I:$I))</f>
        <v>0.13493378643970674</v>
      </c>
      <c r="L441" s="7">
        <f t="shared" si="75"/>
        <v>-0.33870845967584085</v>
      </c>
      <c r="M441">
        <f t="shared" si="73"/>
        <v>0</v>
      </c>
      <c r="N441" s="9">
        <f t="shared" si="76"/>
        <v>0.64821763602251403</v>
      </c>
      <c r="O441">
        <f>COUNTIFS($B$2:B441,B441,$C$2:C441,C441,$D$2:D441,"&lt;"&amp;D441,$F$2:F441,1)</f>
        <v>0</v>
      </c>
      <c r="P441">
        <f t="shared" si="74"/>
        <v>0</v>
      </c>
      <c r="Q441" t="str">
        <f t="shared" si="77"/>
        <v>Monitor</v>
      </c>
      <c r="R441">
        <v>0</v>
      </c>
      <c r="S441">
        <f t="shared" si="78"/>
        <v>0</v>
      </c>
      <c r="T441">
        <f t="shared" si="79"/>
        <v>0</v>
      </c>
      <c r="U441" t="str">
        <f t="shared" si="80"/>
        <v>Not Improved Enough</v>
      </c>
      <c r="V441" t="str">
        <f t="shared" si="81"/>
        <v>Far</v>
      </c>
      <c r="W441" t="str">
        <f t="shared" si="82"/>
        <v>Normal</v>
      </c>
      <c r="X441" t="str">
        <f t="shared" si="83"/>
        <v>Allowed</v>
      </c>
    </row>
    <row r="442" spans="1:24" x14ac:dyDescent="0.3">
      <c r="A442" t="s">
        <v>10</v>
      </c>
      <c r="B442" t="s">
        <v>29</v>
      </c>
      <c r="C442" t="s">
        <v>16</v>
      </c>
      <c r="D442" s="3">
        <v>45900</v>
      </c>
      <c r="E442" s="6">
        <v>5.7692307692307702E-2</v>
      </c>
      <c r="F442">
        <v>0</v>
      </c>
      <c r="G442" t="s">
        <v>17</v>
      </c>
      <c r="H442" s="6">
        <v>0.16400000000000001</v>
      </c>
      <c r="I442" s="8">
        <v>0</v>
      </c>
      <c r="J442" s="5">
        <f t="shared" si="72"/>
        <v>2.6472445732452773E-2</v>
      </c>
      <c r="K442" s="5" cm="1">
        <f t="array" ref="K442">_xlfn.STDEV.S(IF($C:$C=C442,$I:$I))</f>
        <v>0.13493378643970674</v>
      </c>
      <c r="L442" s="7">
        <f t="shared" si="75"/>
        <v>-0.19618841530309838</v>
      </c>
      <c r="M442">
        <f t="shared" si="73"/>
        <v>0</v>
      </c>
      <c r="N442" s="9">
        <f t="shared" si="76"/>
        <v>0.64821763602251403</v>
      </c>
      <c r="O442">
        <f>COUNTIFS($B$2:B442,B442,$C$2:C442,C442,$D$2:D442,"&lt;"&amp;D442,$F$2:F442,1)</f>
        <v>0</v>
      </c>
      <c r="P442">
        <f t="shared" si="74"/>
        <v>0</v>
      </c>
      <c r="Q442" t="str">
        <f t="shared" si="77"/>
        <v>Monitor</v>
      </c>
      <c r="R442">
        <v>0</v>
      </c>
      <c r="S442">
        <f t="shared" si="78"/>
        <v>0</v>
      </c>
      <c r="T442">
        <f t="shared" si="79"/>
        <v>0</v>
      </c>
      <c r="U442" t="str">
        <f t="shared" si="80"/>
        <v>Not Improved Enough</v>
      </c>
      <c r="V442" t="str">
        <f t="shared" si="81"/>
        <v>Far</v>
      </c>
      <c r="W442" t="str">
        <f t="shared" si="82"/>
        <v>Normal</v>
      </c>
      <c r="X442" t="str">
        <f t="shared" si="83"/>
        <v>Allowed</v>
      </c>
    </row>
    <row r="443" spans="1:24" x14ac:dyDescent="0.3">
      <c r="A443" t="s">
        <v>10</v>
      </c>
      <c r="B443" t="s">
        <v>29</v>
      </c>
      <c r="C443" t="s">
        <v>16</v>
      </c>
      <c r="D443" s="3">
        <v>45930</v>
      </c>
      <c r="E443" s="6">
        <v>5.5555555555555552E-2</v>
      </c>
      <c r="F443">
        <v>0</v>
      </c>
      <c r="G443" t="s">
        <v>17</v>
      </c>
      <c r="H443" s="6">
        <v>0.16400000000000001</v>
      </c>
      <c r="I443" s="8">
        <v>-3.7037037037037257E-2</v>
      </c>
      <c r="J443" s="5">
        <f t="shared" si="72"/>
        <v>2.6472445732452773E-2</v>
      </c>
      <c r="K443" s="5" cm="1">
        <f t="array" ref="K443">_xlfn.STDEV.S(IF($C:$C=C443,$I:$I))</f>
        <v>0.13493378643970674</v>
      </c>
      <c r="L443" s="7">
        <f t="shared" si="75"/>
        <v>-0.47067146372467911</v>
      </c>
      <c r="M443">
        <f t="shared" si="73"/>
        <v>0</v>
      </c>
      <c r="N443" s="9">
        <f t="shared" si="76"/>
        <v>0.66124661246612471</v>
      </c>
      <c r="O443">
        <f>COUNTIFS($B$2:B443,B443,$C$2:C443,C443,$D$2:D443,"&lt;"&amp;D443,$F$2:F443,1)</f>
        <v>0</v>
      </c>
      <c r="P443">
        <f t="shared" si="74"/>
        <v>0</v>
      </c>
      <c r="Q443" t="str">
        <f t="shared" si="77"/>
        <v>Monitor</v>
      </c>
      <c r="R443">
        <v>0</v>
      </c>
      <c r="S443">
        <f t="shared" si="78"/>
        <v>0</v>
      </c>
      <c r="T443">
        <f t="shared" si="79"/>
        <v>0</v>
      </c>
      <c r="U443" t="str">
        <f t="shared" si="80"/>
        <v>Not Improved Enough</v>
      </c>
      <c r="V443" t="str">
        <f t="shared" si="81"/>
        <v>Far</v>
      </c>
      <c r="W443" t="str">
        <f t="shared" si="82"/>
        <v>Normal</v>
      </c>
      <c r="X443" t="str">
        <f t="shared" si="83"/>
        <v>Allowed</v>
      </c>
    </row>
    <row r="444" spans="1:24" x14ac:dyDescent="0.3">
      <c r="A444" t="s">
        <v>10</v>
      </c>
      <c r="B444" t="s">
        <v>29</v>
      </c>
      <c r="C444" t="s">
        <v>16</v>
      </c>
      <c r="D444" s="3">
        <v>45961</v>
      </c>
      <c r="E444" s="6">
        <v>5.5555555555555552E-2</v>
      </c>
      <c r="F444">
        <v>0</v>
      </c>
      <c r="G444" t="s">
        <v>17</v>
      </c>
      <c r="H444" s="6">
        <v>0.16400000000000001</v>
      </c>
      <c r="I444" s="8">
        <v>0</v>
      </c>
      <c r="J444" s="5">
        <f t="shared" si="72"/>
        <v>2.6472445732452773E-2</v>
      </c>
      <c r="K444" s="5" cm="1">
        <f t="array" ref="K444">_xlfn.STDEV.S(IF($C:$C=C444,$I:$I))</f>
        <v>0.13493378643970674</v>
      </c>
      <c r="L444" s="7">
        <f t="shared" si="75"/>
        <v>-0.19618841530309838</v>
      </c>
      <c r="M444">
        <f t="shared" si="73"/>
        <v>0</v>
      </c>
      <c r="N444" s="9">
        <f t="shared" si="76"/>
        <v>0.66124661246612471</v>
      </c>
      <c r="O444">
        <f>COUNTIFS($B$2:B444,B444,$C$2:C444,C444,$D$2:D444,"&lt;"&amp;D444,$F$2:F444,1)</f>
        <v>0</v>
      </c>
      <c r="P444">
        <f t="shared" si="74"/>
        <v>0</v>
      </c>
      <c r="Q444" t="str">
        <f t="shared" si="77"/>
        <v>Monitor</v>
      </c>
      <c r="R444">
        <v>0</v>
      </c>
      <c r="S444">
        <f t="shared" si="78"/>
        <v>0</v>
      </c>
      <c r="T444">
        <f t="shared" si="79"/>
        <v>0</v>
      </c>
      <c r="U444" t="str">
        <f t="shared" si="80"/>
        <v>Not Improved Enough</v>
      </c>
      <c r="V444" t="str">
        <f t="shared" si="81"/>
        <v>Far</v>
      </c>
      <c r="W444" t="str">
        <f t="shared" si="82"/>
        <v>Normal</v>
      </c>
      <c r="X444" t="str">
        <f t="shared" si="83"/>
        <v>Allowed</v>
      </c>
    </row>
    <row r="445" spans="1:24" x14ac:dyDescent="0.3">
      <c r="A445" t="s">
        <v>10</v>
      </c>
      <c r="B445" t="s">
        <v>29</v>
      </c>
      <c r="C445" t="s">
        <v>16</v>
      </c>
      <c r="D445" s="3">
        <v>45991</v>
      </c>
      <c r="E445" s="6">
        <v>5.5555555555555552E-2</v>
      </c>
      <c r="F445">
        <v>0</v>
      </c>
      <c r="G445" t="s">
        <v>17</v>
      </c>
      <c r="H445" s="6">
        <v>0.16400000000000001</v>
      </c>
      <c r="I445" s="8">
        <v>0</v>
      </c>
      <c r="J445" s="5">
        <f t="shared" si="72"/>
        <v>2.6472445732452773E-2</v>
      </c>
      <c r="K445" s="5" cm="1">
        <f t="array" ref="K445">_xlfn.STDEV.S(IF($C:$C=C445,$I:$I))</f>
        <v>0.13493378643970674</v>
      </c>
      <c r="L445" s="7">
        <f t="shared" si="75"/>
        <v>-0.19618841530309838</v>
      </c>
      <c r="M445">
        <f t="shared" si="73"/>
        <v>0</v>
      </c>
      <c r="N445" s="9">
        <f t="shared" si="76"/>
        <v>0.66124661246612471</v>
      </c>
      <c r="O445">
        <f>COUNTIFS($B$2:B445,B445,$C$2:C445,C445,$D$2:D445,"&lt;"&amp;D445,$F$2:F445,1)</f>
        <v>0</v>
      </c>
      <c r="P445">
        <f t="shared" si="74"/>
        <v>0</v>
      </c>
      <c r="Q445" t="str">
        <f t="shared" si="77"/>
        <v>Monitor</v>
      </c>
      <c r="R445">
        <v>0</v>
      </c>
      <c r="S445">
        <f t="shared" si="78"/>
        <v>0</v>
      </c>
      <c r="T445">
        <f t="shared" si="79"/>
        <v>0</v>
      </c>
      <c r="U445" t="str">
        <f t="shared" si="80"/>
        <v>Not Improved Enough</v>
      </c>
      <c r="V445" t="str">
        <f t="shared" si="81"/>
        <v>Far</v>
      </c>
      <c r="W445" t="str">
        <f t="shared" si="82"/>
        <v>Normal</v>
      </c>
      <c r="X445" t="str">
        <f t="shared" si="83"/>
        <v>Allowed</v>
      </c>
    </row>
    <row r="446" spans="1:24" x14ac:dyDescent="0.3">
      <c r="A446" t="s">
        <v>10</v>
      </c>
      <c r="B446" t="s">
        <v>29</v>
      </c>
      <c r="C446" t="s">
        <v>18</v>
      </c>
      <c r="D446" s="3">
        <v>45535</v>
      </c>
      <c r="E446" s="6">
        <v>8.4315503173164094E-2</v>
      </c>
      <c r="F446">
        <v>0</v>
      </c>
      <c r="G446" t="s">
        <v>13</v>
      </c>
      <c r="H446" s="6">
        <v>0.104</v>
      </c>
      <c r="I446" s="8">
        <v>-7.5757975078538362E-2</v>
      </c>
      <c r="J446" s="5">
        <f t="shared" si="72"/>
        <v>1.7244519882342341E-3</v>
      </c>
      <c r="K446" s="5" cm="1">
        <f t="array" ref="K446">_xlfn.STDEV.S(IF($C:$C=C446,$I:$I))</f>
        <v>8.3117651155014696E-2</v>
      </c>
      <c r="L446" s="7">
        <f t="shared" si="75"/>
        <v>-0.9322018366744701</v>
      </c>
      <c r="M446">
        <f t="shared" si="73"/>
        <v>1</v>
      </c>
      <c r="N446" s="9">
        <f t="shared" si="76"/>
        <v>-0.18927400795034521</v>
      </c>
      <c r="O446">
        <f>COUNTIFS($B$2:B446,B446,$C$2:C446,C446,$D$2:D446,"&lt;"&amp;D446,$F$2:F446,1)</f>
        <v>0</v>
      </c>
      <c r="P446">
        <f t="shared" si="74"/>
        <v>0</v>
      </c>
      <c r="Q446" t="str">
        <f t="shared" si="77"/>
        <v>Monitor</v>
      </c>
      <c r="R446">
        <v>0</v>
      </c>
      <c r="S446">
        <f t="shared" si="78"/>
        <v>0</v>
      </c>
      <c r="T446">
        <f t="shared" si="79"/>
        <v>0</v>
      </c>
      <c r="U446" t="str">
        <f t="shared" si="80"/>
        <v>Not Improved Enough</v>
      </c>
      <c r="V446" t="str">
        <f t="shared" si="81"/>
        <v>Close</v>
      </c>
      <c r="W446" t="str">
        <f t="shared" si="82"/>
        <v>Abnormal</v>
      </c>
      <c r="X446" t="str">
        <f t="shared" si="83"/>
        <v>Allowed</v>
      </c>
    </row>
    <row r="447" spans="1:24" x14ac:dyDescent="0.3">
      <c r="A447" t="s">
        <v>10</v>
      </c>
      <c r="B447" t="s">
        <v>29</v>
      </c>
      <c r="C447" t="s">
        <v>18</v>
      </c>
      <c r="D447" s="3">
        <v>45565</v>
      </c>
      <c r="E447" s="6">
        <v>8.3859332732191164E-2</v>
      </c>
      <c r="F447">
        <v>0</v>
      </c>
      <c r="G447" t="s">
        <v>13</v>
      </c>
      <c r="H447" s="6">
        <v>0.104</v>
      </c>
      <c r="I447" s="8">
        <v>5.4102795311090583E-3</v>
      </c>
      <c r="J447" s="5">
        <f t="shared" si="72"/>
        <v>1.7244519882342341E-3</v>
      </c>
      <c r="K447" s="5" cm="1">
        <f t="array" ref="K447">_xlfn.STDEV.S(IF($C:$C=C447,$I:$I))</f>
        <v>8.3117651155014696E-2</v>
      </c>
      <c r="L447" s="7">
        <f t="shared" si="75"/>
        <v>4.4344702859814261E-2</v>
      </c>
      <c r="M447">
        <f t="shared" si="73"/>
        <v>0</v>
      </c>
      <c r="N447" s="9">
        <f t="shared" si="76"/>
        <v>-0.19366026219046956</v>
      </c>
      <c r="O447">
        <f>COUNTIFS($B$2:B447,B447,$C$2:C447,C447,$D$2:D447,"&lt;"&amp;D447,$F$2:F447,1)</f>
        <v>0</v>
      </c>
      <c r="P447">
        <f t="shared" si="74"/>
        <v>0</v>
      </c>
      <c r="Q447" t="str">
        <f t="shared" si="77"/>
        <v>Monitor</v>
      </c>
      <c r="R447">
        <v>0</v>
      </c>
      <c r="S447">
        <f t="shared" si="78"/>
        <v>0</v>
      </c>
      <c r="T447">
        <f t="shared" si="79"/>
        <v>0</v>
      </c>
      <c r="U447" t="str">
        <f t="shared" si="80"/>
        <v>Not Improved Enough</v>
      </c>
      <c r="V447" t="str">
        <f t="shared" si="81"/>
        <v>Close</v>
      </c>
      <c r="W447" t="str">
        <f t="shared" si="82"/>
        <v>Normal</v>
      </c>
      <c r="X447" t="str">
        <f t="shared" si="83"/>
        <v>Allowed</v>
      </c>
    </row>
    <row r="448" spans="1:24" x14ac:dyDescent="0.3">
      <c r="A448" t="s">
        <v>10</v>
      </c>
      <c r="B448" t="s">
        <v>29</v>
      </c>
      <c r="C448" t="s">
        <v>18</v>
      </c>
      <c r="D448" s="3">
        <v>45596</v>
      </c>
      <c r="E448" s="6">
        <v>8.6363295599370268E-2</v>
      </c>
      <c r="F448">
        <v>0</v>
      </c>
      <c r="G448" t="s">
        <v>13</v>
      </c>
      <c r="H448" s="6">
        <v>0.104</v>
      </c>
      <c r="I448" s="8">
        <v>-2.9859084082813191E-2</v>
      </c>
      <c r="J448" s="5">
        <f t="shared" si="72"/>
        <v>1.7244519882342341E-3</v>
      </c>
      <c r="K448" s="5" cm="1">
        <f t="array" ref="K448">_xlfn.STDEV.S(IF($C:$C=C448,$I:$I))</f>
        <v>8.3117651155014696E-2</v>
      </c>
      <c r="L448" s="7">
        <f t="shared" si="75"/>
        <v>-0.37998590711068131</v>
      </c>
      <c r="M448">
        <f t="shared" si="73"/>
        <v>0</v>
      </c>
      <c r="N448" s="9">
        <f t="shared" si="76"/>
        <v>-0.16958369615990124</v>
      </c>
      <c r="O448">
        <f>COUNTIFS($B$2:B448,B448,$C$2:C448,C448,$D$2:D448,"&lt;"&amp;D448,$F$2:F448,1)</f>
        <v>0</v>
      </c>
      <c r="P448">
        <f t="shared" si="74"/>
        <v>0</v>
      </c>
      <c r="Q448" t="str">
        <f t="shared" si="77"/>
        <v>Monitor</v>
      </c>
      <c r="R448">
        <v>0</v>
      </c>
      <c r="S448">
        <f t="shared" si="78"/>
        <v>0</v>
      </c>
      <c r="T448">
        <f t="shared" si="79"/>
        <v>0</v>
      </c>
      <c r="U448" t="str">
        <f t="shared" si="80"/>
        <v>Not Improved Enough</v>
      </c>
      <c r="V448" t="str">
        <f t="shared" si="81"/>
        <v>Close</v>
      </c>
      <c r="W448" t="str">
        <f t="shared" si="82"/>
        <v>Normal</v>
      </c>
      <c r="X448" t="str">
        <f t="shared" si="83"/>
        <v>Allowed</v>
      </c>
    </row>
    <row r="449" spans="1:24" x14ac:dyDescent="0.3">
      <c r="A449" t="s">
        <v>10</v>
      </c>
      <c r="B449" t="s">
        <v>29</v>
      </c>
      <c r="C449" t="s">
        <v>18</v>
      </c>
      <c r="D449" s="3">
        <v>45626</v>
      </c>
      <c r="E449" s="6">
        <v>8.6989014000000003E-2</v>
      </c>
      <c r="F449">
        <v>0</v>
      </c>
      <c r="G449" t="s">
        <v>13</v>
      </c>
      <c r="H449" s="6">
        <v>0.104</v>
      </c>
      <c r="I449" s="8">
        <v>-7.2451890156250308E-3</v>
      </c>
      <c r="J449" s="5">
        <f t="shared" si="72"/>
        <v>1.7244519882342341E-3</v>
      </c>
      <c r="K449" s="5" cm="1">
        <f t="array" ref="K449">_xlfn.STDEV.S(IF($C:$C=C449,$I:$I))</f>
        <v>8.3117651155014696E-2</v>
      </c>
      <c r="L449" s="7">
        <f t="shared" si="75"/>
        <v>-0.10791499614360918</v>
      </c>
      <c r="M449">
        <f t="shared" si="73"/>
        <v>0</v>
      </c>
      <c r="N449" s="9">
        <f t="shared" si="76"/>
        <v>-0.16356717307692301</v>
      </c>
      <c r="O449">
        <f>COUNTIFS($B$2:B449,B449,$C$2:C449,C449,$D$2:D449,"&lt;"&amp;D449,$F$2:F449,1)</f>
        <v>0</v>
      </c>
      <c r="P449">
        <f t="shared" si="74"/>
        <v>0</v>
      </c>
      <c r="Q449" t="str">
        <f t="shared" si="77"/>
        <v>Monitor</v>
      </c>
      <c r="R449">
        <v>0</v>
      </c>
      <c r="S449">
        <f t="shared" si="78"/>
        <v>0</v>
      </c>
      <c r="T449">
        <f t="shared" si="79"/>
        <v>0</v>
      </c>
      <c r="U449" t="str">
        <f t="shared" si="80"/>
        <v>Not Improved Enough</v>
      </c>
      <c r="V449" t="str">
        <f t="shared" si="81"/>
        <v>Close</v>
      </c>
      <c r="W449" t="str">
        <f t="shared" si="82"/>
        <v>Normal</v>
      </c>
      <c r="X449" t="str">
        <f t="shared" si="83"/>
        <v>Allowed</v>
      </c>
    </row>
    <row r="450" spans="1:24" x14ac:dyDescent="0.3">
      <c r="A450" t="s">
        <v>10</v>
      </c>
      <c r="B450" t="s">
        <v>29</v>
      </c>
      <c r="C450" t="s">
        <v>18</v>
      </c>
      <c r="D450" s="3">
        <v>45657</v>
      </c>
      <c r="E450" s="6">
        <v>9.3945720250521919E-2</v>
      </c>
      <c r="F450">
        <v>0</v>
      </c>
      <c r="G450" t="s">
        <v>13</v>
      </c>
      <c r="H450" s="6">
        <v>0.104</v>
      </c>
      <c r="I450" s="8">
        <v>-7.9972239374065279E-2</v>
      </c>
      <c r="J450" s="5">
        <f t="shared" ref="J450:J513" si="84">AVERAGEIF($C:$C,C450,$I:$I)</f>
        <v>1.7244519882342341E-3</v>
      </c>
      <c r="K450" s="5" cm="1">
        <f t="array" ref="K450">_xlfn.STDEV.S(IF($C:$C=C450,$I:$I))</f>
        <v>8.3117651155014696E-2</v>
      </c>
      <c r="L450" s="7">
        <f t="shared" si="75"/>
        <v>-0.98290423546660277</v>
      </c>
      <c r="M450">
        <f t="shared" ref="M450:M513" si="85">IF(L450&lt;=-$Z$4,1,IF(L450&gt;=$Z$4,-1,0))</f>
        <v>1</v>
      </c>
      <c r="N450" s="9">
        <f t="shared" si="76"/>
        <v>-9.6675766821904582E-2</v>
      </c>
      <c r="O450">
        <f>COUNTIFS($B$2:B450,B450,$C$2:C450,C450,$D$2:D450,"&lt;"&amp;D450,$F$2:F450,1)</f>
        <v>0</v>
      </c>
      <c r="P450">
        <f t="shared" ref="P450:P513" si="86">IF(AND(R450=1,I450&gt;0),1,IF(R450=1,-1,0))</f>
        <v>0</v>
      </c>
      <c r="Q450" t="str">
        <f t="shared" si="77"/>
        <v>Monitor</v>
      </c>
      <c r="R450">
        <v>0</v>
      </c>
      <c r="S450">
        <f t="shared" si="78"/>
        <v>0</v>
      </c>
      <c r="T450">
        <f t="shared" si="79"/>
        <v>0</v>
      </c>
      <c r="U450" t="str">
        <f t="shared" si="80"/>
        <v>Not Improved Enough</v>
      </c>
      <c r="V450" t="str">
        <f t="shared" si="81"/>
        <v>Close</v>
      </c>
      <c r="W450" t="str">
        <f t="shared" si="82"/>
        <v>Abnormal</v>
      </c>
      <c r="X450" t="str">
        <f t="shared" si="83"/>
        <v>Allowed</v>
      </c>
    </row>
    <row r="451" spans="1:24" x14ac:dyDescent="0.3">
      <c r="A451" t="s">
        <v>10</v>
      </c>
      <c r="B451" t="s">
        <v>29</v>
      </c>
      <c r="C451" t="s">
        <v>18</v>
      </c>
      <c r="D451" s="3">
        <v>45688</v>
      </c>
      <c r="E451" s="6">
        <v>9.7299709886186123E-2</v>
      </c>
      <c r="F451">
        <v>0</v>
      </c>
      <c r="G451" t="s">
        <v>13</v>
      </c>
      <c r="H451" s="6">
        <v>0.104</v>
      </c>
      <c r="I451" s="8">
        <v>-3.5701356344070068E-2</v>
      </c>
      <c r="J451" s="5">
        <f t="shared" si="84"/>
        <v>1.7244519882342341E-3</v>
      </c>
      <c r="K451" s="5" cm="1">
        <f t="array" ref="K451">_xlfn.STDEV.S(IF($C:$C=C451,$I:$I))</f>
        <v>8.3117651155014696E-2</v>
      </c>
      <c r="L451" s="7">
        <f t="shared" ref="L451:L514" si="87">IFERROR((I451-J451)/K451,0)</f>
        <v>-0.45027509574957841</v>
      </c>
      <c r="M451">
        <f t="shared" si="85"/>
        <v>0</v>
      </c>
      <c r="N451" s="9">
        <f t="shared" ref="N451:N514" si="88">IFERROR(IF(G451="DOWN",(E451-H451)/H451,(H451-E451)/H451),0)</f>
        <v>-6.4425866478979549E-2</v>
      </c>
      <c r="O451">
        <f>COUNTIFS($B$2:B451,B451,$C$2:C451,C451,$D$2:D451,"&lt;"&amp;D451,$F$2:F451,1)</f>
        <v>0</v>
      </c>
      <c r="P451">
        <f t="shared" si="86"/>
        <v>0</v>
      </c>
      <c r="Q451" t="str">
        <f t="shared" ref="Q451:Q514" si="89">IF(I451&gt;=$Z$1,"Monitor",IF(AND(N451&gt;=$Z$2,L451&lt;=-$Z$4),IF(O451&lt;$Z$3,"Intervene","Escalate / Bigger Fix"),"Monitor"))</f>
        <v>Monitor</v>
      </c>
      <c r="R451">
        <v>0</v>
      </c>
      <c r="S451">
        <f t="shared" ref="S451:S514" si="90">IF(Q451="Intervene",1,IF(Q451="Escalate / Bigger Fix",-1,0))</f>
        <v>0</v>
      </c>
      <c r="T451">
        <f t="shared" ref="T451:T514" si="91">IF(Q451="Intervene",1,0)</f>
        <v>0</v>
      </c>
      <c r="U451" t="str">
        <f t="shared" ref="U451:U514" si="92">IF(I451&gt;=$Z$1,"Improved Enough","Not Improved Enough")</f>
        <v>Not Improved Enough</v>
      </c>
      <c r="V451" t="str">
        <f t="shared" ref="V451:V514" si="93">IF(N451&gt;=$Z$2,"Far","Close")</f>
        <v>Close</v>
      </c>
      <c r="W451" t="str">
        <f t="shared" ref="W451:W514" si="94">IF(L451&lt;=-$Z$4,"Abnormal","Normal")</f>
        <v>Normal</v>
      </c>
      <c r="X451" t="str">
        <f t="shared" ref="X451:X514" si="95">IF(O451&lt;$Z$3,"Allowed","Maxed Out")</f>
        <v>Allowed</v>
      </c>
    </row>
    <row r="452" spans="1:24" x14ac:dyDescent="0.3">
      <c r="A452" t="s">
        <v>10</v>
      </c>
      <c r="B452" t="s">
        <v>29</v>
      </c>
      <c r="C452" t="s">
        <v>18</v>
      </c>
      <c r="D452" s="3">
        <v>45716</v>
      </c>
      <c r="E452" s="6">
        <v>9.5365418894830661E-2</v>
      </c>
      <c r="F452">
        <v>0</v>
      </c>
      <c r="G452" t="s">
        <v>13</v>
      </c>
      <c r="H452" s="6">
        <v>0.104</v>
      </c>
      <c r="I452" s="8">
        <v>1.9879720028128031E-2</v>
      </c>
      <c r="J452" s="5">
        <f t="shared" si="84"/>
        <v>1.7244519882342341E-3</v>
      </c>
      <c r="K452" s="5" cm="1">
        <f t="array" ref="K452">_xlfn.STDEV.S(IF($C:$C=C452,$I:$I))</f>
        <v>8.3117651155014696E-2</v>
      </c>
      <c r="L452" s="7">
        <f t="shared" si="87"/>
        <v>0.21842855022495961</v>
      </c>
      <c r="M452">
        <f t="shared" si="85"/>
        <v>0</v>
      </c>
      <c r="N452" s="9">
        <f t="shared" si="88"/>
        <v>-8.3024818318935906E-2</v>
      </c>
      <c r="O452">
        <f>COUNTIFS($B$2:B452,B452,$C$2:C452,C452,$D$2:D452,"&lt;"&amp;D452,$F$2:F452,1)</f>
        <v>0</v>
      </c>
      <c r="P452">
        <f t="shared" si="86"/>
        <v>0</v>
      </c>
      <c r="Q452" t="str">
        <f t="shared" si="89"/>
        <v>Monitor</v>
      </c>
      <c r="R452">
        <v>0</v>
      </c>
      <c r="S452">
        <f t="shared" si="90"/>
        <v>0</v>
      </c>
      <c r="T452">
        <f t="shared" si="91"/>
        <v>0</v>
      </c>
      <c r="U452" t="str">
        <f t="shared" si="92"/>
        <v>Improved Enough</v>
      </c>
      <c r="V452" t="str">
        <f t="shared" si="93"/>
        <v>Close</v>
      </c>
      <c r="W452" t="str">
        <f t="shared" si="94"/>
        <v>Normal</v>
      </c>
      <c r="X452" t="str">
        <f t="shared" si="95"/>
        <v>Allowed</v>
      </c>
    </row>
    <row r="453" spans="1:24" x14ac:dyDescent="0.3">
      <c r="A453" t="s">
        <v>10</v>
      </c>
      <c r="B453" t="s">
        <v>29</v>
      </c>
      <c r="C453" t="s">
        <v>18</v>
      </c>
      <c r="D453" s="3">
        <v>45747</v>
      </c>
      <c r="E453" s="6">
        <v>9.5153401511783017E-2</v>
      </c>
      <c r="F453">
        <v>0</v>
      </c>
      <c r="G453" t="s">
        <v>13</v>
      </c>
      <c r="H453" s="6">
        <v>0.104</v>
      </c>
      <c r="I453" s="8">
        <v>2.2232103156958559E-3</v>
      </c>
      <c r="J453" s="5">
        <f t="shared" si="84"/>
        <v>1.7244519882342341E-3</v>
      </c>
      <c r="K453" s="5" cm="1">
        <f t="array" ref="K453">_xlfn.STDEV.S(IF($C:$C=C453,$I:$I))</f>
        <v>8.3117651155014696E-2</v>
      </c>
      <c r="L453" s="7">
        <f t="shared" si="87"/>
        <v>6.0006306786922533E-3</v>
      </c>
      <c r="M453">
        <f t="shared" si="85"/>
        <v>0</v>
      </c>
      <c r="N453" s="9">
        <f t="shared" si="88"/>
        <v>-8.5063447002086331E-2</v>
      </c>
      <c r="O453">
        <f>COUNTIFS($B$2:B453,B453,$C$2:C453,C453,$D$2:D453,"&lt;"&amp;D453,$F$2:F453,1)</f>
        <v>0</v>
      </c>
      <c r="P453">
        <f t="shared" si="86"/>
        <v>0</v>
      </c>
      <c r="Q453" t="str">
        <f t="shared" si="89"/>
        <v>Monitor</v>
      </c>
      <c r="R453">
        <v>0</v>
      </c>
      <c r="S453">
        <f t="shared" si="90"/>
        <v>0</v>
      </c>
      <c r="T453">
        <f t="shared" si="91"/>
        <v>0</v>
      </c>
      <c r="U453" t="str">
        <f t="shared" si="92"/>
        <v>Not Improved Enough</v>
      </c>
      <c r="V453" t="str">
        <f t="shared" si="93"/>
        <v>Close</v>
      </c>
      <c r="W453" t="str">
        <f t="shared" si="94"/>
        <v>Normal</v>
      </c>
      <c r="X453" t="str">
        <f t="shared" si="95"/>
        <v>Allowed</v>
      </c>
    </row>
    <row r="454" spans="1:24" x14ac:dyDescent="0.3">
      <c r="A454" t="s">
        <v>10</v>
      </c>
      <c r="B454" t="s">
        <v>29</v>
      </c>
      <c r="C454" t="s">
        <v>18</v>
      </c>
      <c r="D454" s="3">
        <v>45777</v>
      </c>
      <c r="E454" s="6">
        <v>9.8586337058692908E-2</v>
      </c>
      <c r="F454">
        <v>0</v>
      </c>
      <c r="G454" t="s">
        <v>13</v>
      </c>
      <c r="H454" s="6">
        <v>0.104</v>
      </c>
      <c r="I454" s="8">
        <v>-3.6077906752338053E-2</v>
      </c>
      <c r="J454" s="5">
        <f t="shared" si="84"/>
        <v>1.7244519882342341E-3</v>
      </c>
      <c r="K454" s="5" cm="1">
        <f t="array" ref="K454">_xlfn.STDEV.S(IF($C:$C=C454,$I:$I))</f>
        <v>8.3117651155014696E-2</v>
      </c>
      <c r="L454" s="7">
        <f t="shared" si="87"/>
        <v>-0.45480542598672286</v>
      </c>
      <c r="M454">
        <f t="shared" si="85"/>
        <v>0</v>
      </c>
      <c r="N454" s="9">
        <f t="shared" si="88"/>
        <v>-5.2054451358721998E-2</v>
      </c>
      <c r="O454">
        <f>COUNTIFS($B$2:B454,B454,$C$2:C454,C454,$D$2:D454,"&lt;"&amp;D454,$F$2:F454,1)</f>
        <v>0</v>
      </c>
      <c r="P454">
        <f t="shared" si="86"/>
        <v>0</v>
      </c>
      <c r="Q454" t="str">
        <f t="shared" si="89"/>
        <v>Monitor</v>
      </c>
      <c r="R454">
        <v>0</v>
      </c>
      <c r="S454">
        <f t="shared" si="90"/>
        <v>0</v>
      </c>
      <c r="T454">
        <f t="shared" si="91"/>
        <v>0</v>
      </c>
      <c r="U454" t="str">
        <f t="shared" si="92"/>
        <v>Not Improved Enough</v>
      </c>
      <c r="V454" t="str">
        <f t="shared" si="93"/>
        <v>Close</v>
      </c>
      <c r="W454" t="str">
        <f t="shared" si="94"/>
        <v>Normal</v>
      </c>
      <c r="X454" t="str">
        <f t="shared" si="95"/>
        <v>Allowed</v>
      </c>
    </row>
    <row r="455" spans="1:24" x14ac:dyDescent="0.3">
      <c r="A455" t="s">
        <v>10</v>
      </c>
      <c r="B455" t="s">
        <v>29</v>
      </c>
      <c r="C455" t="s">
        <v>18</v>
      </c>
      <c r="D455" s="3">
        <v>45808</v>
      </c>
      <c r="E455" s="6">
        <v>9.8542576015388017E-2</v>
      </c>
      <c r="F455">
        <v>0</v>
      </c>
      <c r="G455" t="s">
        <v>13</v>
      </c>
      <c r="H455" s="6">
        <v>0.104</v>
      </c>
      <c r="I455" s="8">
        <v>4.4388547754683078E-4</v>
      </c>
      <c r="J455" s="5">
        <f t="shared" si="84"/>
        <v>1.7244519882342341E-3</v>
      </c>
      <c r="K455" s="5" cm="1">
        <f t="array" ref="K455">_xlfn.STDEV.S(IF($C:$C=C455,$I:$I))</f>
        <v>8.3117651155014696E-2</v>
      </c>
      <c r="L455" s="7">
        <f t="shared" si="87"/>
        <v>-1.5406673466976857E-2</v>
      </c>
      <c r="M455">
        <f t="shared" si="85"/>
        <v>0</v>
      </c>
      <c r="N455" s="9">
        <f t="shared" si="88"/>
        <v>-5.2475230621269027E-2</v>
      </c>
      <c r="O455">
        <f>COUNTIFS($B$2:B455,B455,$C$2:C455,C455,$D$2:D455,"&lt;"&amp;D455,$F$2:F455,1)</f>
        <v>0</v>
      </c>
      <c r="P455">
        <f t="shared" si="86"/>
        <v>0</v>
      </c>
      <c r="Q455" t="str">
        <f t="shared" si="89"/>
        <v>Monitor</v>
      </c>
      <c r="R455">
        <v>0</v>
      </c>
      <c r="S455">
        <f t="shared" si="90"/>
        <v>0</v>
      </c>
      <c r="T455">
        <f t="shared" si="91"/>
        <v>0</v>
      </c>
      <c r="U455" t="str">
        <f t="shared" si="92"/>
        <v>Not Improved Enough</v>
      </c>
      <c r="V455" t="str">
        <f t="shared" si="93"/>
        <v>Close</v>
      </c>
      <c r="W455" t="str">
        <f t="shared" si="94"/>
        <v>Normal</v>
      </c>
      <c r="X455" t="str">
        <f t="shared" si="95"/>
        <v>Allowed</v>
      </c>
    </row>
    <row r="456" spans="1:24" x14ac:dyDescent="0.3">
      <c r="A456" t="s">
        <v>10</v>
      </c>
      <c r="B456" t="s">
        <v>29</v>
      </c>
      <c r="C456" t="s">
        <v>18</v>
      </c>
      <c r="D456" s="3">
        <v>45838</v>
      </c>
      <c r="E456" s="6">
        <v>0.1003998223011995</v>
      </c>
      <c r="F456">
        <v>0</v>
      </c>
      <c r="G456" t="s">
        <v>13</v>
      </c>
      <c r="H456" s="6">
        <v>0.104</v>
      </c>
      <c r="I456" s="8">
        <v>-1.884714567966498E-2</v>
      </c>
      <c r="J456" s="5">
        <f t="shared" si="84"/>
        <v>1.7244519882342341E-3</v>
      </c>
      <c r="K456" s="5" cm="1">
        <f t="array" ref="K456">_xlfn.STDEV.S(IF($C:$C=C456,$I:$I))</f>
        <v>8.3117651155014696E-2</v>
      </c>
      <c r="L456" s="7">
        <f t="shared" si="87"/>
        <v>-0.24749974743070055</v>
      </c>
      <c r="M456">
        <f t="shared" si="85"/>
        <v>0</v>
      </c>
      <c r="N456" s="9">
        <f t="shared" si="88"/>
        <v>-3.4617093257697115E-2</v>
      </c>
      <c r="O456">
        <f>COUNTIFS($B$2:B456,B456,$C$2:C456,C456,$D$2:D456,"&lt;"&amp;D456,$F$2:F456,1)</f>
        <v>0</v>
      </c>
      <c r="P456">
        <f t="shared" si="86"/>
        <v>0</v>
      </c>
      <c r="Q456" t="str">
        <f t="shared" si="89"/>
        <v>Monitor</v>
      </c>
      <c r="R456">
        <v>0</v>
      </c>
      <c r="S456">
        <f t="shared" si="90"/>
        <v>0</v>
      </c>
      <c r="T456">
        <f t="shared" si="91"/>
        <v>0</v>
      </c>
      <c r="U456" t="str">
        <f t="shared" si="92"/>
        <v>Not Improved Enough</v>
      </c>
      <c r="V456" t="str">
        <f t="shared" si="93"/>
        <v>Close</v>
      </c>
      <c r="W456" t="str">
        <f t="shared" si="94"/>
        <v>Normal</v>
      </c>
      <c r="X456" t="str">
        <f t="shared" si="95"/>
        <v>Allowed</v>
      </c>
    </row>
    <row r="457" spans="1:24" x14ac:dyDescent="0.3">
      <c r="A457" t="s">
        <v>10</v>
      </c>
      <c r="B457" t="s">
        <v>29</v>
      </c>
      <c r="C457" t="s">
        <v>18</v>
      </c>
      <c r="D457" s="3">
        <v>45869</v>
      </c>
      <c r="E457" s="6">
        <v>0.10237388724035611</v>
      </c>
      <c r="F457">
        <v>0</v>
      </c>
      <c r="G457" t="s">
        <v>13</v>
      </c>
      <c r="H457" s="6">
        <v>0.104</v>
      </c>
      <c r="I457" s="8">
        <v>-1.9662036186024471E-2</v>
      </c>
      <c r="J457" s="5">
        <f t="shared" si="84"/>
        <v>1.7244519882342341E-3</v>
      </c>
      <c r="K457" s="5" cm="1">
        <f t="array" ref="K457">_xlfn.STDEV.S(IF($C:$C=C457,$I:$I))</f>
        <v>8.3117651155014696E-2</v>
      </c>
      <c r="L457" s="7">
        <f t="shared" si="87"/>
        <v>-0.25730380824131849</v>
      </c>
      <c r="M457">
        <f t="shared" si="85"/>
        <v>0</v>
      </c>
      <c r="N457" s="9">
        <f t="shared" si="88"/>
        <v>-1.5635699611960468E-2</v>
      </c>
      <c r="O457">
        <f>COUNTIFS($B$2:B457,B457,$C$2:C457,C457,$D$2:D457,"&lt;"&amp;D457,$F$2:F457,1)</f>
        <v>0</v>
      </c>
      <c r="P457">
        <f t="shared" si="86"/>
        <v>0</v>
      </c>
      <c r="Q457" t="str">
        <f t="shared" si="89"/>
        <v>Monitor</v>
      </c>
      <c r="R457">
        <v>0</v>
      </c>
      <c r="S457">
        <f t="shared" si="90"/>
        <v>0</v>
      </c>
      <c r="T457">
        <f t="shared" si="91"/>
        <v>0</v>
      </c>
      <c r="U457" t="str">
        <f t="shared" si="92"/>
        <v>Not Improved Enough</v>
      </c>
      <c r="V457" t="str">
        <f t="shared" si="93"/>
        <v>Close</v>
      </c>
      <c r="W457" t="str">
        <f t="shared" si="94"/>
        <v>Normal</v>
      </c>
      <c r="X457" t="str">
        <f t="shared" si="95"/>
        <v>Allowed</v>
      </c>
    </row>
    <row r="458" spans="1:24" x14ac:dyDescent="0.3">
      <c r="A458" t="s">
        <v>10</v>
      </c>
      <c r="B458" t="s">
        <v>29</v>
      </c>
      <c r="C458" t="s">
        <v>18</v>
      </c>
      <c r="D458" s="3">
        <v>45900</v>
      </c>
      <c r="E458" s="6">
        <v>9.3666369313113299E-2</v>
      </c>
      <c r="F458">
        <v>0</v>
      </c>
      <c r="G458" t="s">
        <v>13</v>
      </c>
      <c r="H458" s="6">
        <v>0.104</v>
      </c>
      <c r="I458" s="8">
        <v>8.505604468060364E-2</v>
      </c>
      <c r="J458" s="5">
        <f t="shared" si="84"/>
        <v>1.7244519882342341E-3</v>
      </c>
      <c r="K458" s="5" cm="1">
        <f t="array" ref="K458">_xlfn.STDEV.S(IF($C:$C=C458,$I:$I))</f>
        <v>8.3117651155014696E-2</v>
      </c>
      <c r="L458" s="7">
        <f t="shared" si="87"/>
        <v>1.0025739603367245</v>
      </c>
      <c r="M458">
        <f t="shared" si="85"/>
        <v>-1</v>
      </c>
      <c r="N458" s="9">
        <f t="shared" si="88"/>
        <v>-9.936183352775671E-2</v>
      </c>
      <c r="O458">
        <f>COUNTIFS($B$2:B458,B458,$C$2:C458,C458,$D$2:D458,"&lt;"&amp;D458,$F$2:F458,1)</f>
        <v>0</v>
      </c>
      <c r="P458">
        <f t="shared" si="86"/>
        <v>0</v>
      </c>
      <c r="Q458" t="str">
        <f t="shared" si="89"/>
        <v>Monitor</v>
      </c>
      <c r="R458">
        <v>0</v>
      </c>
      <c r="S458">
        <f t="shared" si="90"/>
        <v>0</v>
      </c>
      <c r="T458">
        <f t="shared" si="91"/>
        <v>0</v>
      </c>
      <c r="U458" t="str">
        <f t="shared" si="92"/>
        <v>Improved Enough</v>
      </c>
      <c r="V458" t="str">
        <f t="shared" si="93"/>
        <v>Close</v>
      </c>
      <c r="W458" t="str">
        <f t="shared" si="94"/>
        <v>Normal</v>
      </c>
      <c r="X458" t="str">
        <f t="shared" si="95"/>
        <v>Allowed</v>
      </c>
    </row>
    <row r="459" spans="1:24" x14ac:dyDescent="0.3">
      <c r="A459" t="s">
        <v>10</v>
      </c>
      <c r="B459" t="s">
        <v>29</v>
      </c>
      <c r="C459" t="s">
        <v>18</v>
      </c>
      <c r="D459" s="3">
        <v>45930</v>
      </c>
      <c r="E459" s="6">
        <v>9.3016322575836627E-2</v>
      </c>
      <c r="F459">
        <v>0</v>
      </c>
      <c r="G459" t="s">
        <v>13</v>
      </c>
      <c r="H459" s="6">
        <v>0.104</v>
      </c>
      <c r="I459" s="8">
        <v>6.9400227855918933E-3</v>
      </c>
      <c r="J459" s="5">
        <f t="shared" si="84"/>
        <v>1.7244519882342341E-3</v>
      </c>
      <c r="K459" s="5" cm="1">
        <f t="array" ref="K459">_xlfn.STDEV.S(IF($C:$C=C459,$I:$I))</f>
        <v>8.3117651155014696E-2</v>
      </c>
      <c r="L459" s="7">
        <f t="shared" si="87"/>
        <v>6.2749256323793398E-2</v>
      </c>
      <c r="M459">
        <f t="shared" si="85"/>
        <v>0</v>
      </c>
      <c r="N459" s="9">
        <f t="shared" si="88"/>
        <v>-0.10561228292464778</v>
      </c>
      <c r="O459">
        <f>COUNTIFS($B$2:B459,B459,$C$2:C459,C459,$D$2:D459,"&lt;"&amp;D459,$F$2:F459,1)</f>
        <v>0</v>
      </c>
      <c r="P459">
        <f t="shared" si="86"/>
        <v>0</v>
      </c>
      <c r="Q459" t="str">
        <f t="shared" si="89"/>
        <v>Monitor</v>
      </c>
      <c r="R459">
        <v>0</v>
      </c>
      <c r="S459">
        <f t="shared" si="90"/>
        <v>0</v>
      </c>
      <c r="T459">
        <f t="shared" si="91"/>
        <v>0</v>
      </c>
      <c r="U459" t="str">
        <f t="shared" si="92"/>
        <v>Not Improved Enough</v>
      </c>
      <c r="V459" t="str">
        <f t="shared" si="93"/>
        <v>Close</v>
      </c>
      <c r="W459" t="str">
        <f t="shared" si="94"/>
        <v>Normal</v>
      </c>
      <c r="X459" t="str">
        <f t="shared" si="95"/>
        <v>Allowed</v>
      </c>
    </row>
    <row r="460" spans="1:24" x14ac:dyDescent="0.3">
      <c r="A460" t="s">
        <v>10</v>
      </c>
      <c r="B460" t="s">
        <v>29</v>
      </c>
      <c r="C460" t="s">
        <v>18</v>
      </c>
      <c r="D460" s="3">
        <v>45961</v>
      </c>
      <c r="E460" s="6">
        <v>9.6759743168582935E-2</v>
      </c>
      <c r="F460">
        <v>0</v>
      </c>
      <c r="G460" t="s">
        <v>13</v>
      </c>
      <c r="H460" s="6">
        <v>0.104</v>
      </c>
      <c r="I460" s="8">
        <v>-4.0244770907754177E-2</v>
      </c>
      <c r="J460" s="5">
        <f t="shared" si="84"/>
        <v>1.7244519882342341E-3</v>
      </c>
      <c r="K460" s="5" cm="1">
        <f t="array" ref="K460">_xlfn.STDEV.S(IF($C:$C=C460,$I:$I))</f>
        <v>8.3117651155014696E-2</v>
      </c>
      <c r="L460" s="7">
        <f t="shared" si="87"/>
        <v>-0.50493754711277472</v>
      </c>
      <c r="M460">
        <f t="shared" si="85"/>
        <v>1</v>
      </c>
      <c r="N460" s="9">
        <f t="shared" si="88"/>
        <v>-6.9617854148240968E-2</v>
      </c>
      <c r="O460">
        <f>COUNTIFS($B$2:B460,B460,$C$2:C460,C460,$D$2:D460,"&lt;"&amp;D460,$F$2:F460,1)</f>
        <v>0</v>
      </c>
      <c r="P460">
        <f t="shared" si="86"/>
        <v>0</v>
      </c>
      <c r="Q460" t="str">
        <f t="shared" si="89"/>
        <v>Monitor</v>
      </c>
      <c r="R460">
        <v>0</v>
      </c>
      <c r="S460">
        <f t="shared" si="90"/>
        <v>0</v>
      </c>
      <c r="T460">
        <f t="shared" si="91"/>
        <v>0</v>
      </c>
      <c r="U460" t="str">
        <f t="shared" si="92"/>
        <v>Not Improved Enough</v>
      </c>
      <c r="V460" t="str">
        <f t="shared" si="93"/>
        <v>Close</v>
      </c>
      <c r="W460" t="str">
        <f t="shared" si="94"/>
        <v>Abnormal</v>
      </c>
      <c r="X460" t="str">
        <f t="shared" si="95"/>
        <v>Allowed</v>
      </c>
    </row>
    <row r="461" spans="1:24" x14ac:dyDescent="0.3">
      <c r="A461" t="s">
        <v>10</v>
      </c>
      <c r="B461" t="s">
        <v>29</v>
      </c>
      <c r="C461" t="s">
        <v>18</v>
      </c>
      <c r="D461" s="3">
        <v>45991</v>
      </c>
      <c r="E461" s="6">
        <v>9.7889537494387072E-2</v>
      </c>
      <c r="F461">
        <v>0</v>
      </c>
      <c r="G461" t="s">
        <v>13</v>
      </c>
      <c r="H461" s="6">
        <v>0.104</v>
      </c>
      <c r="I461" s="8">
        <v>-1.1676284876404789E-2</v>
      </c>
      <c r="J461" s="5">
        <f t="shared" si="84"/>
        <v>1.7244519882342341E-3</v>
      </c>
      <c r="K461" s="5" cm="1">
        <f t="array" ref="K461">_xlfn.STDEV.S(IF($C:$C=C461,$I:$I))</f>
        <v>8.3117651155014696E-2</v>
      </c>
      <c r="L461" s="7">
        <f t="shared" si="87"/>
        <v>-0.16122612559932192</v>
      </c>
      <c r="M461">
        <f t="shared" si="85"/>
        <v>0</v>
      </c>
      <c r="N461" s="9">
        <f t="shared" si="88"/>
        <v>-5.8754447169355038E-2</v>
      </c>
      <c r="O461">
        <f>COUNTIFS($B$2:B461,B461,$C$2:C461,C461,$D$2:D461,"&lt;"&amp;D461,$F$2:F461,1)</f>
        <v>0</v>
      </c>
      <c r="P461">
        <f t="shared" si="86"/>
        <v>0</v>
      </c>
      <c r="Q461" t="str">
        <f t="shared" si="89"/>
        <v>Monitor</v>
      </c>
      <c r="R461">
        <v>0</v>
      </c>
      <c r="S461">
        <f t="shared" si="90"/>
        <v>0</v>
      </c>
      <c r="T461">
        <f t="shared" si="91"/>
        <v>0</v>
      </c>
      <c r="U461" t="str">
        <f t="shared" si="92"/>
        <v>Not Improved Enough</v>
      </c>
      <c r="V461" t="str">
        <f t="shared" si="93"/>
        <v>Close</v>
      </c>
      <c r="W461" t="str">
        <f t="shared" si="94"/>
        <v>Normal</v>
      </c>
      <c r="X461" t="str">
        <f t="shared" si="95"/>
        <v>Allowed</v>
      </c>
    </row>
    <row r="462" spans="1:24" x14ac:dyDescent="0.3">
      <c r="A462" t="s">
        <v>10</v>
      </c>
      <c r="B462" t="s">
        <v>29</v>
      </c>
      <c r="C462" t="s">
        <v>19</v>
      </c>
      <c r="D462" s="3">
        <v>45535</v>
      </c>
      <c r="E462" s="6">
        <v>0.1100196463654224</v>
      </c>
      <c r="F462">
        <v>1</v>
      </c>
      <c r="G462" t="s">
        <v>13</v>
      </c>
      <c r="H462" s="6">
        <v>0.1</v>
      </c>
      <c r="I462" s="8">
        <v>-0.1445099323291858</v>
      </c>
      <c r="J462" s="5">
        <f t="shared" si="84"/>
        <v>-3.0570725046180952E-3</v>
      </c>
      <c r="K462" s="5" cm="1">
        <f t="array" ref="K462">_xlfn.STDEV.S(IF($C:$C=C462,$I:$I))</f>
        <v>0.17799866497296365</v>
      </c>
      <c r="L462" s="7">
        <f t="shared" si="87"/>
        <v>-0.79468494803628487</v>
      </c>
      <c r="M462">
        <f t="shared" si="85"/>
        <v>1</v>
      </c>
      <c r="N462" s="9">
        <f t="shared" si="88"/>
        <v>0.10019646365422394</v>
      </c>
      <c r="O462">
        <f>COUNTIFS($B$2:B462,B462,$C$2:C462,C462,$D$2:D462,"&lt;"&amp;D462,$F$2:F462,1)</f>
        <v>0</v>
      </c>
      <c r="P462">
        <f t="shared" si="86"/>
        <v>0</v>
      </c>
      <c r="Q462" t="str">
        <f t="shared" si="89"/>
        <v>Intervene</v>
      </c>
      <c r="R462">
        <v>0</v>
      </c>
      <c r="S462">
        <f t="shared" si="90"/>
        <v>1</v>
      </c>
      <c r="T462">
        <f t="shared" si="91"/>
        <v>1</v>
      </c>
      <c r="U462" t="str">
        <f t="shared" si="92"/>
        <v>Not Improved Enough</v>
      </c>
      <c r="V462" t="str">
        <f t="shared" si="93"/>
        <v>Far</v>
      </c>
      <c r="W462" t="str">
        <f t="shared" si="94"/>
        <v>Abnormal</v>
      </c>
      <c r="X462" t="str">
        <f t="shared" si="95"/>
        <v>Allowed</v>
      </c>
    </row>
    <row r="463" spans="1:24" x14ac:dyDescent="0.3">
      <c r="A463" t="s">
        <v>10</v>
      </c>
      <c r="B463" t="s">
        <v>29</v>
      </c>
      <c r="C463" t="s">
        <v>19</v>
      </c>
      <c r="D463" s="3">
        <v>45565</v>
      </c>
      <c r="E463" s="6">
        <v>0.1078998073217726</v>
      </c>
      <c r="F463">
        <v>1</v>
      </c>
      <c r="G463" t="s">
        <v>13</v>
      </c>
      <c r="H463" s="6">
        <v>0.1</v>
      </c>
      <c r="I463" s="8">
        <v>1.9267822736031261E-2</v>
      </c>
      <c r="J463" s="5">
        <f t="shared" si="84"/>
        <v>-3.0570725046180952E-3</v>
      </c>
      <c r="K463" s="5" cm="1">
        <f t="array" ref="K463">_xlfn.STDEV.S(IF($C:$C=C463,$I:$I))</f>
        <v>0.17799866497296365</v>
      </c>
      <c r="L463" s="7">
        <f t="shared" si="87"/>
        <v>0.12542170046073267</v>
      </c>
      <c r="M463">
        <f t="shared" si="85"/>
        <v>0</v>
      </c>
      <c r="N463" s="9">
        <f t="shared" si="88"/>
        <v>7.8998073217725895E-2</v>
      </c>
      <c r="O463">
        <f>COUNTIFS($B$2:B463,B463,$C$2:C463,C463,$D$2:D463,"&lt;"&amp;D463,$F$2:F463,1)</f>
        <v>1</v>
      </c>
      <c r="P463">
        <f t="shared" si="86"/>
        <v>1</v>
      </c>
      <c r="Q463" t="str">
        <f t="shared" si="89"/>
        <v>Monitor</v>
      </c>
      <c r="R463">
        <v>1</v>
      </c>
      <c r="S463">
        <f t="shared" si="90"/>
        <v>0</v>
      </c>
      <c r="T463">
        <f t="shared" si="91"/>
        <v>0</v>
      </c>
      <c r="U463" t="str">
        <f t="shared" si="92"/>
        <v>Improved Enough</v>
      </c>
      <c r="V463" t="str">
        <f t="shared" si="93"/>
        <v>Far</v>
      </c>
      <c r="W463" t="str">
        <f t="shared" si="94"/>
        <v>Normal</v>
      </c>
      <c r="X463" t="str">
        <f t="shared" si="95"/>
        <v>Allowed</v>
      </c>
    </row>
    <row r="464" spans="1:24" x14ac:dyDescent="0.3">
      <c r="A464" t="s">
        <v>10</v>
      </c>
      <c r="B464" t="s">
        <v>29</v>
      </c>
      <c r="C464" t="s">
        <v>19</v>
      </c>
      <c r="D464" s="3">
        <v>45596</v>
      </c>
      <c r="E464" s="6">
        <v>0.105993690851735</v>
      </c>
      <c r="F464">
        <v>1</v>
      </c>
      <c r="G464" t="s">
        <v>13</v>
      </c>
      <c r="H464" s="6">
        <v>0.1</v>
      </c>
      <c r="I464" s="8">
        <v>1.766561514195554E-2</v>
      </c>
      <c r="J464" s="5">
        <f t="shared" si="84"/>
        <v>-3.0570725046180952E-3</v>
      </c>
      <c r="K464" s="5" cm="1">
        <f t="array" ref="K464">_xlfn.STDEV.S(IF($C:$C=C464,$I:$I))</f>
        <v>0.17799866497296365</v>
      </c>
      <c r="L464" s="7">
        <f t="shared" si="87"/>
        <v>0.11642046669125984</v>
      </c>
      <c r="M464">
        <f t="shared" si="85"/>
        <v>0</v>
      </c>
      <c r="N464" s="9">
        <f t="shared" si="88"/>
        <v>5.9936908517349979E-2</v>
      </c>
      <c r="O464">
        <f>COUNTIFS($B$2:B464,B464,$C$2:C464,C464,$D$2:D464,"&lt;"&amp;D464,$F$2:F464,1)</f>
        <v>2</v>
      </c>
      <c r="P464">
        <f t="shared" si="86"/>
        <v>1</v>
      </c>
      <c r="Q464" t="str">
        <f t="shared" si="89"/>
        <v>Monitor</v>
      </c>
      <c r="R464">
        <v>1</v>
      </c>
      <c r="S464">
        <f t="shared" si="90"/>
        <v>0</v>
      </c>
      <c r="T464">
        <f t="shared" si="91"/>
        <v>0</v>
      </c>
      <c r="U464" t="str">
        <f t="shared" si="92"/>
        <v>Improved Enough</v>
      </c>
      <c r="V464" t="str">
        <f t="shared" si="93"/>
        <v>Far</v>
      </c>
      <c r="W464" t="str">
        <f t="shared" si="94"/>
        <v>Normal</v>
      </c>
      <c r="X464" t="str">
        <f t="shared" si="95"/>
        <v>Allowed</v>
      </c>
    </row>
    <row r="465" spans="1:24" x14ac:dyDescent="0.3">
      <c r="A465" t="s">
        <v>10</v>
      </c>
      <c r="B465" t="s">
        <v>29</v>
      </c>
      <c r="C465" t="s">
        <v>19</v>
      </c>
      <c r="D465" s="3">
        <v>45626</v>
      </c>
      <c r="E465" s="6">
        <v>0.104347826</v>
      </c>
      <c r="F465">
        <v>0</v>
      </c>
      <c r="G465" t="s">
        <v>13</v>
      </c>
      <c r="H465" s="6">
        <v>0.1</v>
      </c>
      <c r="I465" s="8">
        <v>1.5527951130952219E-2</v>
      </c>
      <c r="J465" s="5">
        <f t="shared" si="84"/>
        <v>-3.0570725046180952E-3</v>
      </c>
      <c r="K465" s="5" cm="1">
        <f t="array" ref="K465">_xlfn.STDEV.S(IF($C:$C=C465,$I:$I))</f>
        <v>0.17799866497296365</v>
      </c>
      <c r="L465" s="7">
        <f t="shared" si="87"/>
        <v>0.10441102824222422</v>
      </c>
      <c r="M465">
        <f t="shared" si="85"/>
        <v>0</v>
      </c>
      <c r="N465" s="9">
        <f t="shared" si="88"/>
        <v>4.3478259999999991E-2</v>
      </c>
      <c r="O465">
        <f>COUNTIFS($B$2:B465,B465,$C$2:C465,C465,$D$2:D465,"&lt;"&amp;D465,$F$2:F465,1)</f>
        <v>3</v>
      </c>
      <c r="P465">
        <f t="shared" si="86"/>
        <v>1</v>
      </c>
      <c r="Q465" t="str">
        <f t="shared" si="89"/>
        <v>Monitor</v>
      </c>
      <c r="R465">
        <v>1</v>
      </c>
      <c r="S465">
        <f t="shared" si="90"/>
        <v>0</v>
      </c>
      <c r="T465">
        <f t="shared" si="91"/>
        <v>0</v>
      </c>
      <c r="U465" t="str">
        <f t="shared" si="92"/>
        <v>Improved Enough</v>
      </c>
      <c r="V465" t="str">
        <f t="shared" si="93"/>
        <v>Far</v>
      </c>
      <c r="W465" t="str">
        <f t="shared" si="94"/>
        <v>Normal</v>
      </c>
      <c r="X465" t="str">
        <f t="shared" si="95"/>
        <v>Allowed</v>
      </c>
    </row>
    <row r="466" spans="1:24" x14ac:dyDescent="0.3">
      <c r="A466" t="s">
        <v>10</v>
      </c>
      <c r="B466" t="s">
        <v>29</v>
      </c>
      <c r="C466" t="s">
        <v>19</v>
      </c>
      <c r="D466" s="3">
        <v>45657</v>
      </c>
      <c r="E466" s="6">
        <v>0.1175750153092468</v>
      </c>
      <c r="F466">
        <v>1</v>
      </c>
      <c r="G466" t="s">
        <v>13</v>
      </c>
      <c r="H466" s="6">
        <v>0.1</v>
      </c>
      <c r="I466" s="8">
        <v>-0.1267605643192489</v>
      </c>
      <c r="J466" s="5">
        <f t="shared" si="84"/>
        <v>-3.0570725046180952E-3</v>
      </c>
      <c r="K466" s="5" cm="1">
        <f t="array" ref="K466">_xlfn.STDEV.S(IF($C:$C=C466,$I:$I))</f>
        <v>0.17799866497296365</v>
      </c>
      <c r="L466" s="7">
        <f t="shared" si="87"/>
        <v>-0.69496864953127724</v>
      </c>
      <c r="M466">
        <f t="shared" si="85"/>
        <v>1</v>
      </c>
      <c r="N466" s="9">
        <f t="shared" si="88"/>
        <v>0.17575015309246794</v>
      </c>
      <c r="O466">
        <f>COUNTIFS($B$2:B466,B466,$C$2:C466,C466,$D$2:D466,"&lt;"&amp;D466,$F$2:F466,1)</f>
        <v>3</v>
      </c>
      <c r="P466">
        <f t="shared" si="86"/>
        <v>0</v>
      </c>
      <c r="Q466" t="str">
        <f t="shared" si="89"/>
        <v>Intervene</v>
      </c>
      <c r="R466">
        <v>0</v>
      </c>
      <c r="S466">
        <f t="shared" si="90"/>
        <v>1</v>
      </c>
      <c r="T466">
        <f t="shared" si="91"/>
        <v>1</v>
      </c>
      <c r="U466" t="str">
        <f t="shared" si="92"/>
        <v>Not Improved Enough</v>
      </c>
      <c r="V466" t="str">
        <f t="shared" si="93"/>
        <v>Far</v>
      </c>
      <c r="W466" t="str">
        <f t="shared" si="94"/>
        <v>Abnormal</v>
      </c>
      <c r="X466" t="str">
        <f t="shared" si="95"/>
        <v>Allowed</v>
      </c>
    </row>
    <row r="467" spans="1:24" x14ac:dyDescent="0.3">
      <c r="A467" t="s">
        <v>10</v>
      </c>
      <c r="B467" t="s">
        <v>29</v>
      </c>
      <c r="C467" t="s">
        <v>19</v>
      </c>
      <c r="D467" s="3">
        <v>45688</v>
      </c>
      <c r="E467" s="6">
        <v>0.12311406155703079</v>
      </c>
      <c r="F467">
        <v>1</v>
      </c>
      <c r="G467" t="s">
        <v>13</v>
      </c>
      <c r="H467" s="6">
        <v>0.1</v>
      </c>
      <c r="I467" s="8">
        <v>-4.7110742305371149E-2</v>
      </c>
      <c r="J467" s="5">
        <f t="shared" si="84"/>
        <v>-3.0570725046180952E-3</v>
      </c>
      <c r="K467" s="5" cm="1">
        <f t="array" ref="K467">_xlfn.STDEV.S(IF($C:$C=C467,$I:$I))</f>
        <v>0.17799866497296365</v>
      </c>
      <c r="L467" s="7">
        <f t="shared" si="87"/>
        <v>-0.24749438321598868</v>
      </c>
      <c r="M467">
        <f t="shared" si="85"/>
        <v>0</v>
      </c>
      <c r="N467" s="9">
        <f t="shared" si="88"/>
        <v>0.23114061557030788</v>
      </c>
      <c r="O467">
        <f>COUNTIFS($B$2:B467,B467,$C$2:C467,C467,$D$2:D467,"&lt;"&amp;D467,$F$2:F467,1)</f>
        <v>4</v>
      </c>
      <c r="P467">
        <f t="shared" si="86"/>
        <v>-1</v>
      </c>
      <c r="Q467" t="str">
        <f t="shared" si="89"/>
        <v>Monitor</v>
      </c>
      <c r="R467">
        <v>1</v>
      </c>
      <c r="S467">
        <f t="shared" si="90"/>
        <v>0</v>
      </c>
      <c r="T467">
        <f t="shared" si="91"/>
        <v>0</v>
      </c>
      <c r="U467" t="str">
        <f t="shared" si="92"/>
        <v>Not Improved Enough</v>
      </c>
      <c r="V467" t="str">
        <f t="shared" si="93"/>
        <v>Far</v>
      </c>
      <c r="W467" t="str">
        <f t="shared" si="94"/>
        <v>Normal</v>
      </c>
      <c r="X467" t="str">
        <f t="shared" si="95"/>
        <v>Allowed</v>
      </c>
    </row>
    <row r="468" spans="1:24" x14ac:dyDescent="0.3">
      <c r="A468" t="s">
        <v>10</v>
      </c>
      <c r="B468" t="s">
        <v>29</v>
      </c>
      <c r="C468" t="s">
        <v>19</v>
      </c>
      <c r="D468" s="3">
        <v>45716</v>
      </c>
      <c r="E468" s="6">
        <v>0.1</v>
      </c>
      <c r="F468">
        <v>0</v>
      </c>
      <c r="G468" t="s">
        <v>13</v>
      </c>
      <c r="H468" s="6">
        <v>0.1</v>
      </c>
      <c r="I468" s="8">
        <v>0.18774509803921571</v>
      </c>
      <c r="J468" s="5">
        <f t="shared" si="84"/>
        <v>-3.0570725046180952E-3</v>
      </c>
      <c r="K468" s="5" cm="1">
        <f t="array" ref="K468">_xlfn.STDEV.S(IF($C:$C=C468,$I:$I))</f>
        <v>0.17799866497296365</v>
      </c>
      <c r="L468" s="7">
        <f t="shared" si="87"/>
        <v>1.0719303460664431</v>
      </c>
      <c r="M468">
        <f t="shared" si="85"/>
        <v>-1</v>
      </c>
      <c r="N468" s="9">
        <f t="shared" si="88"/>
        <v>0</v>
      </c>
      <c r="O468">
        <f>COUNTIFS($B$2:B468,B468,$C$2:C468,C468,$D$2:D468,"&lt;"&amp;D468,$F$2:F468,1)</f>
        <v>5</v>
      </c>
      <c r="P468">
        <f t="shared" si="86"/>
        <v>1</v>
      </c>
      <c r="Q468" t="str">
        <f t="shared" si="89"/>
        <v>Monitor</v>
      </c>
      <c r="R468">
        <v>1</v>
      </c>
      <c r="S468">
        <f t="shared" si="90"/>
        <v>0</v>
      </c>
      <c r="T468">
        <f t="shared" si="91"/>
        <v>0</v>
      </c>
      <c r="U468" t="str">
        <f t="shared" si="92"/>
        <v>Improved Enough</v>
      </c>
      <c r="V468" t="str">
        <f t="shared" si="93"/>
        <v>Close</v>
      </c>
      <c r="W468" t="str">
        <f t="shared" si="94"/>
        <v>Normal</v>
      </c>
      <c r="X468" t="str">
        <f t="shared" si="95"/>
        <v>Maxed Out</v>
      </c>
    </row>
    <row r="469" spans="1:24" x14ac:dyDescent="0.3">
      <c r="A469" t="s">
        <v>10</v>
      </c>
      <c r="B469" t="s">
        <v>29</v>
      </c>
      <c r="C469" t="s">
        <v>19</v>
      </c>
      <c r="D469" s="3">
        <v>45747</v>
      </c>
      <c r="E469" s="6">
        <v>9.8823529411764713E-2</v>
      </c>
      <c r="F469">
        <v>0</v>
      </c>
      <c r="G469" t="s">
        <v>13</v>
      </c>
      <c r="H469" s="6">
        <v>0.1</v>
      </c>
      <c r="I469" s="8">
        <v>1.1764705882352931E-2</v>
      </c>
      <c r="J469" s="5">
        <f t="shared" si="84"/>
        <v>-3.0570725046180952E-3</v>
      </c>
      <c r="K469" s="5" cm="1">
        <f t="array" ref="K469">_xlfn.STDEV.S(IF($C:$C=C469,$I:$I))</f>
        <v>0.17799866497296365</v>
      </c>
      <c r="L469" s="7">
        <f t="shared" si="87"/>
        <v>8.3269042434797561E-2</v>
      </c>
      <c r="M469">
        <f t="shared" si="85"/>
        <v>0</v>
      </c>
      <c r="N469" s="9">
        <f t="shared" si="88"/>
        <v>-1.1764705882352927E-2</v>
      </c>
      <c r="O469">
        <f>COUNTIFS($B$2:B469,B469,$C$2:C469,C469,$D$2:D469,"&lt;"&amp;D469,$F$2:F469,1)</f>
        <v>5</v>
      </c>
      <c r="P469">
        <f t="shared" si="86"/>
        <v>0</v>
      </c>
      <c r="Q469" t="str">
        <f t="shared" si="89"/>
        <v>Monitor</v>
      </c>
      <c r="R469">
        <v>0</v>
      </c>
      <c r="S469">
        <f t="shared" si="90"/>
        <v>0</v>
      </c>
      <c r="T469">
        <f t="shared" si="91"/>
        <v>0</v>
      </c>
      <c r="U469" t="str">
        <f t="shared" si="92"/>
        <v>Improved Enough</v>
      </c>
      <c r="V469" t="str">
        <f t="shared" si="93"/>
        <v>Close</v>
      </c>
      <c r="W469" t="str">
        <f t="shared" si="94"/>
        <v>Normal</v>
      </c>
      <c r="X469" t="str">
        <f t="shared" si="95"/>
        <v>Maxed Out</v>
      </c>
    </row>
    <row r="470" spans="1:24" x14ac:dyDescent="0.3">
      <c r="A470" t="s">
        <v>10</v>
      </c>
      <c r="B470" t="s">
        <v>29</v>
      </c>
      <c r="C470" t="s">
        <v>19</v>
      </c>
      <c r="D470" s="3">
        <v>45777</v>
      </c>
      <c r="E470" s="6">
        <v>0.1050788091068301</v>
      </c>
      <c r="F470">
        <v>0</v>
      </c>
      <c r="G470" t="s">
        <v>13</v>
      </c>
      <c r="H470" s="6">
        <v>0.1</v>
      </c>
      <c r="I470" s="8">
        <v>-6.3297473104828278E-2</v>
      </c>
      <c r="J470" s="5">
        <f t="shared" si="84"/>
        <v>-3.0570725046180952E-3</v>
      </c>
      <c r="K470" s="5" cm="1">
        <f t="array" ref="K470">_xlfn.STDEV.S(IF($C:$C=C470,$I:$I))</f>
        <v>0.17799866497296365</v>
      </c>
      <c r="L470" s="7">
        <f t="shared" si="87"/>
        <v>-0.33843175514468121</v>
      </c>
      <c r="M470">
        <f t="shared" si="85"/>
        <v>0</v>
      </c>
      <c r="N470" s="9">
        <f t="shared" si="88"/>
        <v>5.07880910683009E-2</v>
      </c>
      <c r="O470">
        <f>COUNTIFS($B$2:B470,B470,$C$2:C470,C470,$D$2:D470,"&lt;"&amp;D470,$F$2:F470,1)</f>
        <v>5</v>
      </c>
      <c r="P470">
        <f t="shared" si="86"/>
        <v>0</v>
      </c>
      <c r="Q470" t="str">
        <f t="shared" si="89"/>
        <v>Monitor</v>
      </c>
      <c r="R470">
        <v>0</v>
      </c>
      <c r="S470">
        <f t="shared" si="90"/>
        <v>0</v>
      </c>
      <c r="T470">
        <f t="shared" si="91"/>
        <v>0</v>
      </c>
      <c r="U470" t="str">
        <f t="shared" si="92"/>
        <v>Not Improved Enough</v>
      </c>
      <c r="V470" t="str">
        <f t="shared" si="93"/>
        <v>Far</v>
      </c>
      <c r="W470" t="str">
        <f t="shared" si="94"/>
        <v>Normal</v>
      </c>
      <c r="X470" t="str">
        <f t="shared" si="95"/>
        <v>Maxed Out</v>
      </c>
    </row>
    <row r="471" spans="1:24" x14ac:dyDescent="0.3">
      <c r="A471" t="s">
        <v>10</v>
      </c>
      <c r="B471" t="s">
        <v>29</v>
      </c>
      <c r="C471" t="s">
        <v>19</v>
      </c>
      <c r="D471" s="3">
        <v>45808</v>
      </c>
      <c r="E471" s="6">
        <v>0.11175785797438879</v>
      </c>
      <c r="F471">
        <v>1</v>
      </c>
      <c r="G471" t="s">
        <v>13</v>
      </c>
      <c r="H471" s="6">
        <v>0.1</v>
      </c>
      <c r="I471" s="8">
        <v>-6.3562281722933628E-2</v>
      </c>
      <c r="J471" s="5">
        <f t="shared" si="84"/>
        <v>-3.0570725046180952E-3</v>
      </c>
      <c r="K471" s="5" cm="1">
        <f t="array" ref="K471">_xlfn.STDEV.S(IF($C:$C=C471,$I:$I))</f>
        <v>0.17799866497296365</v>
      </c>
      <c r="L471" s="7">
        <f t="shared" si="87"/>
        <v>-0.33991945516841776</v>
      </c>
      <c r="M471">
        <f t="shared" si="85"/>
        <v>0</v>
      </c>
      <c r="N471" s="9">
        <f t="shared" si="88"/>
        <v>0.11757857974388788</v>
      </c>
      <c r="O471">
        <f>COUNTIFS($B$2:B471,B471,$C$2:C471,C471,$D$2:D471,"&lt;"&amp;D471,$F$2:F471,1)</f>
        <v>5</v>
      </c>
      <c r="P471">
        <f t="shared" si="86"/>
        <v>0</v>
      </c>
      <c r="Q471" t="str">
        <f t="shared" si="89"/>
        <v>Monitor</v>
      </c>
      <c r="R471">
        <v>0</v>
      </c>
      <c r="S471">
        <f t="shared" si="90"/>
        <v>0</v>
      </c>
      <c r="T471">
        <f t="shared" si="91"/>
        <v>0</v>
      </c>
      <c r="U471" t="str">
        <f t="shared" si="92"/>
        <v>Not Improved Enough</v>
      </c>
      <c r="V471" t="str">
        <f t="shared" si="93"/>
        <v>Far</v>
      </c>
      <c r="W471" t="str">
        <f t="shared" si="94"/>
        <v>Normal</v>
      </c>
      <c r="X471" t="str">
        <f t="shared" si="95"/>
        <v>Maxed Out</v>
      </c>
    </row>
    <row r="472" spans="1:24" x14ac:dyDescent="0.3">
      <c r="A472" t="s">
        <v>10</v>
      </c>
      <c r="B472" t="s">
        <v>29</v>
      </c>
      <c r="C472" t="s">
        <v>19</v>
      </c>
      <c r="D472" s="3">
        <v>45838</v>
      </c>
      <c r="E472" s="6">
        <v>9.1553133514986382E-2</v>
      </c>
      <c r="F472">
        <v>0</v>
      </c>
      <c r="G472" t="s">
        <v>13</v>
      </c>
      <c r="H472" s="6">
        <v>0.1</v>
      </c>
      <c r="I472" s="8">
        <v>0.18079019073569461</v>
      </c>
      <c r="J472" s="5">
        <f t="shared" si="84"/>
        <v>-3.0570725046180952E-3</v>
      </c>
      <c r="K472" s="5" cm="1">
        <f t="array" ref="K472">_xlfn.STDEV.S(IF($C:$C=C472,$I:$I))</f>
        <v>0.17799866497296365</v>
      </c>
      <c r="L472" s="7">
        <f t="shared" si="87"/>
        <v>1.0328575400733337</v>
      </c>
      <c r="M472">
        <f t="shared" si="85"/>
        <v>-1</v>
      </c>
      <c r="N472" s="9">
        <f t="shared" si="88"/>
        <v>-8.4468664850136238E-2</v>
      </c>
      <c r="O472">
        <f>COUNTIFS($B$2:B472,B472,$C$2:C472,C472,$D$2:D472,"&lt;"&amp;D472,$F$2:F472,1)</f>
        <v>6</v>
      </c>
      <c r="P472">
        <f t="shared" si="86"/>
        <v>1</v>
      </c>
      <c r="Q472" t="str">
        <f t="shared" si="89"/>
        <v>Monitor</v>
      </c>
      <c r="R472">
        <v>1</v>
      </c>
      <c r="S472">
        <f t="shared" si="90"/>
        <v>0</v>
      </c>
      <c r="T472">
        <f t="shared" si="91"/>
        <v>0</v>
      </c>
      <c r="U472" t="str">
        <f t="shared" si="92"/>
        <v>Improved Enough</v>
      </c>
      <c r="V472" t="str">
        <f t="shared" si="93"/>
        <v>Close</v>
      </c>
      <c r="W472" t="str">
        <f t="shared" si="94"/>
        <v>Normal</v>
      </c>
      <c r="X472" t="str">
        <f t="shared" si="95"/>
        <v>Maxed Out</v>
      </c>
    </row>
    <row r="473" spans="1:24" x14ac:dyDescent="0.3">
      <c r="A473" t="s">
        <v>10</v>
      </c>
      <c r="B473" t="s">
        <v>29</v>
      </c>
      <c r="C473" t="s">
        <v>19</v>
      </c>
      <c r="D473" s="3">
        <v>45869</v>
      </c>
      <c r="E473" s="6">
        <v>9.5238095238095233E-2</v>
      </c>
      <c r="F473">
        <v>0</v>
      </c>
      <c r="G473" t="s">
        <v>13</v>
      </c>
      <c r="H473" s="6">
        <v>0.1</v>
      </c>
      <c r="I473" s="8">
        <v>-4.024943310657584E-2</v>
      </c>
      <c r="J473" s="5">
        <f t="shared" si="84"/>
        <v>-3.0570725046180952E-3</v>
      </c>
      <c r="K473" s="5" cm="1">
        <f t="array" ref="K473">_xlfn.STDEV.S(IF($C:$C=C473,$I:$I))</f>
        <v>0.17799866497296365</v>
      </c>
      <c r="L473" s="7">
        <f t="shared" si="87"/>
        <v>-0.20894741321575033</v>
      </c>
      <c r="M473">
        <f t="shared" si="85"/>
        <v>0</v>
      </c>
      <c r="N473" s="9">
        <f t="shared" si="88"/>
        <v>-4.7619047619047727E-2</v>
      </c>
      <c r="O473">
        <f>COUNTIFS($B$2:B473,B473,$C$2:C473,C473,$D$2:D473,"&lt;"&amp;D473,$F$2:F473,1)</f>
        <v>6</v>
      </c>
      <c r="P473">
        <f t="shared" si="86"/>
        <v>0</v>
      </c>
      <c r="Q473" t="str">
        <f t="shared" si="89"/>
        <v>Monitor</v>
      </c>
      <c r="R473">
        <v>0</v>
      </c>
      <c r="S473">
        <f t="shared" si="90"/>
        <v>0</v>
      </c>
      <c r="T473">
        <f t="shared" si="91"/>
        <v>0</v>
      </c>
      <c r="U473" t="str">
        <f t="shared" si="92"/>
        <v>Not Improved Enough</v>
      </c>
      <c r="V473" t="str">
        <f t="shared" si="93"/>
        <v>Close</v>
      </c>
      <c r="W473" t="str">
        <f t="shared" si="94"/>
        <v>Normal</v>
      </c>
      <c r="X473" t="str">
        <f t="shared" si="95"/>
        <v>Maxed Out</v>
      </c>
    </row>
    <row r="474" spans="1:24" x14ac:dyDescent="0.3">
      <c r="A474" t="s">
        <v>10</v>
      </c>
      <c r="B474" t="s">
        <v>29</v>
      </c>
      <c r="C474" t="s">
        <v>19</v>
      </c>
      <c r="D474" s="3">
        <v>45900</v>
      </c>
      <c r="E474" s="6">
        <v>8.3931947069943294E-2</v>
      </c>
      <c r="F474">
        <v>0</v>
      </c>
      <c r="G474" t="s">
        <v>13</v>
      </c>
      <c r="H474" s="6">
        <v>0.1</v>
      </c>
      <c r="I474" s="8">
        <v>0.11871455576559541</v>
      </c>
      <c r="J474" s="5">
        <f t="shared" si="84"/>
        <v>-3.0570725046180952E-3</v>
      </c>
      <c r="K474" s="5" cm="1">
        <f t="array" ref="K474">_xlfn.STDEV.S(IF($C:$C=C474,$I:$I))</f>
        <v>0.17799866497296365</v>
      </c>
      <c r="L474" s="7">
        <f t="shared" si="87"/>
        <v>0.68411540215040079</v>
      </c>
      <c r="M474">
        <f t="shared" si="85"/>
        <v>-1</v>
      </c>
      <c r="N474" s="9">
        <f t="shared" si="88"/>
        <v>-0.16068052930056712</v>
      </c>
      <c r="O474">
        <f>COUNTIFS($B$2:B474,B474,$C$2:C474,C474,$D$2:D474,"&lt;"&amp;D474,$F$2:F474,1)</f>
        <v>6</v>
      </c>
      <c r="P474">
        <f t="shared" si="86"/>
        <v>0</v>
      </c>
      <c r="Q474" t="str">
        <f t="shared" si="89"/>
        <v>Monitor</v>
      </c>
      <c r="R474">
        <v>0</v>
      </c>
      <c r="S474">
        <f t="shared" si="90"/>
        <v>0</v>
      </c>
      <c r="T474">
        <f t="shared" si="91"/>
        <v>0</v>
      </c>
      <c r="U474" t="str">
        <f t="shared" si="92"/>
        <v>Improved Enough</v>
      </c>
      <c r="V474" t="str">
        <f t="shared" si="93"/>
        <v>Close</v>
      </c>
      <c r="W474" t="str">
        <f t="shared" si="94"/>
        <v>Normal</v>
      </c>
      <c r="X474" t="str">
        <f t="shared" si="95"/>
        <v>Maxed Out</v>
      </c>
    </row>
    <row r="475" spans="1:24" x14ac:dyDescent="0.3">
      <c r="A475" t="s">
        <v>10</v>
      </c>
      <c r="B475" t="s">
        <v>29</v>
      </c>
      <c r="C475" t="s">
        <v>19</v>
      </c>
      <c r="D475" s="3">
        <v>45930</v>
      </c>
      <c r="E475" s="6">
        <v>9.0943539219401293E-2</v>
      </c>
      <c r="F475">
        <v>0</v>
      </c>
      <c r="G475" t="s">
        <v>13</v>
      </c>
      <c r="H475" s="6">
        <v>0.1</v>
      </c>
      <c r="I475" s="8">
        <v>-8.3539014573497314E-2</v>
      </c>
      <c r="J475" s="5">
        <f t="shared" si="84"/>
        <v>-3.0570725046180952E-3</v>
      </c>
      <c r="K475" s="5" cm="1">
        <f t="array" ref="K475">_xlfn.STDEV.S(IF($C:$C=C475,$I:$I))</f>
        <v>0.17799866497296365</v>
      </c>
      <c r="L475" s="7">
        <f t="shared" si="87"/>
        <v>-0.45214913314717098</v>
      </c>
      <c r="M475">
        <f t="shared" si="85"/>
        <v>0</v>
      </c>
      <c r="N475" s="9">
        <f t="shared" si="88"/>
        <v>-9.056460780598713E-2</v>
      </c>
      <c r="O475">
        <f>COUNTIFS($B$2:B475,B475,$C$2:C475,C475,$D$2:D475,"&lt;"&amp;D475,$F$2:F475,1)</f>
        <v>6</v>
      </c>
      <c r="P475">
        <f t="shared" si="86"/>
        <v>0</v>
      </c>
      <c r="Q475" t="str">
        <f t="shared" si="89"/>
        <v>Monitor</v>
      </c>
      <c r="R475">
        <v>0</v>
      </c>
      <c r="S475">
        <f t="shared" si="90"/>
        <v>0</v>
      </c>
      <c r="T475">
        <f t="shared" si="91"/>
        <v>0</v>
      </c>
      <c r="U475" t="str">
        <f t="shared" si="92"/>
        <v>Not Improved Enough</v>
      </c>
      <c r="V475" t="str">
        <f t="shared" si="93"/>
        <v>Close</v>
      </c>
      <c r="W475" t="str">
        <f t="shared" si="94"/>
        <v>Normal</v>
      </c>
      <c r="X475" t="str">
        <f t="shared" si="95"/>
        <v>Maxed Out</v>
      </c>
    </row>
    <row r="476" spans="1:24" x14ac:dyDescent="0.3">
      <c r="A476" t="s">
        <v>10</v>
      </c>
      <c r="B476" t="s">
        <v>29</v>
      </c>
      <c r="C476" t="s">
        <v>19</v>
      </c>
      <c r="D476" s="3">
        <v>45961</v>
      </c>
      <c r="E476" s="6">
        <v>8.6461888509670085E-2</v>
      </c>
      <c r="F476">
        <v>0</v>
      </c>
      <c r="G476" t="s">
        <v>13</v>
      </c>
      <c r="H476" s="6">
        <v>0.1</v>
      </c>
      <c r="I476" s="8">
        <v>4.9279484262419397E-2</v>
      </c>
      <c r="J476" s="5">
        <f t="shared" si="84"/>
        <v>-3.0570725046180952E-3</v>
      </c>
      <c r="K476" s="5" cm="1">
        <f t="array" ref="K476">_xlfn.STDEV.S(IF($C:$C=C476,$I:$I))</f>
        <v>0.17799866497296365</v>
      </c>
      <c r="L476" s="7">
        <f t="shared" si="87"/>
        <v>0.29402780506801518</v>
      </c>
      <c r="M476">
        <f t="shared" si="85"/>
        <v>0</v>
      </c>
      <c r="N476" s="9">
        <f t="shared" si="88"/>
        <v>-0.13538111490329921</v>
      </c>
      <c r="O476">
        <f>COUNTIFS($B$2:B476,B476,$C$2:C476,C476,$D$2:D476,"&lt;"&amp;D476,$F$2:F476,1)</f>
        <v>6</v>
      </c>
      <c r="P476">
        <f t="shared" si="86"/>
        <v>0</v>
      </c>
      <c r="Q476" t="str">
        <f t="shared" si="89"/>
        <v>Monitor</v>
      </c>
      <c r="R476">
        <v>0</v>
      </c>
      <c r="S476">
        <f t="shared" si="90"/>
        <v>0</v>
      </c>
      <c r="T476">
        <f t="shared" si="91"/>
        <v>0</v>
      </c>
      <c r="U476" t="str">
        <f t="shared" si="92"/>
        <v>Improved Enough</v>
      </c>
      <c r="V476" t="str">
        <f t="shared" si="93"/>
        <v>Close</v>
      </c>
      <c r="W476" t="str">
        <f t="shared" si="94"/>
        <v>Normal</v>
      </c>
      <c r="X476" t="str">
        <f t="shared" si="95"/>
        <v>Maxed Out</v>
      </c>
    </row>
    <row r="477" spans="1:24" x14ac:dyDescent="0.3">
      <c r="A477" t="s">
        <v>10</v>
      </c>
      <c r="B477" t="s">
        <v>29</v>
      </c>
      <c r="C477" t="s">
        <v>19</v>
      </c>
      <c r="D477" s="3">
        <v>45991</v>
      </c>
      <c r="E477" s="6">
        <v>8.9689536220774246E-2</v>
      </c>
      <c r="F477">
        <v>0</v>
      </c>
      <c r="G477" t="s">
        <v>13</v>
      </c>
      <c r="H477" s="6">
        <v>0.1</v>
      </c>
      <c r="I477" s="8">
        <v>-3.7330293921849451E-2</v>
      </c>
      <c r="J477" s="5">
        <f t="shared" si="84"/>
        <v>-3.0570725046180952E-3</v>
      </c>
      <c r="K477" s="5" cm="1">
        <f t="array" ref="K477">_xlfn.STDEV.S(IF($C:$C=C477,$I:$I))</f>
        <v>0.17799866497296365</v>
      </c>
      <c r="L477" s="7">
        <f t="shared" si="87"/>
        <v>-0.19254763187373983</v>
      </c>
      <c r="M477">
        <f t="shared" si="85"/>
        <v>0</v>
      </c>
      <c r="N477" s="9">
        <f t="shared" si="88"/>
        <v>-0.10310463779225759</v>
      </c>
      <c r="O477">
        <f>COUNTIFS($B$2:B477,B477,$C$2:C477,C477,$D$2:D477,"&lt;"&amp;D477,$F$2:F477,1)</f>
        <v>6</v>
      </c>
      <c r="P477">
        <f t="shared" si="86"/>
        <v>0</v>
      </c>
      <c r="Q477" t="str">
        <f t="shared" si="89"/>
        <v>Monitor</v>
      </c>
      <c r="R477">
        <v>0</v>
      </c>
      <c r="S477">
        <f t="shared" si="90"/>
        <v>0</v>
      </c>
      <c r="T477">
        <f t="shared" si="91"/>
        <v>0</v>
      </c>
      <c r="U477" t="str">
        <f t="shared" si="92"/>
        <v>Not Improved Enough</v>
      </c>
      <c r="V477" t="str">
        <f t="shared" si="93"/>
        <v>Close</v>
      </c>
      <c r="W477" t="str">
        <f t="shared" si="94"/>
        <v>Normal</v>
      </c>
      <c r="X477" t="str">
        <f t="shared" si="95"/>
        <v>Maxed Out</v>
      </c>
    </row>
    <row r="478" spans="1:24" x14ac:dyDescent="0.3">
      <c r="A478" t="s">
        <v>20</v>
      </c>
      <c r="B478" t="s">
        <v>29</v>
      </c>
      <c r="C478" t="s">
        <v>21</v>
      </c>
      <c r="D478" s="3">
        <v>45535</v>
      </c>
      <c r="E478" s="6">
        <v>0.77400000000000002</v>
      </c>
      <c r="F478">
        <v>0</v>
      </c>
      <c r="G478" t="s">
        <v>13</v>
      </c>
      <c r="H478" s="6">
        <v>0.59</v>
      </c>
      <c r="I478" s="8">
        <v>-0.32989690721649501</v>
      </c>
      <c r="J478" s="5">
        <f t="shared" si="84"/>
        <v>-4.8849805534298088E-2</v>
      </c>
      <c r="K478" s="5" cm="1">
        <f t="array" ref="K478">_xlfn.STDEV.S(IF($C:$C=C478,$I:$I))</f>
        <v>0.44966933193859487</v>
      </c>
      <c r="L478" s="7">
        <f t="shared" si="87"/>
        <v>-0.62500838220511701</v>
      </c>
      <c r="M478">
        <f t="shared" si="85"/>
        <v>1</v>
      </c>
      <c r="N478" s="9">
        <f t="shared" si="88"/>
        <v>0.3118644067796611</v>
      </c>
      <c r="O478">
        <f>COUNTIFS($B$2:B478,B478,$C$2:C478,C478,$D$2:D478,"&lt;"&amp;D478,$F$2:F478,1)</f>
        <v>0</v>
      </c>
      <c r="P478">
        <f t="shared" si="86"/>
        <v>0</v>
      </c>
      <c r="Q478" t="str">
        <f t="shared" si="89"/>
        <v>Intervene</v>
      </c>
      <c r="R478">
        <v>0</v>
      </c>
      <c r="S478">
        <f t="shared" si="90"/>
        <v>1</v>
      </c>
      <c r="T478">
        <f t="shared" si="91"/>
        <v>1</v>
      </c>
      <c r="U478" t="str">
        <f t="shared" si="92"/>
        <v>Not Improved Enough</v>
      </c>
      <c r="V478" t="str">
        <f t="shared" si="93"/>
        <v>Far</v>
      </c>
      <c r="W478" t="str">
        <f t="shared" si="94"/>
        <v>Abnormal</v>
      </c>
      <c r="X478" t="str">
        <f t="shared" si="95"/>
        <v>Allowed</v>
      </c>
    </row>
    <row r="479" spans="1:24" x14ac:dyDescent="0.3">
      <c r="A479" t="s">
        <v>20</v>
      </c>
      <c r="B479" t="s">
        <v>29</v>
      </c>
      <c r="C479" t="s">
        <v>21</v>
      </c>
      <c r="D479" s="3">
        <v>45565</v>
      </c>
      <c r="E479" s="6">
        <v>0.755</v>
      </c>
      <c r="F479">
        <v>0</v>
      </c>
      <c r="G479" t="s">
        <v>13</v>
      </c>
      <c r="H479" s="6">
        <v>0.59</v>
      </c>
      <c r="I479" s="8">
        <v>2.4547803617571081E-2</v>
      </c>
      <c r="J479" s="5">
        <f t="shared" si="84"/>
        <v>-4.8849805534298088E-2</v>
      </c>
      <c r="K479" s="5" cm="1">
        <f t="array" ref="K479">_xlfn.STDEV.S(IF($C:$C=C479,$I:$I))</f>
        <v>0.44966933193859487</v>
      </c>
      <c r="L479" s="7">
        <f t="shared" si="87"/>
        <v>0.16322573931257572</v>
      </c>
      <c r="M479">
        <f t="shared" si="85"/>
        <v>0</v>
      </c>
      <c r="N479" s="9">
        <f t="shared" si="88"/>
        <v>0.27966101694915263</v>
      </c>
      <c r="O479">
        <f>COUNTIFS($B$2:B479,B479,$C$2:C479,C479,$D$2:D479,"&lt;"&amp;D479,$F$2:F479,1)</f>
        <v>0</v>
      </c>
      <c r="P479">
        <f t="shared" si="86"/>
        <v>0</v>
      </c>
      <c r="Q479" t="str">
        <f t="shared" si="89"/>
        <v>Monitor</v>
      </c>
      <c r="R479">
        <v>0</v>
      </c>
      <c r="S479">
        <f t="shared" si="90"/>
        <v>0</v>
      </c>
      <c r="T479">
        <f t="shared" si="91"/>
        <v>0</v>
      </c>
      <c r="U479" t="str">
        <f t="shared" si="92"/>
        <v>Improved Enough</v>
      </c>
      <c r="V479" t="str">
        <f t="shared" si="93"/>
        <v>Far</v>
      </c>
      <c r="W479" t="str">
        <f t="shared" si="94"/>
        <v>Normal</v>
      </c>
      <c r="X479" t="str">
        <f t="shared" si="95"/>
        <v>Allowed</v>
      </c>
    </row>
    <row r="480" spans="1:24" x14ac:dyDescent="0.3">
      <c r="A480" t="s">
        <v>20</v>
      </c>
      <c r="B480" t="s">
        <v>29</v>
      </c>
      <c r="C480" t="s">
        <v>21</v>
      </c>
      <c r="D480" s="3">
        <v>45596</v>
      </c>
      <c r="E480" s="6">
        <v>0.74</v>
      </c>
      <c r="F480">
        <v>0</v>
      </c>
      <c r="G480" t="s">
        <v>13</v>
      </c>
      <c r="H480" s="6">
        <v>0.59</v>
      </c>
      <c r="I480" s="8">
        <v>1.986754966887419E-2</v>
      </c>
      <c r="J480" s="5">
        <f t="shared" si="84"/>
        <v>-4.8849805534298088E-2</v>
      </c>
      <c r="K480" s="5" cm="1">
        <f t="array" ref="K480">_xlfn.STDEV.S(IF($C:$C=C480,$I:$I))</f>
        <v>0.44966933193859487</v>
      </c>
      <c r="L480" s="7">
        <f t="shared" si="87"/>
        <v>0.15281752684115904</v>
      </c>
      <c r="M480">
        <f t="shared" si="85"/>
        <v>0</v>
      </c>
      <c r="N480" s="9">
        <f t="shared" si="88"/>
        <v>0.25423728813559326</v>
      </c>
      <c r="O480">
        <f>COUNTIFS($B$2:B480,B480,$C$2:C480,C480,$D$2:D480,"&lt;"&amp;D480,$F$2:F480,1)</f>
        <v>0</v>
      </c>
      <c r="P480">
        <f t="shared" si="86"/>
        <v>0</v>
      </c>
      <c r="Q480" t="str">
        <f t="shared" si="89"/>
        <v>Monitor</v>
      </c>
      <c r="R480">
        <v>0</v>
      </c>
      <c r="S480">
        <f t="shared" si="90"/>
        <v>0</v>
      </c>
      <c r="T480">
        <f t="shared" si="91"/>
        <v>0</v>
      </c>
      <c r="U480" t="str">
        <f t="shared" si="92"/>
        <v>Improved Enough</v>
      </c>
      <c r="V480" t="str">
        <f t="shared" si="93"/>
        <v>Far</v>
      </c>
      <c r="W480" t="str">
        <f t="shared" si="94"/>
        <v>Normal</v>
      </c>
      <c r="X480" t="str">
        <f t="shared" si="95"/>
        <v>Allowed</v>
      </c>
    </row>
    <row r="481" spans="1:24" x14ac:dyDescent="0.3">
      <c r="A481" t="s">
        <v>20</v>
      </c>
      <c r="B481" t="s">
        <v>29</v>
      </c>
      <c r="C481" t="s">
        <v>21</v>
      </c>
      <c r="D481" s="3">
        <v>45626</v>
      </c>
      <c r="E481" s="6">
        <v>0.63</v>
      </c>
      <c r="F481">
        <v>0</v>
      </c>
      <c r="G481" t="s">
        <v>13</v>
      </c>
      <c r="H481" s="6">
        <v>0.59</v>
      </c>
      <c r="I481" s="8">
        <v>0.1486486486486486</v>
      </c>
      <c r="J481" s="5">
        <f t="shared" si="84"/>
        <v>-4.8849805534298088E-2</v>
      </c>
      <c r="K481" s="5" cm="1">
        <f t="array" ref="K481">_xlfn.STDEV.S(IF($C:$C=C481,$I:$I))</f>
        <v>0.44966933193859487</v>
      </c>
      <c r="L481" s="7">
        <f t="shared" si="87"/>
        <v>0.43920819178728498</v>
      </c>
      <c r="M481">
        <f t="shared" si="85"/>
        <v>0</v>
      </c>
      <c r="N481" s="9">
        <f t="shared" si="88"/>
        <v>6.7796610169491595E-2</v>
      </c>
      <c r="O481">
        <f>COUNTIFS($B$2:B481,B481,$C$2:C481,C481,$D$2:D481,"&lt;"&amp;D481,$F$2:F481,1)</f>
        <v>0</v>
      </c>
      <c r="P481">
        <f t="shared" si="86"/>
        <v>0</v>
      </c>
      <c r="Q481" t="str">
        <f t="shared" si="89"/>
        <v>Monitor</v>
      </c>
      <c r="R481">
        <v>0</v>
      </c>
      <c r="S481">
        <f t="shared" si="90"/>
        <v>0</v>
      </c>
      <c r="T481">
        <f t="shared" si="91"/>
        <v>0</v>
      </c>
      <c r="U481" t="str">
        <f t="shared" si="92"/>
        <v>Improved Enough</v>
      </c>
      <c r="V481" t="str">
        <f t="shared" si="93"/>
        <v>Far</v>
      </c>
      <c r="W481" t="str">
        <f t="shared" si="94"/>
        <v>Normal</v>
      </c>
      <c r="X481" t="str">
        <f t="shared" si="95"/>
        <v>Allowed</v>
      </c>
    </row>
    <row r="482" spans="1:24" x14ac:dyDescent="0.3">
      <c r="A482" t="s">
        <v>20</v>
      </c>
      <c r="B482" t="s">
        <v>29</v>
      </c>
      <c r="C482" t="s">
        <v>21</v>
      </c>
      <c r="D482" s="3">
        <v>45657</v>
      </c>
      <c r="E482" s="6">
        <v>0.69</v>
      </c>
      <c r="F482">
        <v>0</v>
      </c>
      <c r="G482" t="s">
        <v>13</v>
      </c>
      <c r="H482" s="6">
        <v>0.59</v>
      </c>
      <c r="I482" s="8">
        <v>-9.523809523809515E-2</v>
      </c>
      <c r="J482" s="5">
        <f t="shared" si="84"/>
        <v>-4.8849805534298088E-2</v>
      </c>
      <c r="K482" s="5" cm="1">
        <f t="array" ref="K482">_xlfn.STDEV.S(IF($C:$C=C482,$I:$I))</f>
        <v>0.44966933193859487</v>
      </c>
      <c r="L482" s="7">
        <f t="shared" si="87"/>
        <v>-0.10316089270266639</v>
      </c>
      <c r="M482">
        <f t="shared" si="85"/>
        <v>0</v>
      </c>
      <c r="N482" s="9">
        <f t="shared" si="88"/>
        <v>0.16949152542372878</v>
      </c>
      <c r="O482">
        <f>COUNTIFS($B$2:B482,B482,$C$2:C482,C482,$D$2:D482,"&lt;"&amp;D482,$F$2:F482,1)</f>
        <v>0</v>
      </c>
      <c r="P482">
        <f t="shared" si="86"/>
        <v>0</v>
      </c>
      <c r="Q482" t="str">
        <f t="shared" si="89"/>
        <v>Monitor</v>
      </c>
      <c r="R482">
        <v>0</v>
      </c>
      <c r="S482">
        <f t="shared" si="90"/>
        <v>0</v>
      </c>
      <c r="T482">
        <f t="shared" si="91"/>
        <v>0</v>
      </c>
      <c r="U482" t="str">
        <f t="shared" si="92"/>
        <v>Not Improved Enough</v>
      </c>
      <c r="V482" t="str">
        <f t="shared" si="93"/>
        <v>Far</v>
      </c>
      <c r="W482" t="str">
        <f t="shared" si="94"/>
        <v>Normal</v>
      </c>
      <c r="X482" t="str">
        <f t="shared" si="95"/>
        <v>Allowed</v>
      </c>
    </row>
    <row r="483" spans="1:24" x14ac:dyDescent="0.3">
      <c r="A483" t="s">
        <v>20</v>
      </c>
      <c r="B483" t="s">
        <v>29</v>
      </c>
      <c r="C483" t="s">
        <v>21</v>
      </c>
      <c r="D483" s="3">
        <v>45688</v>
      </c>
      <c r="E483" s="6">
        <v>0.71</v>
      </c>
      <c r="F483">
        <v>0</v>
      </c>
      <c r="G483" t="s">
        <v>13</v>
      </c>
      <c r="H483" s="6">
        <v>0.59</v>
      </c>
      <c r="I483" s="8">
        <v>-2.898550724637684E-2</v>
      </c>
      <c r="J483" s="5">
        <f t="shared" si="84"/>
        <v>-4.8849805534298088E-2</v>
      </c>
      <c r="K483" s="5" cm="1">
        <f t="array" ref="K483">_xlfn.STDEV.S(IF($C:$C=C483,$I:$I))</f>
        <v>0.44966933193859487</v>
      </c>
      <c r="L483" s="7">
        <f t="shared" si="87"/>
        <v>4.4175345919818788E-2</v>
      </c>
      <c r="M483">
        <f t="shared" si="85"/>
        <v>0</v>
      </c>
      <c r="N483" s="9">
        <f t="shared" si="88"/>
        <v>0.20338983050847459</v>
      </c>
      <c r="O483">
        <f>COUNTIFS($B$2:B483,B483,$C$2:C483,C483,$D$2:D483,"&lt;"&amp;D483,$F$2:F483,1)</f>
        <v>0</v>
      </c>
      <c r="P483">
        <f t="shared" si="86"/>
        <v>0</v>
      </c>
      <c r="Q483" t="str">
        <f t="shared" si="89"/>
        <v>Monitor</v>
      </c>
      <c r="R483">
        <v>0</v>
      </c>
      <c r="S483">
        <f t="shared" si="90"/>
        <v>0</v>
      </c>
      <c r="T483">
        <f t="shared" si="91"/>
        <v>0</v>
      </c>
      <c r="U483" t="str">
        <f t="shared" si="92"/>
        <v>Not Improved Enough</v>
      </c>
      <c r="V483" t="str">
        <f t="shared" si="93"/>
        <v>Far</v>
      </c>
      <c r="W483" t="str">
        <f t="shared" si="94"/>
        <v>Normal</v>
      </c>
      <c r="X483" t="str">
        <f t="shared" si="95"/>
        <v>Allowed</v>
      </c>
    </row>
    <row r="484" spans="1:24" x14ac:dyDescent="0.3">
      <c r="A484" t="s">
        <v>20</v>
      </c>
      <c r="B484" t="s">
        <v>29</v>
      </c>
      <c r="C484" t="s">
        <v>21</v>
      </c>
      <c r="D484" s="3">
        <v>45716</v>
      </c>
      <c r="E484" s="6">
        <v>0.68</v>
      </c>
      <c r="F484">
        <v>0</v>
      </c>
      <c r="G484" t="s">
        <v>13</v>
      </c>
      <c r="H484" s="6">
        <v>0.59</v>
      </c>
      <c r="I484" s="8">
        <v>4.2253521126760438E-2</v>
      </c>
      <c r="J484" s="5">
        <f t="shared" si="84"/>
        <v>-4.8849805534298088E-2</v>
      </c>
      <c r="K484" s="5" cm="1">
        <f t="array" ref="K484">_xlfn.STDEV.S(IF($C:$C=C484,$I:$I))</f>
        <v>0.44966933193859487</v>
      </c>
      <c r="L484" s="7">
        <f t="shared" si="87"/>
        <v>0.20260071165693649</v>
      </c>
      <c r="M484">
        <f t="shared" si="85"/>
        <v>0</v>
      </c>
      <c r="N484" s="9">
        <f t="shared" si="88"/>
        <v>0.15254237288135608</v>
      </c>
      <c r="O484">
        <f>COUNTIFS($B$2:B484,B484,$C$2:C484,C484,$D$2:D484,"&lt;"&amp;D484,$F$2:F484,1)</f>
        <v>0</v>
      </c>
      <c r="P484">
        <f t="shared" si="86"/>
        <v>0</v>
      </c>
      <c r="Q484" t="str">
        <f t="shared" si="89"/>
        <v>Monitor</v>
      </c>
      <c r="R484">
        <v>0</v>
      </c>
      <c r="S484">
        <f t="shared" si="90"/>
        <v>0</v>
      </c>
      <c r="T484">
        <f t="shared" si="91"/>
        <v>0</v>
      </c>
      <c r="U484" t="str">
        <f t="shared" si="92"/>
        <v>Improved Enough</v>
      </c>
      <c r="V484" t="str">
        <f t="shared" si="93"/>
        <v>Far</v>
      </c>
      <c r="W484" t="str">
        <f t="shared" si="94"/>
        <v>Normal</v>
      </c>
      <c r="X484" t="str">
        <f t="shared" si="95"/>
        <v>Allowed</v>
      </c>
    </row>
    <row r="485" spans="1:24" x14ac:dyDescent="0.3">
      <c r="A485" t="s">
        <v>20</v>
      </c>
      <c r="B485" t="s">
        <v>29</v>
      </c>
      <c r="C485" t="s">
        <v>21</v>
      </c>
      <c r="D485" s="3">
        <v>45747</v>
      </c>
      <c r="E485" s="6">
        <v>0.69</v>
      </c>
      <c r="F485">
        <v>0</v>
      </c>
      <c r="G485" t="s">
        <v>13</v>
      </c>
      <c r="H485" s="6">
        <v>0.59</v>
      </c>
      <c r="I485" s="8">
        <v>-1.4705882352941031E-2</v>
      </c>
      <c r="J485" s="5">
        <f t="shared" si="84"/>
        <v>-4.8849805534298088E-2</v>
      </c>
      <c r="K485" s="5" cm="1">
        <f t="array" ref="K485">_xlfn.STDEV.S(IF($C:$C=C485,$I:$I))</f>
        <v>0.44966933193859487</v>
      </c>
      <c r="L485" s="7">
        <f t="shared" si="87"/>
        <v>7.5931180439095691E-2</v>
      </c>
      <c r="M485">
        <f t="shared" si="85"/>
        <v>0</v>
      </c>
      <c r="N485" s="9">
        <f t="shared" si="88"/>
        <v>0.16949152542372878</v>
      </c>
      <c r="O485">
        <f>COUNTIFS($B$2:B485,B485,$C$2:C485,C485,$D$2:D485,"&lt;"&amp;D485,$F$2:F485,1)</f>
        <v>0</v>
      </c>
      <c r="P485">
        <f t="shared" si="86"/>
        <v>0</v>
      </c>
      <c r="Q485" t="str">
        <f t="shared" si="89"/>
        <v>Monitor</v>
      </c>
      <c r="R485">
        <v>0</v>
      </c>
      <c r="S485">
        <f t="shared" si="90"/>
        <v>0</v>
      </c>
      <c r="T485">
        <f t="shared" si="91"/>
        <v>0</v>
      </c>
      <c r="U485" t="str">
        <f t="shared" si="92"/>
        <v>Not Improved Enough</v>
      </c>
      <c r="V485" t="str">
        <f t="shared" si="93"/>
        <v>Far</v>
      </c>
      <c r="W485" t="str">
        <f t="shared" si="94"/>
        <v>Normal</v>
      </c>
      <c r="X485" t="str">
        <f t="shared" si="95"/>
        <v>Allowed</v>
      </c>
    </row>
    <row r="486" spans="1:24" x14ac:dyDescent="0.3">
      <c r="A486" t="s">
        <v>20</v>
      </c>
      <c r="B486" t="s">
        <v>29</v>
      </c>
      <c r="C486" t="s">
        <v>21</v>
      </c>
      <c r="D486" s="3">
        <v>45777</v>
      </c>
      <c r="E486" s="6">
        <v>0.57999999999999996</v>
      </c>
      <c r="F486">
        <v>0</v>
      </c>
      <c r="G486" t="s">
        <v>13</v>
      </c>
      <c r="H486" s="6">
        <v>0.59</v>
      </c>
      <c r="I486" s="8">
        <v>0.15942028985507251</v>
      </c>
      <c r="J486" s="5">
        <f t="shared" si="84"/>
        <v>-4.8849805534298088E-2</v>
      </c>
      <c r="K486" s="5" cm="1">
        <f t="array" ref="K486">_xlfn.STDEV.S(IF($C:$C=C486,$I:$I))</f>
        <v>0.44966933193859487</v>
      </c>
      <c r="L486" s="7">
        <f t="shared" si="87"/>
        <v>0.46316277450251186</v>
      </c>
      <c r="M486">
        <f t="shared" si="85"/>
        <v>0</v>
      </c>
      <c r="N486" s="9">
        <f t="shared" si="88"/>
        <v>-1.6949152542372899E-2</v>
      </c>
      <c r="O486">
        <f>COUNTIFS($B$2:B486,B486,$C$2:C486,C486,$D$2:D486,"&lt;"&amp;D486,$F$2:F486,1)</f>
        <v>0</v>
      </c>
      <c r="P486">
        <f t="shared" si="86"/>
        <v>0</v>
      </c>
      <c r="Q486" t="str">
        <f t="shared" si="89"/>
        <v>Monitor</v>
      </c>
      <c r="R486">
        <v>0</v>
      </c>
      <c r="S486">
        <f t="shared" si="90"/>
        <v>0</v>
      </c>
      <c r="T486">
        <f t="shared" si="91"/>
        <v>0</v>
      </c>
      <c r="U486" t="str">
        <f t="shared" si="92"/>
        <v>Improved Enough</v>
      </c>
      <c r="V486" t="str">
        <f t="shared" si="93"/>
        <v>Close</v>
      </c>
      <c r="W486" t="str">
        <f t="shared" si="94"/>
        <v>Normal</v>
      </c>
      <c r="X486" t="str">
        <f t="shared" si="95"/>
        <v>Allowed</v>
      </c>
    </row>
    <row r="487" spans="1:24" x14ac:dyDescent="0.3">
      <c r="A487" t="s">
        <v>20</v>
      </c>
      <c r="B487" t="s">
        <v>29</v>
      </c>
      <c r="C487" t="s">
        <v>21</v>
      </c>
      <c r="D487" s="3">
        <v>45808</v>
      </c>
      <c r="E487" s="6">
        <v>0.57999999999999996</v>
      </c>
      <c r="F487">
        <v>0</v>
      </c>
      <c r="G487" t="s">
        <v>13</v>
      </c>
      <c r="H487" s="6">
        <v>0.59</v>
      </c>
      <c r="I487" s="8">
        <v>0</v>
      </c>
      <c r="J487" s="5">
        <f t="shared" si="84"/>
        <v>-4.8849805534298088E-2</v>
      </c>
      <c r="K487" s="5" cm="1">
        <f t="array" ref="K487">_xlfn.STDEV.S(IF($C:$C=C487,$I:$I))</f>
        <v>0.44966933193859487</v>
      </c>
      <c r="L487" s="7">
        <f t="shared" si="87"/>
        <v>0.10863495031715623</v>
      </c>
      <c r="M487">
        <f t="shared" si="85"/>
        <v>0</v>
      </c>
      <c r="N487" s="9">
        <f t="shared" si="88"/>
        <v>-1.6949152542372899E-2</v>
      </c>
      <c r="O487">
        <f>COUNTIFS($B$2:B487,B487,$C$2:C487,C487,$D$2:D487,"&lt;"&amp;D487,$F$2:F487,1)</f>
        <v>0</v>
      </c>
      <c r="P487">
        <f t="shared" si="86"/>
        <v>0</v>
      </c>
      <c r="Q487" t="str">
        <f t="shared" si="89"/>
        <v>Monitor</v>
      </c>
      <c r="R487">
        <v>0</v>
      </c>
      <c r="S487">
        <f t="shared" si="90"/>
        <v>0</v>
      </c>
      <c r="T487">
        <f t="shared" si="91"/>
        <v>0</v>
      </c>
      <c r="U487" t="str">
        <f t="shared" si="92"/>
        <v>Not Improved Enough</v>
      </c>
      <c r="V487" t="str">
        <f t="shared" si="93"/>
        <v>Close</v>
      </c>
      <c r="W487" t="str">
        <f t="shared" si="94"/>
        <v>Normal</v>
      </c>
      <c r="X487" t="str">
        <f t="shared" si="95"/>
        <v>Allowed</v>
      </c>
    </row>
    <row r="488" spans="1:24" x14ac:dyDescent="0.3">
      <c r="A488" t="s">
        <v>20</v>
      </c>
      <c r="B488" t="s">
        <v>29</v>
      </c>
      <c r="C488" t="s">
        <v>21</v>
      </c>
      <c r="D488" s="3">
        <v>45838</v>
      </c>
      <c r="E488" s="6">
        <v>0.67</v>
      </c>
      <c r="F488">
        <v>0</v>
      </c>
      <c r="G488" t="s">
        <v>13</v>
      </c>
      <c r="H488" s="6">
        <v>0.59</v>
      </c>
      <c r="I488" s="8">
        <v>-0.15517241379310359</v>
      </c>
      <c r="J488" s="5">
        <f t="shared" si="84"/>
        <v>-4.8849805534298088E-2</v>
      </c>
      <c r="K488" s="5" cm="1">
        <f t="array" ref="K488">_xlfn.STDEV.S(IF($C:$C=C488,$I:$I))</f>
        <v>0.44966933193859487</v>
      </c>
      <c r="L488" s="7">
        <f t="shared" si="87"/>
        <v>-0.23644620770652092</v>
      </c>
      <c r="M488">
        <f t="shared" si="85"/>
        <v>0</v>
      </c>
      <c r="N488" s="9">
        <f t="shared" si="88"/>
        <v>0.13559322033898319</v>
      </c>
      <c r="O488">
        <f>COUNTIFS($B$2:B488,B488,$C$2:C488,C488,$D$2:D488,"&lt;"&amp;D488,$F$2:F488,1)</f>
        <v>0</v>
      </c>
      <c r="P488">
        <f t="shared" si="86"/>
        <v>0</v>
      </c>
      <c r="Q488" t="str">
        <f t="shared" si="89"/>
        <v>Monitor</v>
      </c>
      <c r="R488">
        <v>0</v>
      </c>
      <c r="S488">
        <f t="shared" si="90"/>
        <v>0</v>
      </c>
      <c r="T488">
        <f t="shared" si="91"/>
        <v>0</v>
      </c>
      <c r="U488" t="str">
        <f t="shared" si="92"/>
        <v>Not Improved Enough</v>
      </c>
      <c r="V488" t="str">
        <f t="shared" si="93"/>
        <v>Far</v>
      </c>
      <c r="W488" t="str">
        <f t="shared" si="94"/>
        <v>Normal</v>
      </c>
      <c r="X488" t="str">
        <f t="shared" si="95"/>
        <v>Allowed</v>
      </c>
    </row>
    <row r="489" spans="1:24" x14ac:dyDescent="0.3">
      <c r="A489" t="s">
        <v>20</v>
      </c>
      <c r="B489" t="s">
        <v>29</v>
      </c>
      <c r="C489" t="s">
        <v>21</v>
      </c>
      <c r="D489" s="3">
        <v>45869</v>
      </c>
      <c r="E489" s="6">
        <v>0.59</v>
      </c>
      <c r="F489">
        <v>0</v>
      </c>
      <c r="G489" t="s">
        <v>13</v>
      </c>
      <c r="H489" s="6">
        <v>0.59</v>
      </c>
      <c r="I489" s="8">
        <v>0.119402985074627</v>
      </c>
      <c r="J489" s="5">
        <f t="shared" si="84"/>
        <v>-4.8849805534298088E-2</v>
      </c>
      <c r="K489" s="5" cm="1">
        <f t="array" ref="K489">_xlfn.STDEV.S(IF($C:$C=C489,$I:$I))</f>
        <v>0.44966933193859487</v>
      </c>
      <c r="L489" s="7">
        <f t="shared" si="87"/>
        <v>0.37417003708827767</v>
      </c>
      <c r="M489">
        <f t="shared" si="85"/>
        <v>0</v>
      </c>
      <c r="N489" s="9">
        <f t="shared" si="88"/>
        <v>0</v>
      </c>
      <c r="O489">
        <f>COUNTIFS($B$2:B489,B489,$C$2:C489,C489,$D$2:D489,"&lt;"&amp;D489,$F$2:F489,1)</f>
        <v>0</v>
      </c>
      <c r="P489">
        <f t="shared" si="86"/>
        <v>0</v>
      </c>
      <c r="Q489" t="str">
        <f t="shared" si="89"/>
        <v>Monitor</v>
      </c>
      <c r="R489">
        <v>0</v>
      </c>
      <c r="S489">
        <f t="shared" si="90"/>
        <v>0</v>
      </c>
      <c r="T489">
        <f t="shared" si="91"/>
        <v>0</v>
      </c>
      <c r="U489" t="str">
        <f t="shared" si="92"/>
        <v>Improved Enough</v>
      </c>
      <c r="V489" t="str">
        <f t="shared" si="93"/>
        <v>Close</v>
      </c>
      <c r="W489" t="str">
        <f t="shared" si="94"/>
        <v>Normal</v>
      </c>
      <c r="X489" t="str">
        <f t="shared" si="95"/>
        <v>Allowed</v>
      </c>
    </row>
    <row r="490" spans="1:24" x14ac:dyDescent="0.3">
      <c r="A490" t="s">
        <v>20</v>
      </c>
      <c r="B490" t="s">
        <v>29</v>
      </c>
      <c r="C490" t="s">
        <v>21</v>
      </c>
      <c r="D490" s="3">
        <v>45900</v>
      </c>
      <c r="E490" s="6">
        <v>0.52</v>
      </c>
      <c r="F490">
        <v>0</v>
      </c>
      <c r="G490" t="s">
        <v>13</v>
      </c>
      <c r="H490" s="6">
        <v>0.59</v>
      </c>
      <c r="I490" s="8">
        <v>0.1186440677966101</v>
      </c>
      <c r="J490" s="5">
        <f t="shared" si="84"/>
        <v>-4.8849805534298088E-2</v>
      </c>
      <c r="K490" s="5" cm="1">
        <f t="array" ref="K490">_xlfn.STDEV.S(IF($C:$C=C490,$I:$I))</f>
        <v>0.44966933193859487</v>
      </c>
      <c r="L490" s="7">
        <f t="shared" si="87"/>
        <v>0.37248231407913879</v>
      </c>
      <c r="M490">
        <f t="shared" si="85"/>
        <v>0</v>
      </c>
      <c r="N490" s="9">
        <f t="shared" si="88"/>
        <v>-0.11864406779661009</v>
      </c>
      <c r="O490">
        <f>COUNTIFS($B$2:B490,B490,$C$2:C490,C490,$D$2:D490,"&lt;"&amp;D490,$F$2:F490,1)</f>
        <v>0</v>
      </c>
      <c r="P490">
        <f t="shared" si="86"/>
        <v>0</v>
      </c>
      <c r="Q490" t="str">
        <f t="shared" si="89"/>
        <v>Monitor</v>
      </c>
      <c r="R490">
        <v>0</v>
      </c>
      <c r="S490">
        <f t="shared" si="90"/>
        <v>0</v>
      </c>
      <c r="T490">
        <f t="shared" si="91"/>
        <v>0</v>
      </c>
      <c r="U490" t="str">
        <f t="shared" si="92"/>
        <v>Improved Enough</v>
      </c>
      <c r="V490" t="str">
        <f t="shared" si="93"/>
        <v>Close</v>
      </c>
      <c r="W490" t="str">
        <f t="shared" si="94"/>
        <v>Normal</v>
      </c>
      <c r="X490" t="str">
        <f t="shared" si="95"/>
        <v>Allowed</v>
      </c>
    </row>
    <row r="491" spans="1:24" x14ac:dyDescent="0.3">
      <c r="A491" t="s">
        <v>20</v>
      </c>
      <c r="B491" t="s">
        <v>29</v>
      </c>
      <c r="C491" t="s">
        <v>21</v>
      </c>
      <c r="D491" s="3">
        <v>45930</v>
      </c>
      <c r="E491" s="6">
        <v>0.49</v>
      </c>
      <c r="F491">
        <v>0</v>
      </c>
      <c r="G491" t="s">
        <v>13</v>
      </c>
      <c r="H491" s="6">
        <v>0.59</v>
      </c>
      <c r="I491" s="8">
        <v>5.7692307692307737E-2</v>
      </c>
      <c r="J491" s="5">
        <f t="shared" si="84"/>
        <v>-4.8849805534298088E-2</v>
      </c>
      <c r="K491" s="5" cm="1">
        <f t="array" ref="K491">_xlfn.STDEV.S(IF($C:$C=C491,$I:$I))</f>
        <v>0.44966933193859487</v>
      </c>
      <c r="L491" s="7">
        <f t="shared" si="87"/>
        <v>0.23693435522339515</v>
      </c>
      <c r="M491">
        <f t="shared" si="85"/>
        <v>0</v>
      </c>
      <c r="N491" s="9">
        <f t="shared" si="88"/>
        <v>-0.16949152542372878</v>
      </c>
      <c r="O491">
        <f>COUNTIFS($B$2:B491,B491,$C$2:C491,C491,$D$2:D491,"&lt;"&amp;D491,$F$2:F491,1)</f>
        <v>0</v>
      </c>
      <c r="P491">
        <f t="shared" si="86"/>
        <v>0</v>
      </c>
      <c r="Q491" t="str">
        <f t="shared" si="89"/>
        <v>Monitor</v>
      </c>
      <c r="R491">
        <v>0</v>
      </c>
      <c r="S491">
        <f t="shared" si="90"/>
        <v>0</v>
      </c>
      <c r="T491">
        <f t="shared" si="91"/>
        <v>0</v>
      </c>
      <c r="U491" t="str">
        <f t="shared" si="92"/>
        <v>Improved Enough</v>
      </c>
      <c r="V491" t="str">
        <f t="shared" si="93"/>
        <v>Close</v>
      </c>
      <c r="W491" t="str">
        <f t="shared" si="94"/>
        <v>Normal</v>
      </c>
      <c r="X491" t="str">
        <f t="shared" si="95"/>
        <v>Allowed</v>
      </c>
    </row>
    <row r="492" spans="1:24" x14ac:dyDescent="0.3">
      <c r="A492" t="s">
        <v>20</v>
      </c>
      <c r="B492" t="s">
        <v>29</v>
      </c>
      <c r="C492" t="s">
        <v>21</v>
      </c>
      <c r="D492" s="3">
        <v>45961</v>
      </c>
      <c r="E492" s="6">
        <v>0.73</v>
      </c>
      <c r="F492">
        <v>0</v>
      </c>
      <c r="G492" t="s">
        <v>13</v>
      </c>
      <c r="H492" s="6">
        <v>0.59</v>
      </c>
      <c r="I492" s="8">
        <v>-0.48979591836734693</v>
      </c>
      <c r="J492" s="5">
        <f t="shared" si="84"/>
        <v>-4.8849805534298088E-2</v>
      </c>
      <c r="K492" s="5" cm="1">
        <f t="array" ref="K492">_xlfn.STDEV.S(IF($C:$C=C492,$I:$I))</f>
        <v>0.44966933193859487</v>
      </c>
      <c r="L492" s="7">
        <f t="shared" si="87"/>
        <v>-0.98060081378478969</v>
      </c>
      <c r="M492">
        <f t="shared" si="85"/>
        <v>1</v>
      </c>
      <c r="N492" s="9">
        <f t="shared" si="88"/>
        <v>0.23728813559322037</v>
      </c>
      <c r="O492">
        <f>COUNTIFS($B$2:B492,B492,$C$2:C492,C492,$D$2:D492,"&lt;"&amp;D492,$F$2:F492,1)</f>
        <v>0</v>
      </c>
      <c r="P492">
        <f t="shared" si="86"/>
        <v>0</v>
      </c>
      <c r="Q492" t="str">
        <f t="shared" si="89"/>
        <v>Intervene</v>
      </c>
      <c r="R492">
        <v>0</v>
      </c>
      <c r="S492">
        <f t="shared" si="90"/>
        <v>1</v>
      </c>
      <c r="T492">
        <f t="shared" si="91"/>
        <v>1</v>
      </c>
      <c r="U492" t="str">
        <f t="shared" si="92"/>
        <v>Not Improved Enough</v>
      </c>
      <c r="V492" t="str">
        <f t="shared" si="93"/>
        <v>Far</v>
      </c>
      <c r="W492" t="str">
        <f t="shared" si="94"/>
        <v>Abnormal</v>
      </c>
      <c r="X492" t="str">
        <f t="shared" si="95"/>
        <v>Allowed</v>
      </c>
    </row>
    <row r="493" spans="1:24" x14ac:dyDescent="0.3">
      <c r="A493" t="s">
        <v>20</v>
      </c>
      <c r="B493" t="s">
        <v>29</v>
      </c>
      <c r="C493" t="s">
        <v>22</v>
      </c>
      <c r="D493" s="3">
        <v>45535</v>
      </c>
      <c r="E493" s="6">
        <v>0.73899999999999999</v>
      </c>
      <c r="F493">
        <v>1</v>
      </c>
      <c r="G493" t="s">
        <v>13</v>
      </c>
      <c r="H493" s="6">
        <v>0.56999999999999995</v>
      </c>
      <c r="I493" s="8">
        <v>2.7631578947368441E-2</v>
      </c>
      <c r="J493" s="5">
        <f t="shared" si="84"/>
        <v>-2.6703176088529658E-2</v>
      </c>
      <c r="K493" s="5" cm="1">
        <f t="array" ref="K493">_xlfn.STDEV.S(IF($C:$C=C493,$I:$I))</f>
        <v>0.34089784338901952</v>
      </c>
      <c r="L493" s="7">
        <f t="shared" si="87"/>
        <v>0.15938720672366757</v>
      </c>
      <c r="M493">
        <f t="shared" si="85"/>
        <v>0</v>
      </c>
      <c r="N493" s="9">
        <f t="shared" si="88"/>
        <v>0.29649122807017553</v>
      </c>
      <c r="O493">
        <f>COUNTIFS($B$2:B493,B493,$C$2:C493,C493,$D$2:D493,"&lt;"&amp;D493,$F$2:F493,1)</f>
        <v>0</v>
      </c>
      <c r="P493">
        <f t="shared" si="86"/>
        <v>0</v>
      </c>
      <c r="Q493" t="str">
        <f t="shared" si="89"/>
        <v>Monitor</v>
      </c>
      <c r="R493">
        <v>0</v>
      </c>
      <c r="S493">
        <f t="shared" si="90"/>
        <v>0</v>
      </c>
      <c r="T493">
        <f t="shared" si="91"/>
        <v>0</v>
      </c>
      <c r="U493" t="str">
        <f t="shared" si="92"/>
        <v>Improved Enough</v>
      </c>
      <c r="V493" t="str">
        <f t="shared" si="93"/>
        <v>Far</v>
      </c>
      <c r="W493" t="str">
        <f t="shared" si="94"/>
        <v>Normal</v>
      </c>
      <c r="X493" t="str">
        <f t="shared" si="95"/>
        <v>Allowed</v>
      </c>
    </row>
    <row r="494" spans="1:24" x14ac:dyDescent="0.3">
      <c r="A494" t="s">
        <v>20</v>
      </c>
      <c r="B494" t="s">
        <v>29</v>
      </c>
      <c r="C494" t="s">
        <v>22</v>
      </c>
      <c r="D494" s="3">
        <v>45565</v>
      </c>
      <c r="E494" s="6">
        <v>0.73</v>
      </c>
      <c r="F494">
        <v>0</v>
      </c>
      <c r="G494" t="s">
        <v>13</v>
      </c>
      <c r="H494" s="6">
        <v>0.56999999999999995</v>
      </c>
      <c r="I494" s="8">
        <v>1.217861975642762E-2</v>
      </c>
      <c r="J494" s="5">
        <f t="shared" si="84"/>
        <v>-2.6703176088529658E-2</v>
      </c>
      <c r="K494" s="5" cm="1">
        <f t="array" ref="K494">_xlfn.STDEV.S(IF($C:$C=C494,$I:$I))</f>
        <v>0.34089784338901952</v>
      </c>
      <c r="L494" s="7">
        <f t="shared" si="87"/>
        <v>0.11405703086419021</v>
      </c>
      <c r="M494">
        <f t="shared" si="85"/>
        <v>0</v>
      </c>
      <c r="N494" s="9">
        <f t="shared" si="88"/>
        <v>0.28070175438596501</v>
      </c>
      <c r="O494">
        <f>COUNTIFS($B$2:B494,B494,$C$2:C494,C494,$D$2:D494,"&lt;"&amp;D494,$F$2:F494,1)</f>
        <v>1</v>
      </c>
      <c r="P494">
        <f t="shared" si="86"/>
        <v>1</v>
      </c>
      <c r="Q494" t="str">
        <f t="shared" si="89"/>
        <v>Monitor</v>
      </c>
      <c r="R494">
        <v>1</v>
      </c>
      <c r="S494">
        <f t="shared" si="90"/>
        <v>0</v>
      </c>
      <c r="T494">
        <f t="shared" si="91"/>
        <v>0</v>
      </c>
      <c r="U494" t="str">
        <f t="shared" si="92"/>
        <v>Improved Enough</v>
      </c>
      <c r="V494" t="str">
        <f t="shared" si="93"/>
        <v>Far</v>
      </c>
      <c r="W494" t="str">
        <f t="shared" si="94"/>
        <v>Normal</v>
      </c>
      <c r="X494" t="str">
        <f t="shared" si="95"/>
        <v>Allowed</v>
      </c>
    </row>
    <row r="495" spans="1:24" x14ac:dyDescent="0.3">
      <c r="A495" t="s">
        <v>20</v>
      </c>
      <c r="B495" t="s">
        <v>29</v>
      </c>
      <c r="C495" t="s">
        <v>22</v>
      </c>
      <c r="D495" s="3">
        <v>45596</v>
      </c>
      <c r="E495" s="6">
        <v>0.74399999999999999</v>
      </c>
      <c r="F495">
        <v>1</v>
      </c>
      <c r="G495" t="s">
        <v>13</v>
      </c>
      <c r="H495" s="6">
        <v>0.56999999999999995</v>
      </c>
      <c r="I495" s="8">
        <v>-1.917808219178084E-2</v>
      </c>
      <c r="J495" s="5">
        <f t="shared" si="84"/>
        <v>-2.6703176088529658E-2</v>
      </c>
      <c r="K495" s="5" cm="1">
        <f t="array" ref="K495">_xlfn.STDEV.S(IF($C:$C=C495,$I:$I))</f>
        <v>0.34089784338901952</v>
      </c>
      <c r="L495" s="7">
        <f t="shared" si="87"/>
        <v>2.2074337056340571E-2</v>
      </c>
      <c r="M495">
        <f t="shared" si="85"/>
        <v>0</v>
      </c>
      <c r="N495" s="9">
        <f t="shared" si="88"/>
        <v>0.30526315789473696</v>
      </c>
      <c r="O495">
        <f>COUNTIFS($B$2:B495,B495,$C$2:C495,C495,$D$2:D495,"&lt;"&amp;D495,$F$2:F495,1)</f>
        <v>1</v>
      </c>
      <c r="P495">
        <f t="shared" si="86"/>
        <v>0</v>
      </c>
      <c r="Q495" t="str">
        <f t="shared" si="89"/>
        <v>Monitor</v>
      </c>
      <c r="R495">
        <v>0</v>
      </c>
      <c r="S495">
        <f t="shared" si="90"/>
        <v>0</v>
      </c>
      <c r="T495">
        <f t="shared" si="91"/>
        <v>0</v>
      </c>
      <c r="U495" t="str">
        <f t="shared" si="92"/>
        <v>Not Improved Enough</v>
      </c>
      <c r="V495" t="str">
        <f t="shared" si="93"/>
        <v>Far</v>
      </c>
      <c r="W495" t="str">
        <f t="shared" si="94"/>
        <v>Normal</v>
      </c>
      <c r="X495" t="str">
        <f t="shared" si="95"/>
        <v>Allowed</v>
      </c>
    </row>
    <row r="496" spans="1:24" x14ac:dyDescent="0.3">
      <c r="A496" t="s">
        <v>20</v>
      </c>
      <c r="B496" t="s">
        <v>29</v>
      </c>
      <c r="C496" t="s">
        <v>22</v>
      </c>
      <c r="D496" s="3">
        <v>45626</v>
      </c>
      <c r="E496" s="6">
        <v>0.85699999999999998</v>
      </c>
      <c r="F496">
        <v>1</v>
      </c>
      <c r="G496" t="s">
        <v>13</v>
      </c>
      <c r="H496" s="6">
        <v>0.56999999999999995</v>
      </c>
      <c r="I496" s="8">
        <v>-0.1518817204301075</v>
      </c>
      <c r="J496" s="5">
        <f t="shared" si="84"/>
        <v>-2.6703176088529658E-2</v>
      </c>
      <c r="K496" s="5" cm="1">
        <f t="array" ref="K496">_xlfn.STDEV.S(IF($C:$C=C496,$I:$I))</f>
        <v>0.34089784338901952</v>
      </c>
      <c r="L496" s="7">
        <f t="shared" si="87"/>
        <v>-0.36720251174698371</v>
      </c>
      <c r="M496">
        <f t="shared" si="85"/>
        <v>0</v>
      </c>
      <c r="N496" s="9">
        <f t="shared" si="88"/>
        <v>0.50350877192982468</v>
      </c>
      <c r="O496">
        <f>COUNTIFS($B$2:B496,B496,$C$2:C496,C496,$D$2:D496,"&lt;"&amp;D496,$F$2:F496,1)</f>
        <v>2</v>
      </c>
      <c r="P496">
        <f t="shared" si="86"/>
        <v>-1</v>
      </c>
      <c r="Q496" t="str">
        <f t="shared" si="89"/>
        <v>Monitor</v>
      </c>
      <c r="R496">
        <v>1</v>
      </c>
      <c r="S496">
        <f t="shared" si="90"/>
        <v>0</v>
      </c>
      <c r="T496">
        <f t="shared" si="91"/>
        <v>0</v>
      </c>
      <c r="U496" t="str">
        <f t="shared" si="92"/>
        <v>Not Improved Enough</v>
      </c>
      <c r="V496" t="str">
        <f t="shared" si="93"/>
        <v>Far</v>
      </c>
      <c r="W496" t="str">
        <f t="shared" si="94"/>
        <v>Normal</v>
      </c>
      <c r="X496" t="str">
        <f t="shared" si="95"/>
        <v>Allowed</v>
      </c>
    </row>
    <row r="497" spans="1:24" x14ac:dyDescent="0.3">
      <c r="A497" t="s">
        <v>20</v>
      </c>
      <c r="B497" t="s">
        <v>29</v>
      </c>
      <c r="C497" t="s">
        <v>22</v>
      </c>
      <c r="D497" s="3">
        <v>45657</v>
      </c>
      <c r="E497" s="6">
        <v>0.74399999999999999</v>
      </c>
      <c r="F497">
        <v>1</v>
      </c>
      <c r="G497" t="s">
        <v>13</v>
      </c>
      <c r="H497" s="6">
        <v>0.56999999999999995</v>
      </c>
      <c r="I497" s="8">
        <v>0.13185530921820299</v>
      </c>
      <c r="J497" s="5">
        <f t="shared" si="84"/>
        <v>-2.6703176088529658E-2</v>
      </c>
      <c r="K497" s="5" cm="1">
        <f t="array" ref="K497">_xlfn.STDEV.S(IF($C:$C=C497,$I:$I))</f>
        <v>0.34089784338901952</v>
      </c>
      <c r="L497" s="7">
        <f t="shared" si="87"/>
        <v>0.46512023581736711</v>
      </c>
      <c r="M497">
        <f t="shared" si="85"/>
        <v>0</v>
      </c>
      <c r="N497" s="9">
        <f t="shared" si="88"/>
        <v>0.30526315789473696</v>
      </c>
      <c r="O497">
        <f>COUNTIFS($B$2:B497,B497,$C$2:C497,C497,$D$2:D497,"&lt;"&amp;D497,$F$2:F497,1)</f>
        <v>3</v>
      </c>
      <c r="P497">
        <f t="shared" si="86"/>
        <v>1</v>
      </c>
      <c r="Q497" t="str">
        <f t="shared" si="89"/>
        <v>Monitor</v>
      </c>
      <c r="R497">
        <v>1</v>
      </c>
      <c r="S497">
        <f t="shared" si="90"/>
        <v>0</v>
      </c>
      <c r="T497">
        <f t="shared" si="91"/>
        <v>0</v>
      </c>
      <c r="U497" t="str">
        <f t="shared" si="92"/>
        <v>Improved Enough</v>
      </c>
      <c r="V497" t="str">
        <f t="shared" si="93"/>
        <v>Far</v>
      </c>
      <c r="W497" t="str">
        <f t="shared" si="94"/>
        <v>Normal</v>
      </c>
      <c r="X497" t="str">
        <f t="shared" si="95"/>
        <v>Allowed</v>
      </c>
    </row>
    <row r="498" spans="1:24" x14ac:dyDescent="0.3">
      <c r="A498" t="s">
        <v>20</v>
      </c>
      <c r="B498" t="s">
        <v>29</v>
      </c>
      <c r="C498" t="s">
        <v>22</v>
      </c>
      <c r="D498" s="3">
        <v>45688</v>
      </c>
      <c r="E498" s="6">
        <v>0.82099999999999995</v>
      </c>
      <c r="F498">
        <v>0</v>
      </c>
      <c r="G498" t="s">
        <v>13</v>
      </c>
      <c r="H498" s="6">
        <v>0.56999999999999995</v>
      </c>
      <c r="I498" s="8">
        <v>-0.1034946236559139</v>
      </c>
      <c r="J498" s="5">
        <f t="shared" si="84"/>
        <v>-2.6703176088529658E-2</v>
      </c>
      <c r="K498" s="5" cm="1">
        <f t="array" ref="K498">_xlfn.STDEV.S(IF($C:$C=C498,$I:$I))</f>
        <v>0.34089784338901952</v>
      </c>
      <c r="L498" s="7">
        <f t="shared" si="87"/>
        <v>-0.22526234488304694</v>
      </c>
      <c r="M498">
        <f t="shared" si="85"/>
        <v>0</v>
      </c>
      <c r="N498" s="9">
        <f t="shared" si="88"/>
        <v>0.44035087719298249</v>
      </c>
      <c r="O498">
        <f>COUNTIFS($B$2:B498,B498,$C$2:C498,C498,$D$2:D498,"&lt;"&amp;D498,$F$2:F498,1)</f>
        <v>4</v>
      </c>
      <c r="P498">
        <f t="shared" si="86"/>
        <v>-1</v>
      </c>
      <c r="Q498" t="str">
        <f t="shared" si="89"/>
        <v>Monitor</v>
      </c>
      <c r="R498">
        <v>1</v>
      </c>
      <c r="S498">
        <f t="shared" si="90"/>
        <v>0</v>
      </c>
      <c r="T498">
        <f t="shared" si="91"/>
        <v>0</v>
      </c>
      <c r="U498" t="str">
        <f t="shared" si="92"/>
        <v>Not Improved Enough</v>
      </c>
      <c r="V498" t="str">
        <f t="shared" si="93"/>
        <v>Far</v>
      </c>
      <c r="W498" t="str">
        <f t="shared" si="94"/>
        <v>Normal</v>
      </c>
      <c r="X498" t="str">
        <f t="shared" si="95"/>
        <v>Allowed</v>
      </c>
    </row>
    <row r="499" spans="1:24" x14ac:dyDescent="0.3">
      <c r="A499" t="s">
        <v>20</v>
      </c>
      <c r="B499" t="s">
        <v>29</v>
      </c>
      <c r="C499" t="s">
        <v>22</v>
      </c>
      <c r="D499" s="3">
        <v>45716</v>
      </c>
      <c r="E499" s="6">
        <v>0.76</v>
      </c>
      <c r="F499">
        <v>0</v>
      </c>
      <c r="G499" t="s">
        <v>13</v>
      </c>
      <c r="H499" s="6">
        <v>0.56999999999999995</v>
      </c>
      <c r="I499" s="8">
        <v>7.4299634591960956E-2</v>
      </c>
      <c r="J499" s="5">
        <f t="shared" si="84"/>
        <v>-2.6703176088529658E-2</v>
      </c>
      <c r="K499" s="5" cm="1">
        <f t="array" ref="K499">_xlfn.STDEV.S(IF($C:$C=C499,$I:$I))</f>
        <v>0.34089784338901952</v>
      </c>
      <c r="L499" s="7">
        <f t="shared" si="87"/>
        <v>0.29628468656878559</v>
      </c>
      <c r="M499">
        <f t="shared" si="85"/>
        <v>0</v>
      </c>
      <c r="N499" s="9">
        <f t="shared" si="88"/>
        <v>0.33333333333333348</v>
      </c>
      <c r="O499">
        <f>COUNTIFS($B$2:B499,B499,$C$2:C499,C499,$D$2:D499,"&lt;"&amp;D499,$F$2:F499,1)</f>
        <v>4</v>
      </c>
      <c r="P499">
        <f t="shared" si="86"/>
        <v>0</v>
      </c>
      <c r="Q499" t="str">
        <f t="shared" si="89"/>
        <v>Monitor</v>
      </c>
      <c r="R499">
        <v>0</v>
      </c>
      <c r="S499">
        <f t="shared" si="90"/>
        <v>0</v>
      </c>
      <c r="T499">
        <f t="shared" si="91"/>
        <v>0</v>
      </c>
      <c r="U499" t="str">
        <f t="shared" si="92"/>
        <v>Improved Enough</v>
      </c>
      <c r="V499" t="str">
        <f t="shared" si="93"/>
        <v>Far</v>
      </c>
      <c r="W499" t="str">
        <f t="shared" si="94"/>
        <v>Normal</v>
      </c>
      <c r="X499" t="str">
        <f t="shared" si="95"/>
        <v>Allowed</v>
      </c>
    </row>
    <row r="500" spans="1:24" x14ac:dyDescent="0.3">
      <c r="A500" t="s">
        <v>20</v>
      </c>
      <c r="B500" t="s">
        <v>29</v>
      </c>
      <c r="C500" t="s">
        <v>22</v>
      </c>
      <c r="D500" s="3">
        <v>45747</v>
      </c>
      <c r="E500" s="6">
        <v>0.79400000000000004</v>
      </c>
      <c r="F500">
        <v>1</v>
      </c>
      <c r="G500" t="s">
        <v>13</v>
      </c>
      <c r="H500" s="6">
        <v>0.56999999999999995</v>
      </c>
      <c r="I500" s="8">
        <v>-4.47368421052632E-2</v>
      </c>
      <c r="J500" s="5">
        <f t="shared" si="84"/>
        <v>-2.6703176088529658E-2</v>
      </c>
      <c r="K500" s="5" cm="1">
        <f t="array" ref="K500">_xlfn.STDEV.S(IF($C:$C=C500,$I:$I))</f>
        <v>0.34089784338901952</v>
      </c>
      <c r="L500" s="7">
        <f t="shared" si="87"/>
        <v>-5.2900498980729002E-2</v>
      </c>
      <c r="M500">
        <f t="shared" si="85"/>
        <v>0</v>
      </c>
      <c r="N500" s="9">
        <f t="shared" si="88"/>
        <v>0.39298245614035104</v>
      </c>
      <c r="O500">
        <f>COUNTIFS($B$2:B500,B500,$C$2:C500,C500,$D$2:D500,"&lt;"&amp;D500,$F$2:F500,1)</f>
        <v>4</v>
      </c>
      <c r="P500">
        <f t="shared" si="86"/>
        <v>0</v>
      </c>
      <c r="Q500" t="str">
        <f t="shared" si="89"/>
        <v>Monitor</v>
      </c>
      <c r="R500">
        <v>0</v>
      </c>
      <c r="S500">
        <f t="shared" si="90"/>
        <v>0</v>
      </c>
      <c r="T500">
        <f t="shared" si="91"/>
        <v>0</v>
      </c>
      <c r="U500" t="str">
        <f t="shared" si="92"/>
        <v>Not Improved Enough</v>
      </c>
      <c r="V500" t="str">
        <f t="shared" si="93"/>
        <v>Far</v>
      </c>
      <c r="W500" t="str">
        <f t="shared" si="94"/>
        <v>Normal</v>
      </c>
      <c r="X500" t="str">
        <f t="shared" si="95"/>
        <v>Allowed</v>
      </c>
    </row>
    <row r="501" spans="1:24" x14ac:dyDescent="0.3">
      <c r="A501" t="s">
        <v>20</v>
      </c>
      <c r="B501" t="s">
        <v>29</v>
      </c>
      <c r="C501" t="s">
        <v>22</v>
      </c>
      <c r="D501" s="3">
        <v>45777</v>
      </c>
      <c r="E501" s="6">
        <v>0.76900000000000002</v>
      </c>
      <c r="F501">
        <v>0</v>
      </c>
      <c r="G501" t="s">
        <v>13</v>
      </c>
      <c r="H501" s="6">
        <v>0.56999999999999995</v>
      </c>
      <c r="I501" s="8">
        <v>3.1486146095717912E-2</v>
      </c>
      <c r="J501" s="5">
        <f t="shared" si="84"/>
        <v>-2.6703176088529658E-2</v>
      </c>
      <c r="K501" s="5" cm="1">
        <f t="array" ref="K501">_xlfn.STDEV.S(IF($C:$C=C501,$I:$I))</f>
        <v>0.34089784338901952</v>
      </c>
      <c r="L501" s="7">
        <f t="shared" si="87"/>
        <v>0.17069431007765032</v>
      </c>
      <c r="M501">
        <f t="shared" si="85"/>
        <v>0</v>
      </c>
      <c r="N501" s="9">
        <f t="shared" si="88"/>
        <v>0.349122807017544</v>
      </c>
      <c r="O501">
        <f>COUNTIFS($B$2:B501,B501,$C$2:C501,C501,$D$2:D501,"&lt;"&amp;D501,$F$2:F501,1)</f>
        <v>5</v>
      </c>
      <c r="P501">
        <f t="shared" si="86"/>
        <v>1</v>
      </c>
      <c r="Q501" t="str">
        <f t="shared" si="89"/>
        <v>Monitor</v>
      </c>
      <c r="R501">
        <v>1</v>
      </c>
      <c r="S501">
        <f t="shared" si="90"/>
        <v>0</v>
      </c>
      <c r="T501">
        <f t="shared" si="91"/>
        <v>0</v>
      </c>
      <c r="U501" t="str">
        <f t="shared" si="92"/>
        <v>Improved Enough</v>
      </c>
      <c r="V501" t="str">
        <f t="shared" si="93"/>
        <v>Far</v>
      </c>
      <c r="W501" t="str">
        <f t="shared" si="94"/>
        <v>Normal</v>
      </c>
      <c r="X501" t="str">
        <f t="shared" si="95"/>
        <v>Maxed Out</v>
      </c>
    </row>
    <row r="502" spans="1:24" x14ac:dyDescent="0.3">
      <c r="A502" t="s">
        <v>20</v>
      </c>
      <c r="B502" t="s">
        <v>29</v>
      </c>
      <c r="C502" t="s">
        <v>22</v>
      </c>
      <c r="D502" s="3">
        <v>45808</v>
      </c>
      <c r="E502" s="6">
        <v>0.621</v>
      </c>
      <c r="F502">
        <v>1</v>
      </c>
      <c r="G502" t="s">
        <v>13</v>
      </c>
      <c r="H502" s="6">
        <v>0.56999999999999995</v>
      </c>
      <c r="I502" s="8">
        <v>0.19245773732119639</v>
      </c>
      <c r="J502" s="5">
        <f t="shared" si="84"/>
        <v>-2.6703176088529658E-2</v>
      </c>
      <c r="K502" s="5" cm="1">
        <f t="array" ref="K502">_xlfn.STDEV.S(IF($C:$C=C502,$I:$I))</f>
        <v>0.34089784338901952</v>
      </c>
      <c r="L502" s="7">
        <f t="shared" si="87"/>
        <v>0.64289322346820488</v>
      </c>
      <c r="M502">
        <f t="shared" si="85"/>
        <v>-1</v>
      </c>
      <c r="N502" s="9">
        <f t="shared" si="88"/>
        <v>8.94736842105264E-2</v>
      </c>
      <c r="O502">
        <f>COUNTIFS($B$2:B502,B502,$C$2:C502,C502,$D$2:D502,"&lt;"&amp;D502,$F$2:F502,1)</f>
        <v>5</v>
      </c>
      <c r="P502">
        <f t="shared" si="86"/>
        <v>0</v>
      </c>
      <c r="Q502" t="str">
        <f t="shared" si="89"/>
        <v>Monitor</v>
      </c>
      <c r="R502">
        <v>0</v>
      </c>
      <c r="S502">
        <f t="shared" si="90"/>
        <v>0</v>
      </c>
      <c r="T502">
        <f t="shared" si="91"/>
        <v>0</v>
      </c>
      <c r="U502" t="str">
        <f t="shared" si="92"/>
        <v>Improved Enough</v>
      </c>
      <c r="V502" t="str">
        <f t="shared" si="93"/>
        <v>Far</v>
      </c>
      <c r="W502" t="str">
        <f t="shared" si="94"/>
        <v>Normal</v>
      </c>
      <c r="X502" t="str">
        <f t="shared" si="95"/>
        <v>Maxed Out</v>
      </c>
    </row>
    <row r="503" spans="1:24" x14ac:dyDescent="0.3">
      <c r="A503" t="s">
        <v>20</v>
      </c>
      <c r="B503" t="s">
        <v>29</v>
      </c>
      <c r="C503" t="s">
        <v>22</v>
      </c>
      <c r="D503" s="3">
        <v>45838</v>
      </c>
      <c r="E503" s="6">
        <v>0.78900000000000003</v>
      </c>
      <c r="F503">
        <v>1</v>
      </c>
      <c r="G503" t="s">
        <v>13</v>
      </c>
      <c r="H503" s="6">
        <v>0.56999999999999995</v>
      </c>
      <c r="I503" s="8">
        <v>-0.27053140096618361</v>
      </c>
      <c r="J503" s="5">
        <f t="shared" si="84"/>
        <v>-2.6703176088529658E-2</v>
      </c>
      <c r="K503" s="5" cm="1">
        <f t="array" ref="K503">_xlfn.STDEV.S(IF($C:$C=C503,$I:$I))</f>
        <v>0.34089784338901952</v>
      </c>
      <c r="L503" s="7">
        <f t="shared" si="87"/>
        <v>-0.71525305778894754</v>
      </c>
      <c r="M503">
        <f t="shared" si="85"/>
        <v>1</v>
      </c>
      <c r="N503" s="9">
        <f t="shared" si="88"/>
        <v>0.38421052631578967</v>
      </c>
      <c r="O503">
        <f>COUNTIFS($B$2:B503,B503,$C$2:C503,C503,$D$2:D503,"&lt;"&amp;D503,$F$2:F503,1)</f>
        <v>6</v>
      </c>
      <c r="P503">
        <f t="shared" si="86"/>
        <v>-1</v>
      </c>
      <c r="Q503" t="str">
        <f t="shared" si="89"/>
        <v>Escalate / Bigger Fix</v>
      </c>
      <c r="R503">
        <v>1</v>
      </c>
      <c r="S503">
        <f t="shared" si="90"/>
        <v>-1</v>
      </c>
      <c r="T503">
        <f t="shared" si="91"/>
        <v>0</v>
      </c>
      <c r="U503" t="str">
        <f t="shared" si="92"/>
        <v>Not Improved Enough</v>
      </c>
      <c r="V503" t="str">
        <f t="shared" si="93"/>
        <v>Far</v>
      </c>
      <c r="W503" t="str">
        <f t="shared" si="94"/>
        <v>Abnormal</v>
      </c>
      <c r="X503" t="str">
        <f t="shared" si="95"/>
        <v>Maxed Out</v>
      </c>
    </row>
    <row r="504" spans="1:24" x14ac:dyDescent="0.3">
      <c r="A504" t="s">
        <v>20</v>
      </c>
      <c r="B504" t="s">
        <v>29</v>
      </c>
      <c r="C504" t="s">
        <v>22</v>
      </c>
      <c r="D504" s="3">
        <v>45869</v>
      </c>
      <c r="E504" s="6">
        <v>0.8</v>
      </c>
      <c r="F504">
        <v>0</v>
      </c>
      <c r="G504" t="s">
        <v>13</v>
      </c>
      <c r="H504" s="6">
        <v>0.56999999999999995</v>
      </c>
      <c r="I504" s="8">
        <v>-1.3941698352344749E-2</v>
      </c>
      <c r="J504" s="5">
        <f t="shared" si="84"/>
        <v>-2.6703176088529658E-2</v>
      </c>
      <c r="K504" s="5" cm="1">
        <f t="array" ref="K504">_xlfn.STDEV.S(IF($C:$C=C504,$I:$I))</f>
        <v>0.34089784338901952</v>
      </c>
      <c r="L504" s="7">
        <f t="shared" si="87"/>
        <v>3.7434903105626284E-2</v>
      </c>
      <c r="M504">
        <f t="shared" si="85"/>
        <v>0</v>
      </c>
      <c r="N504" s="9">
        <f t="shared" si="88"/>
        <v>0.40350877192982476</v>
      </c>
      <c r="O504">
        <f>COUNTIFS($B$2:B504,B504,$C$2:C504,C504,$D$2:D504,"&lt;"&amp;D504,$F$2:F504,1)</f>
        <v>7</v>
      </c>
      <c r="P504">
        <f t="shared" si="86"/>
        <v>-1</v>
      </c>
      <c r="Q504" t="str">
        <f t="shared" si="89"/>
        <v>Monitor</v>
      </c>
      <c r="R504">
        <v>1</v>
      </c>
      <c r="S504">
        <f t="shared" si="90"/>
        <v>0</v>
      </c>
      <c r="T504">
        <f t="shared" si="91"/>
        <v>0</v>
      </c>
      <c r="U504" t="str">
        <f t="shared" si="92"/>
        <v>Not Improved Enough</v>
      </c>
      <c r="V504" t="str">
        <f t="shared" si="93"/>
        <v>Far</v>
      </c>
      <c r="W504" t="str">
        <f t="shared" si="94"/>
        <v>Normal</v>
      </c>
      <c r="X504" t="str">
        <f t="shared" si="95"/>
        <v>Maxed Out</v>
      </c>
    </row>
    <row r="505" spans="1:24" x14ac:dyDescent="0.3">
      <c r="A505" t="s">
        <v>20</v>
      </c>
      <c r="B505" t="s">
        <v>29</v>
      </c>
      <c r="C505" t="s">
        <v>22</v>
      </c>
      <c r="D505" s="3">
        <v>45900</v>
      </c>
      <c r="E505" s="6">
        <v>0.85</v>
      </c>
      <c r="F505">
        <v>1</v>
      </c>
      <c r="G505" t="s">
        <v>13</v>
      </c>
      <c r="H505" s="6">
        <v>0.56999999999999995</v>
      </c>
      <c r="I505" s="8">
        <v>-6.2499999999999917E-2</v>
      </c>
      <c r="J505" s="5">
        <f t="shared" si="84"/>
        <v>-2.6703176088529658E-2</v>
      </c>
      <c r="K505" s="5" cm="1">
        <f t="array" ref="K505">_xlfn.STDEV.S(IF($C:$C=C505,$I:$I))</f>
        <v>0.34089784338901952</v>
      </c>
      <c r="L505" s="7">
        <f t="shared" si="87"/>
        <v>-0.10500748128998956</v>
      </c>
      <c r="M505">
        <f t="shared" si="85"/>
        <v>0</v>
      </c>
      <c r="N505" s="9">
        <f t="shared" si="88"/>
        <v>0.49122807017543868</v>
      </c>
      <c r="O505">
        <f>COUNTIFS($B$2:B505,B505,$C$2:C505,C505,$D$2:D505,"&lt;"&amp;D505,$F$2:F505,1)</f>
        <v>7</v>
      </c>
      <c r="P505">
        <f t="shared" si="86"/>
        <v>0</v>
      </c>
      <c r="Q505" t="str">
        <f t="shared" si="89"/>
        <v>Monitor</v>
      </c>
      <c r="R505">
        <v>0</v>
      </c>
      <c r="S505">
        <f t="shared" si="90"/>
        <v>0</v>
      </c>
      <c r="T505">
        <f t="shared" si="91"/>
        <v>0</v>
      </c>
      <c r="U505" t="str">
        <f t="shared" si="92"/>
        <v>Not Improved Enough</v>
      </c>
      <c r="V505" t="str">
        <f t="shared" si="93"/>
        <v>Far</v>
      </c>
      <c r="W505" t="str">
        <f t="shared" si="94"/>
        <v>Normal</v>
      </c>
      <c r="X505" t="str">
        <f t="shared" si="95"/>
        <v>Maxed Out</v>
      </c>
    </row>
    <row r="506" spans="1:24" x14ac:dyDescent="0.3">
      <c r="A506" t="s">
        <v>20</v>
      </c>
      <c r="B506" t="s">
        <v>29</v>
      </c>
      <c r="C506" t="s">
        <v>22</v>
      </c>
      <c r="D506" s="3">
        <v>45930</v>
      </c>
      <c r="E506" s="6">
        <v>0.66</v>
      </c>
      <c r="F506">
        <v>1</v>
      </c>
      <c r="G506" t="s">
        <v>13</v>
      </c>
      <c r="H506" s="6">
        <v>0.56999999999999995</v>
      </c>
      <c r="I506" s="8">
        <v>0.22352941176470581</v>
      </c>
      <c r="J506" s="5">
        <f t="shared" si="84"/>
        <v>-2.6703176088529658E-2</v>
      </c>
      <c r="K506" s="5" cm="1">
        <f t="array" ref="K506">_xlfn.STDEV.S(IF($C:$C=C506,$I:$I))</f>
        <v>0.34089784338901952</v>
      </c>
      <c r="L506" s="7">
        <f t="shared" si="87"/>
        <v>0.73403980901011356</v>
      </c>
      <c r="M506">
        <f t="shared" si="85"/>
        <v>-1</v>
      </c>
      <c r="N506" s="9">
        <f t="shared" si="88"/>
        <v>0.15789473684210542</v>
      </c>
      <c r="O506">
        <f>COUNTIFS($B$2:B506,B506,$C$2:C506,C506,$D$2:D506,"&lt;"&amp;D506,$F$2:F506,1)</f>
        <v>8</v>
      </c>
      <c r="P506">
        <f t="shared" si="86"/>
        <v>1</v>
      </c>
      <c r="Q506" t="str">
        <f t="shared" si="89"/>
        <v>Monitor</v>
      </c>
      <c r="R506">
        <v>1</v>
      </c>
      <c r="S506">
        <f t="shared" si="90"/>
        <v>0</v>
      </c>
      <c r="T506">
        <f t="shared" si="91"/>
        <v>0</v>
      </c>
      <c r="U506" t="str">
        <f t="shared" si="92"/>
        <v>Improved Enough</v>
      </c>
      <c r="V506" t="str">
        <f t="shared" si="93"/>
        <v>Far</v>
      </c>
      <c r="W506" t="str">
        <f t="shared" si="94"/>
        <v>Normal</v>
      </c>
      <c r="X506" t="str">
        <f t="shared" si="95"/>
        <v>Maxed Out</v>
      </c>
    </row>
    <row r="507" spans="1:24" x14ac:dyDescent="0.3">
      <c r="A507" t="s">
        <v>20</v>
      </c>
      <c r="B507" t="s">
        <v>29</v>
      </c>
      <c r="C507" t="s">
        <v>22</v>
      </c>
      <c r="D507" s="3">
        <v>45961</v>
      </c>
      <c r="E507" s="6">
        <v>0.66</v>
      </c>
      <c r="F507">
        <v>1</v>
      </c>
      <c r="G507" t="s">
        <v>13</v>
      </c>
      <c r="H507" s="6">
        <v>0.56999999999999995</v>
      </c>
      <c r="I507" s="8">
        <v>0</v>
      </c>
      <c r="J507" s="5">
        <f t="shared" si="84"/>
        <v>-2.6703176088529658E-2</v>
      </c>
      <c r="K507" s="5" cm="1">
        <f t="array" ref="K507">_xlfn.STDEV.S(IF($C:$C=C507,$I:$I))</f>
        <v>0.34089784338901952</v>
      </c>
      <c r="L507" s="7">
        <f t="shared" si="87"/>
        <v>7.8331900909261606E-2</v>
      </c>
      <c r="M507">
        <f t="shared" si="85"/>
        <v>0</v>
      </c>
      <c r="N507" s="9">
        <f t="shared" si="88"/>
        <v>0.15789473684210542</v>
      </c>
      <c r="O507">
        <f>COUNTIFS($B$2:B507,B507,$C$2:C507,C507,$D$2:D507,"&lt;"&amp;D507,$F$2:F507,1)</f>
        <v>9</v>
      </c>
      <c r="P507">
        <f t="shared" si="86"/>
        <v>-1</v>
      </c>
      <c r="Q507" t="str">
        <f t="shared" si="89"/>
        <v>Monitor</v>
      </c>
      <c r="R507">
        <v>1</v>
      </c>
      <c r="S507">
        <f t="shared" si="90"/>
        <v>0</v>
      </c>
      <c r="T507">
        <f t="shared" si="91"/>
        <v>0</v>
      </c>
      <c r="U507" t="str">
        <f t="shared" si="92"/>
        <v>Not Improved Enough</v>
      </c>
      <c r="V507" t="str">
        <f t="shared" si="93"/>
        <v>Far</v>
      </c>
      <c r="W507" t="str">
        <f t="shared" si="94"/>
        <v>Normal</v>
      </c>
      <c r="X507" t="str">
        <f t="shared" si="95"/>
        <v>Maxed Out</v>
      </c>
    </row>
    <row r="508" spans="1:24" x14ac:dyDescent="0.3">
      <c r="A508" t="s">
        <v>23</v>
      </c>
      <c r="B508" t="s">
        <v>29</v>
      </c>
      <c r="C508" t="s">
        <v>24</v>
      </c>
      <c r="D508" s="3">
        <v>45535</v>
      </c>
      <c r="E508" s="6">
        <v>0.66669999999999996</v>
      </c>
      <c r="F508">
        <v>1</v>
      </c>
      <c r="G508" t="s">
        <v>17</v>
      </c>
      <c r="H508" s="6">
        <v>0.85</v>
      </c>
      <c r="I508" s="8">
        <v>-7.4541921154914051E-2</v>
      </c>
      <c r="J508" s="5">
        <f t="shared" si="84"/>
        <v>4.5902054585511267E-3</v>
      </c>
      <c r="K508" s="5" cm="1">
        <f t="array" ref="K508">_xlfn.STDEV.S(IF($C:$C=C508,$I:$I))</f>
        <v>7.1528610508022367E-2</v>
      </c>
      <c r="L508" s="7">
        <f t="shared" si="87"/>
        <v>-1.1063003468324053</v>
      </c>
      <c r="M508">
        <f t="shared" si="85"/>
        <v>1</v>
      </c>
      <c r="N508" s="9">
        <f t="shared" si="88"/>
        <v>0.21564705882352944</v>
      </c>
      <c r="O508">
        <f>COUNTIFS($B$2:B508,B508,$C$2:C508,C508,$D$2:D508,"&lt;"&amp;D508,$F$2:F508,1)</f>
        <v>0</v>
      </c>
      <c r="P508">
        <f t="shared" si="86"/>
        <v>-1</v>
      </c>
      <c r="Q508" t="str">
        <f t="shared" si="89"/>
        <v>Intervene</v>
      </c>
      <c r="R508">
        <v>1</v>
      </c>
      <c r="S508">
        <f t="shared" si="90"/>
        <v>1</v>
      </c>
      <c r="T508">
        <f t="shared" si="91"/>
        <v>1</v>
      </c>
      <c r="U508" t="str">
        <f t="shared" si="92"/>
        <v>Not Improved Enough</v>
      </c>
      <c r="V508" t="str">
        <f t="shared" si="93"/>
        <v>Far</v>
      </c>
      <c r="W508" t="str">
        <f t="shared" si="94"/>
        <v>Abnormal</v>
      </c>
      <c r="X508" t="str">
        <f t="shared" si="95"/>
        <v>Allowed</v>
      </c>
    </row>
    <row r="509" spans="1:24" x14ac:dyDescent="0.3">
      <c r="A509" t="s">
        <v>23</v>
      </c>
      <c r="B509" t="s">
        <v>29</v>
      </c>
      <c r="C509" t="s">
        <v>24</v>
      </c>
      <c r="D509" s="3">
        <v>45565</v>
      </c>
      <c r="E509" s="6">
        <v>0.74439999999999995</v>
      </c>
      <c r="F509">
        <v>1</v>
      </c>
      <c r="G509" t="s">
        <v>17</v>
      </c>
      <c r="H509" s="6">
        <v>0.85</v>
      </c>
      <c r="I509" s="8">
        <v>0.1165441727913604</v>
      </c>
      <c r="J509" s="5">
        <f t="shared" si="84"/>
        <v>4.5902054585511267E-3</v>
      </c>
      <c r="K509" s="5" cm="1">
        <f t="array" ref="K509">_xlfn.STDEV.S(IF($C:$C=C509,$I:$I))</f>
        <v>7.1528610508022367E-2</v>
      </c>
      <c r="L509" s="7">
        <f t="shared" si="87"/>
        <v>1.5651634574986319</v>
      </c>
      <c r="M509">
        <f t="shared" si="85"/>
        <v>-1</v>
      </c>
      <c r="N509" s="9">
        <f t="shared" si="88"/>
        <v>0.1242352941176471</v>
      </c>
      <c r="O509">
        <f>COUNTIFS($B$2:B509,B509,$C$2:C509,C509,$D$2:D509,"&lt;"&amp;D509,$F$2:F509,1)</f>
        <v>1</v>
      </c>
      <c r="P509">
        <f t="shared" si="86"/>
        <v>1</v>
      </c>
      <c r="Q509" t="str">
        <f t="shared" si="89"/>
        <v>Monitor</v>
      </c>
      <c r="R509">
        <v>1</v>
      </c>
      <c r="S509">
        <f t="shared" si="90"/>
        <v>0</v>
      </c>
      <c r="T509">
        <f t="shared" si="91"/>
        <v>0</v>
      </c>
      <c r="U509" t="str">
        <f t="shared" si="92"/>
        <v>Improved Enough</v>
      </c>
      <c r="V509" t="str">
        <f t="shared" si="93"/>
        <v>Far</v>
      </c>
      <c r="W509" t="str">
        <f t="shared" si="94"/>
        <v>Normal</v>
      </c>
      <c r="X509" t="str">
        <f t="shared" si="95"/>
        <v>Allowed</v>
      </c>
    </row>
    <row r="510" spans="1:24" x14ac:dyDescent="0.3">
      <c r="A510" t="s">
        <v>23</v>
      </c>
      <c r="B510" t="s">
        <v>29</v>
      </c>
      <c r="C510" t="s">
        <v>24</v>
      </c>
      <c r="D510" s="3">
        <v>45596</v>
      </c>
      <c r="E510" s="6">
        <v>0.8478</v>
      </c>
      <c r="F510">
        <v>1</v>
      </c>
      <c r="G510" t="s">
        <v>17</v>
      </c>
      <c r="H510" s="6">
        <v>0.85</v>
      </c>
      <c r="I510" s="8">
        <v>0.13890381515314351</v>
      </c>
      <c r="J510" s="5">
        <f t="shared" si="84"/>
        <v>4.5902054585511267E-3</v>
      </c>
      <c r="K510" s="5" cm="1">
        <f t="array" ref="K510">_xlfn.STDEV.S(IF($C:$C=C510,$I:$I))</f>
        <v>7.1528610508022367E-2</v>
      </c>
      <c r="L510" s="7">
        <f t="shared" si="87"/>
        <v>1.8777606434774559</v>
      </c>
      <c r="M510">
        <f t="shared" si="85"/>
        <v>-1</v>
      </c>
      <c r="N510" s="9">
        <f t="shared" si="88"/>
        <v>2.5882352941176234E-3</v>
      </c>
      <c r="O510">
        <f>COUNTIFS($B$2:B510,B510,$C$2:C510,C510,$D$2:D510,"&lt;"&amp;D510,$F$2:F510,1)</f>
        <v>2</v>
      </c>
      <c r="P510">
        <f t="shared" si="86"/>
        <v>1</v>
      </c>
      <c r="Q510" t="str">
        <f t="shared" si="89"/>
        <v>Monitor</v>
      </c>
      <c r="R510">
        <v>1</v>
      </c>
      <c r="S510">
        <f t="shared" si="90"/>
        <v>0</v>
      </c>
      <c r="T510">
        <f t="shared" si="91"/>
        <v>0</v>
      </c>
      <c r="U510" t="str">
        <f t="shared" si="92"/>
        <v>Improved Enough</v>
      </c>
      <c r="V510" t="str">
        <f t="shared" si="93"/>
        <v>Close</v>
      </c>
      <c r="W510" t="str">
        <f t="shared" si="94"/>
        <v>Normal</v>
      </c>
      <c r="X510" t="str">
        <f t="shared" si="95"/>
        <v>Allowed</v>
      </c>
    </row>
    <row r="511" spans="1:24" x14ac:dyDescent="0.3">
      <c r="A511" t="s">
        <v>23</v>
      </c>
      <c r="B511" t="s">
        <v>29</v>
      </c>
      <c r="C511" t="s">
        <v>24</v>
      </c>
      <c r="D511" s="3">
        <v>45626</v>
      </c>
      <c r="E511" s="6">
        <v>0.85709999999999997</v>
      </c>
      <c r="F511">
        <v>0</v>
      </c>
      <c r="G511" t="s">
        <v>17</v>
      </c>
      <c r="H511" s="6">
        <v>0.85</v>
      </c>
      <c r="I511" s="8">
        <v>1.0969568294409031E-2</v>
      </c>
      <c r="J511" s="5">
        <f t="shared" si="84"/>
        <v>4.5902054585511267E-3</v>
      </c>
      <c r="K511" s="5" cm="1">
        <f t="array" ref="K511">_xlfn.STDEV.S(IF($C:$C=C511,$I:$I))</f>
        <v>7.1528610508022367E-2</v>
      </c>
      <c r="L511" s="7">
        <f t="shared" si="87"/>
        <v>8.918617026878245E-2</v>
      </c>
      <c r="M511">
        <f t="shared" si="85"/>
        <v>0</v>
      </c>
      <c r="N511" s="9">
        <f t="shared" si="88"/>
        <v>-8.3529411764705821E-3</v>
      </c>
      <c r="O511">
        <f>COUNTIFS($B$2:B511,B511,$C$2:C511,C511,$D$2:D511,"&lt;"&amp;D511,$F$2:F511,1)</f>
        <v>3</v>
      </c>
      <c r="P511">
        <f t="shared" si="86"/>
        <v>1</v>
      </c>
      <c r="Q511" t="str">
        <f t="shared" si="89"/>
        <v>Monitor</v>
      </c>
      <c r="R511">
        <v>1</v>
      </c>
      <c r="S511">
        <f t="shared" si="90"/>
        <v>0</v>
      </c>
      <c r="T511">
        <f t="shared" si="91"/>
        <v>0</v>
      </c>
      <c r="U511" t="str">
        <f t="shared" si="92"/>
        <v>Improved Enough</v>
      </c>
      <c r="V511" t="str">
        <f t="shared" si="93"/>
        <v>Close</v>
      </c>
      <c r="W511" t="str">
        <f t="shared" si="94"/>
        <v>Normal</v>
      </c>
      <c r="X511" t="str">
        <f t="shared" si="95"/>
        <v>Allowed</v>
      </c>
    </row>
    <row r="512" spans="1:24" x14ac:dyDescent="0.3">
      <c r="A512" t="s">
        <v>23</v>
      </c>
      <c r="B512" t="s">
        <v>29</v>
      </c>
      <c r="C512" t="s">
        <v>24</v>
      </c>
      <c r="D512" s="3">
        <v>45657</v>
      </c>
      <c r="E512" s="6">
        <v>0.80810000000000004</v>
      </c>
      <c r="F512">
        <v>1</v>
      </c>
      <c r="G512" t="s">
        <v>17</v>
      </c>
      <c r="H512" s="6">
        <v>0.85</v>
      </c>
      <c r="I512" s="8">
        <v>-5.7169525142923727E-2</v>
      </c>
      <c r="J512" s="5">
        <f t="shared" si="84"/>
        <v>4.5902054585511267E-3</v>
      </c>
      <c r="K512" s="5" cm="1">
        <f t="array" ref="K512">_xlfn.STDEV.S(IF($C:$C=C512,$I:$I))</f>
        <v>7.1528610508022367E-2</v>
      </c>
      <c r="L512" s="7">
        <f t="shared" si="87"/>
        <v>-0.86342695828752503</v>
      </c>
      <c r="M512">
        <f t="shared" si="85"/>
        <v>1</v>
      </c>
      <c r="N512" s="9">
        <f t="shared" si="88"/>
        <v>4.9294117647058752E-2</v>
      </c>
      <c r="O512">
        <f>COUNTIFS($B$2:B512,B512,$C$2:C512,C512,$D$2:D512,"&lt;"&amp;D512,$F$2:F512,1)</f>
        <v>3</v>
      </c>
      <c r="P512">
        <f t="shared" si="86"/>
        <v>0</v>
      </c>
      <c r="Q512" t="str">
        <f t="shared" si="89"/>
        <v>Intervene</v>
      </c>
      <c r="R512">
        <v>0</v>
      </c>
      <c r="S512">
        <f t="shared" si="90"/>
        <v>1</v>
      </c>
      <c r="T512">
        <f t="shared" si="91"/>
        <v>1</v>
      </c>
      <c r="U512" t="str">
        <f t="shared" si="92"/>
        <v>Not Improved Enough</v>
      </c>
      <c r="V512" t="str">
        <f t="shared" si="93"/>
        <v>Far</v>
      </c>
      <c r="W512" t="str">
        <f t="shared" si="94"/>
        <v>Abnormal</v>
      </c>
      <c r="X512" t="str">
        <f t="shared" si="95"/>
        <v>Allowed</v>
      </c>
    </row>
    <row r="513" spans="1:24" x14ac:dyDescent="0.3">
      <c r="A513" t="s">
        <v>23</v>
      </c>
      <c r="B513" t="s">
        <v>29</v>
      </c>
      <c r="C513" t="s">
        <v>24</v>
      </c>
      <c r="D513" s="3">
        <v>45688</v>
      </c>
      <c r="E513" s="6">
        <v>0.74729999999999996</v>
      </c>
      <c r="F513">
        <v>1</v>
      </c>
      <c r="G513" t="s">
        <v>17</v>
      </c>
      <c r="H513" s="6">
        <v>0.85</v>
      </c>
      <c r="I513" s="8">
        <v>-7.5238213092439152E-2</v>
      </c>
      <c r="J513" s="5">
        <f t="shared" si="84"/>
        <v>4.5902054585511267E-3</v>
      </c>
      <c r="K513" s="5" cm="1">
        <f t="array" ref="K513">_xlfn.STDEV.S(IF($C:$C=C513,$I:$I))</f>
        <v>7.1528610508022367E-2</v>
      </c>
      <c r="L513" s="7">
        <f t="shared" si="87"/>
        <v>-1.1160348003969269</v>
      </c>
      <c r="M513">
        <f t="shared" si="85"/>
        <v>1</v>
      </c>
      <c r="N513" s="9">
        <f t="shared" si="88"/>
        <v>0.12082352941176472</v>
      </c>
      <c r="O513">
        <f>COUNTIFS($B$2:B513,B513,$C$2:C513,C513,$D$2:D513,"&lt;"&amp;D513,$F$2:F513,1)</f>
        <v>4</v>
      </c>
      <c r="P513">
        <f t="shared" si="86"/>
        <v>-1</v>
      </c>
      <c r="Q513" t="str">
        <f t="shared" si="89"/>
        <v>Intervene</v>
      </c>
      <c r="R513">
        <v>1</v>
      </c>
      <c r="S513">
        <f t="shared" si="90"/>
        <v>1</v>
      </c>
      <c r="T513">
        <f t="shared" si="91"/>
        <v>1</v>
      </c>
      <c r="U513" t="str">
        <f t="shared" si="92"/>
        <v>Not Improved Enough</v>
      </c>
      <c r="V513" t="str">
        <f t="shared" si="93"/>
        <v>Far</v>
      </c>
      <c r="W513" t="str">
        <f t="shared" si="94"/>
        <v>Abnormal</v>
      </c>
      <c r="X513" t="str">
        <f t="shared" si="95"/>
        <v>Allowed</v>
      </c>
    </row>
    <row r="514" spans="1:24" x14ac:dyDescent="0.3">
      <c r="A514" t="s">
        <v>23</v>
      </c>
      <c r="B514" t="s">
        <v>29</v>
      </c>
      <c r="C514" t="s">
        <v>24</v>
      </c>
      <c r="D514" s="3">
        <v>45716</v>
      </c>
      <c r="E514" s="6">
        <v>0.65480000000000005</v>
      </c>
      <c r="F514">
        <v>1</v>
      </c>
      <c r="G514" t="s">
        <v>17</v>
      </c>
      <c r="H514" s="6">
        <v>0.85</v>
      </c>
      <c r="I514" s="8">
        <v>-0.1237789375083633</v>
      </c>
      <c r="J514" s="5">
        <f t="shared" ref="J514:J577" si="96">AVERAGEIF($C:$C,C514,$I:$I)</f>
        <v>4.5902054585511267E-3</v>
      </c>
      <c r="K514" s="5" cm="1">
        <f t="array" ref="K514">_xlfn.STDEV.S(IF($C:$C=C514,$I:$I))</f>
        <v>7.1528610508022367E-2</v>
      </c>
      <c r="L514" s="7">
        <f t="shared" si="87"/>
        <v>-1.7946545033545291</v>
      </c>
      <c r="M514">
        <f t="shared" ref="M514:M577" si="97">IF(L514&lt;=-$Z$4,1,IF(L514&gt;=$Z$4,-1,0))</f>
        <v>1</v>
      </c>
      <c r="N514" s="9">
        <f t="shared" si="88"/>
        <v>0.22964705882352934</v>
      </c>
      <c r="O514">
        <f>COUNTIFS($B$2:B514,B514,$C$2:C514,C514,$D$2:D514,"&lt;"&amp;D514,$F$2:F514,1)</f>
        <v>5</v>
      </c>
      <c r="P514">
        <f t="shared" ref="P514:P577" si="98">IF(AND(R514=1,I514&gt;0),1,IF(R514=1,-1,0))</f>
        <v>-1</v>
      </c>
      <c r="Q514" t="str">
        <f t="shared" si="89"/>
        <v>Escalate / Bigger Fix</v>
      </c>
      <c r="R514">
        <v>1</v>
      </c>
      <c r="S514">
        <f t="shared" si="90"/>
        <v>-1</v>
      </c>
      <c r="T514">
        <f t="shared" si="91"/>
        <v>0</v>
      </c>
      <c r="U514" t="str">
        <f t="shared" si="92"/>
        <v>Not Improved Enough</v>
      </c>
      <c r="V514" t="str">
        <f t="shared" si="93"/>
        <v>Far</v>
      </c>
      <c r="W514" t="str">
        <f t="shared" si="94"/>
        <v>Abnormal</v>
      </c>
      <c r="X514" t="str">
        <f t="shared" si="95"/>
        <v>Maxed Out</v>
      </c>
    </row>
    <row r="515" spans="1:24" x14ac:dyDescent="0.3">
      <c r="A515" t="s">
        <v>23</v>
      </c>
      <c r="B515" t="s">
        <v>29</v>
      </c>
      <c r="C515" t="s">
        <v>24</v>
      </c>
      <c r="D515" s="3">
        <v>45747</v>
      </c>
      <c r="E515" s="6">
        <v>0.78949999999999998</v>
      </c>
      <c r="F515">
        <v>1</v>
      </c>
      <c r="G515" t="s">
        <v>17</v>
      </c>
      <c r="H515" s="6">
        <v>0.85</v>
      </c>
      <c r="I515" s="8">
        <v>0.2057116676847891</v>
      </c>
      <c r="J515" s="5">
        <f t="shared" si="96"/>
        <v>4.5902054585511267E-3</v>
      </c>
      <c r="K515" s="5" cm="1">
        <f t="array" ref="K515">_xlfn.STDEV.S(IF($C:$C=C515,$I:$I))</f>
        <v>7.1528610508022367E-2</v>
      </c>
      <c r="L515" s="7">
        <f t="shared" ref="L515:L578" si="99">IFERROR((I515-J515)/K515,0)</f>
        <v>2.8117624653659528</v>
      </c>
      <c r="M515">
        <f t="shared" si="97"/>
        <v>-1</v>
      </c>
      <c r="N515" s="9">
        <f t="shared" ref="N515:N578" si="100">IFERROR(IF(G515="DOWN",(E515-H515)/H515,(H515-E515)/H515),0)</f>
        <v>7.1176470588235299E-2</v>
      </c>
      <c r="O515">
        <f>COUNTIFS($B$2:B515,B515,$C$2:C515,C515,$D$2:D515,"&lt;"&amp;D515,$F$2:F515,1)</f>
        <v>6</v>
      </c>
      <c r="P515">
        <f t="shared" si="98"/>
        <v>1</v>
      </c>
      <c r="Q515" t="str">
        <f t="shared" ref="Q515:Q578" si="101">IF(I515&gt;=$Z$1,"Monitor",IF(AND(N515&gt;=$Z$2,L515&lt;=-$Z$4),IF(O515&lt;$Z$3,"Intervene","Escalate / Bigger Fix"),"Monitor"))</f>
        <v>Monitor</v>
      </c>
      <c r="R515">
        <v>1</v>
      </c>
      <c r="S515">
        <f t="shared" ref="S515:S578" si="102">IF(Q515="Intervene",1,IF(Q515="Escalate / Bigger Fix",-1,0))</f>
        <v>0</v>
      </c>
      <c r="T515">
        <f t="shared" ref="T515:T578" si="103">IF(Q515="Intervene",1,0)</f>
        <v>0</v>
      </c>
      <c r="U515" t="str">
        <f t="shared" ref="U515:U578" si="104">IF(I515&gt;=$Z$1,"Improved Enough","Not Improved Enough")</f>
        <v>Improved Enough</v>
      </c>
      <c r="V515" t="str">
        <f t="shared" ref="V515:V578" si="105">IF(N515&gt;=$Z$2,"Far","Close")</f>
        <v>Far</v>
      </c>
      <c r="W515" t="str">
        <f t="shared" ref="W515:W578" si="106">IF(L515&lt;=-$Z$4,"Abnormal","Normal")</f>
        <v>Normal</v>
      </c>
      <c r="X515" t="str">
        <f t="shared" ref="X515:X578" si="107">IF(O515&lt;$Z$3,"Allowed","Maxed Out")</f>
        <v>Maxed Out</v>
      </c>
    </row>
    <row r="516" spans="1:24" x14ac:dyDescent="0.3">
      <c r="A516" t="s">
        <v>23</v>
      </c>
      <c r="B516" t="s">
        <v>29</v>
      </c>
      <c r="C516" t="s">
        <v>24</v>
      </c>
      <c r="D516" s="3">
        <v>45777</v>
      </c>
      <c r="E516" s="6">
        <v>0.76249999999999996</v>
      </c>
      <c r="F516">
        <v>1</v>
      </c>
      <c r="G516" t="s">
        <v>17</v>
      </c>
      <c r="H516" s="6">
        <v>0.85</v>
      </c>
      <c r="I516" s="8">
        <v>-3.4198860037998761E-2</v>
      </c>
      <c r="J516" s="5">
        <f t="shared" si="96"/>
        <v>4.5902054585511267E-3</v>
      </c>
      <c r="K516" s="5" cm="1">
        <f t="array" ref="K516">_xlfn.STDEV.S(IF($C:$C=C516,$I:$I))</f>
        <v>7.1528610508022367E-2</v>
      </c>
      <c r="L516" s="7">
        <f t="shared" si="99"/>
        <v>-0.54228741787455048</v>
      </c>
      <c r="M516">
        <f t="shared" si="97"/>
        <v>1</v>
      </c>
      <c r="N516" s="9">
        <f t="shared" si="100"/>
        <v>0.10294117647058826</v>
      </c>
      <c r="O516">
        <f>COUNTIFS($B$2:B516,B516,$C$2:C516,C516,$D$2:D516,"&lt;"&amp;D516,$F$2:F516,1)</f>
        <v>7</v>
      </c>
      <c r="P516">
        <f t="shared" si="98"/>
        <v>-1</v>
      </c>
      <c r="Q516" t="str">
        <f t="shared" si="101"/>
        <v>Escalate / Bigger Fix</v>
      </c>
      <c r="R516">
        <v>1</v>
      </c>
      <c r="S516">
        <f t="shared" si="102"/>
        <v>-1</v>
      </c>
      <c r="T516">
        <f t="shared" si="103"/>
        <v>0</v>
      </c>
      <c r="U516" t="str">
        <f t="shared" si="104"/>
        <v>Not Improved Enough</v>
      </c>
      <c r="V516" t="str">
        <f t="shared" si="105"/>
        <v>Far</v>
      </c>
      <c r="W516" t="str">
        <f t="shared" si="106"/>
        <v>Abnormal</v>
      </c>
      <c r="X516" t="str">
        <f t="shared" si="107"/>
        <v>Maxed Out</v>
      </c>
    </row>
    <row r="517" spans="1:24" x14ac:dyDescent="0.3">
      <c r="A517" t="s">
        <v>23</v>
      </c>
      <c r="B517" t="s">
        <v>29</v>
      </c>
      <c r="C517" t="s">
        <v>24</v>
      </c>
      <c r="D517" s="3">
        <v>45808</v>
      </c>
      <c r="E517" s="6">
        <v>0.85</v>
      </c>
      <c r="F517">
        <v>0</v>
      </c>
      <c r="G517" t="s">
        <v>17</v>
      </c>
      <c r="H517" s="6">
        <v>0.85</v>
      </c>
      <c r="I517" s="8">
        <v>0.1147540983606558</v>
      </c>
      <c r="J517" s="5">
        <f t="shared" si="96"/>
        <v>4.5902054585511267E-3</v>
      </c>
      <c r="K517" s="5" cm="1">
        <f t="array" ref="K517">_xlfn.STDEV.S(IF($C:$C=C517,$I:$I))</f>
        <v>7.1528610508022367E-2</v>
      </c>
      <c r="L517" s="7">
        <f t="shared" si="99"/>
        <v>1.5401374655495248</v>
      </c>
      <c r="M517">
        <f t="shared" si="97"/>
        <v>-1</v>
      </c>
      <c r="N517" s="9">
        <f t="shared" si="100"/>
        <v>0</v>
      </c>
      <c r="O517">
        <f>COUNTIFS($B$2:B517,B517,$C$2:C517,C517,$D$2:D517,"&lt;"&amp;D517,$F$2:F517,1)</f>
        <v>8</v>
      </c>
      <c r="P517">
        <f t="shared" si="98"/>
        <v>1</v>
      </c>
      <c r="Q517" t="str">
        <f t="shared" si="101"/>
        <v>Monitor</v>
      </c>
      <c r="R517">
        <v>1</v>
      </c>
      <c r="S517">
        <f t="shared" si="102"/>
        <v>0</v>
      </c>
      <c r="T517">
        <f t="shared" si="103"/>
        <v>0</v>
      </c>
      <c r="U517" t="str">
        <f t="shared" si="104"/>
        <v>Improved Enough</v>
      </c>
      <c r="V517" t="str">
        <f t="shared" si="105"/>
        <v>Close</v>
      </c>
      <c r="W517" t="str">
        <f t="shared" si="106"/>
        <v>Normal</v>
      </c>
      <c r="X517" t="str">
        <f t="shared" si="107"/>
        <v>Maxed Out</v>
      </c>
    </row>
    <row r="518" spans="1:24" x14ac:dyDescent="0.3">
      <c r="A518" t="s">
        <v>23</v>
      </c>
      <c r="B518" t="s">
        <v>29</v>
      </c>
      <c r="C518" t="s">
        <v>24</v>
      </c>
      <c r="D518" s="3">
        <v>45838</v>
      </c>
      <c r="E518" s="6">
        <v>0.76</v>
      </c>
      <c r="F518">
        <v>0</v>
      </c>
      <c r="G518" t="s">
        <v>17</v>
      </c>
      <c r="H518" s="6">
        <v>0.85</v>
      </c>
      <c r="I518" s="8">
        <v>-0.1058823529411764</v>
      </c>
      <c r="J518" s="5">
        <f t="shared" si="96"/>
        <v>4.5902054585511267E-3</v>
      </c>
      <c r="K518" s="5" cm="1">
        <f t="array" ref="K518">_xlfn.STDEV.S(IF($C:$C=C518,$I:$I))</f>
        <v>7.1528610508022367E-2</v>
      </c>
      <c r="L518" s="7">
        <f t="shared" si="99"/>
        <v>-1.5444527387727931</v>
      </c>
      <c r="M518">
        <f t="shared" si="97"/>
        <v>1</v>
      </c>
      <c r="N518" s="9">
        <f t="shared" si="100"/>
        <v>0.10588235294117644</v>
      </c>
      <c r="O518">
        <f>COUNTIFS($B$2:B518,B518,$C$2:C518,C518,$D$2:D518,"&lt;"&amp;D518,$F$2:F518,1)</f>
        <v>8</v>
      </c>
      <c r="P518">
        <f t="shared" si="98"/>
        <v>0</v>
      </c>
      <c r="Q518" t="str">
        <f t="shared" si="101"/>
        <v>Escalate / Bigger Fix</v>
      </c>
      <c r="R518">
        <v>0</v>
      </c>
      <c r="S518">
        <f t="shared" si="102"/>
        <v>-1</v>
      </c>
      <c r="T518">
        <f t="shared" si="103"/>
        <v>0</v>
      </c>
      <c r="U518" t="str">
        <f t="shared" si="104"/>
        <v>Not Improved Enough</v>
      </c>
      <c r="V518" t="str">
        <f t="shared" si="105"/>
        <v>Far</v>
      </c>
      <c r="W518" t="str">
        <f t="shared" si="106"/>
        <v>Abnormal</v>
      </c>
      <c r="X518" t="str">
        <f t="shared" si="107"/>
        <v>Maxed Out</v>
      </c>
    </row>
    <row r="519" spans="1:24" x14ac:dyDescent="0.3">
      <c r="A519" t="s">
        <v>23</v>
      </c>
      <c r="B519" t="s">
        <v>29</v>
      </c>
      <c r="C519" t="s">
        <v>24</v>
      </c>
      <c r="D519" s="3">
        <v>45869</v>
      </c>
      <c r="E519" s="6">
        <v>0.83899999999999997</v>
      </c>
      <c r="F519">
        <v>1</v>
      </c>
      <c r="G519" t="s">
        <v>17</v>
      </c>
      <c r="H519" s="6">
        <v>0.85</v>
      </c>
      <c r="I519" s="8">
        <v>0.10394736842105259</v>
      </c>
      <c r="J519" s="5">
        <f t="shared" si="96"/>
        <v>4.5902054585511267E-3</v>
      </c>
      <c r="K519" s="5" cm="1">
        <f t="array" ref="K519">_xlfn.STDEV.S(IF($C:$C=C519,$I:$I))</f>
        <v>7.1528610508022367E-2</v>
      </c>
      <c r="L519" s="7">
        <f t="shared" si="99"/>
        <v>1.3890548447233986</v>
      </c>
      <c r="M519">
        <f t="shared" si="97"/>
        <v>-1</v>
      </c>
      <c r="N519" s="9">
        <f t="shared" si="100"/>
        <v>1.2941176470588248E-2</v>
      </c>
      <c r="O519">
        <f>COUNTIFS($B$2:B519,B519,$C$2:C519,C519,$D$2:D519,"&lt;"&amp;D519,$F$2:F519,1)</f>
        <v>8</v>
      </c>
      <c r="P519">
        <f t="shared" si="98"/>
        <v>0</v>
      </c>
      <c r="Q519" t="str">
        <f t="shared" si="101"/>
        <v>Monitor</v>
      </c>
      <c r="R519">
        <v>0</v>
      </c>
      <c r="S519">
        <f t="shared" si="102"/>
        <v>0</v>
      </c>
      <c r="T519">
        <f t="shared" si="103"/>
        <v>0</v>
      </c>
      <c r="U519" t="str">
        <f t="shared" si="104"/>
        <v>Improved Enough</v>
      </c>
      <c r="V519" t="str">
        <f t="shared" si="105"/>
        <v>Close</v>
      </c>
      <c r="W519" t="str">
        <f t="shared" si="106"/>
        <v>Normal</v>
      </c>
      <c r="X519" t="str">
        <f t="shared" si="107"/>
        <v>Maxed Out</v>
      </c>
    </row>
    <row r="520" spans="1:24" x14ac:dyDescent="0.3">
      <c r="A520" t="s">
        <v>23</v>
      </c>
      <c r="B520" t="s">
        <v>29</v>
      </c>
      <c r="C520" t="s">
        <v>24</v>
      </c>
      <c r="D520" s="3">
        <v>45900</v>
      </c>
      <c r="E520" s="6">
        <v>0.81699999999999995</v>
      </c>
      <c r="F520">
        <v>1</v>
      </c>
      <c r="G520" t="s">
        <v>17</v>
      </c>
      <c r="H520" s="6">
        <v>0.85</v>
      </c>
      <c r="I520" s="8">
        <v>-2.6221692491060811E-2</v>
      </c>
      <c r="J520" s="5">
        <f t="shared" si="96"/>
        <v>4.5902054585511267E-3</v>
      </c>
      <c r="K520" s="5" cm="1">
        <f t="array" ref="K520">_xlfn.STDEV.S(IF($C:$C=C520,$I:$I))</f>
        <v>7.1528610508022367E-2</v>
      </c>
      <c r="L520" s="7">
        <f t="shared" si="99"/>
        <v>-0.43076326704481693</v>
      </c>
      <c r="M520">
        <f t="shared" si="97"/>
        <v>0</v>
      </c>
      <c r="N520" s="9">
        <f t="shared" si="100"/>
        <v>3.8823529411764743E-2</v>
      </c>
      <c r="O520">
        <f>COUNTIFS($B$2:B520,B520,$C$2:C520,C520,$D$2:D520,"&lt;"&amp;D520,$F$2:F520,1)</f>
        <v>9</v>
      </c>
      <c r="P520">
        <f t="shared" si="98"/>
        <v>-1</v>
      </c>
      <c r="Q520" t="str">
        <f t="shared" si="101"/>
        <v>Monitor</v>
      </c>
      <c r="R520">
        <v>1</v>
      </c>
      <c r="S520">
        <f t="shared" si="102"/>
        <v>0</v>
      </c>
      <c r="T520">
        <f t="shared" si="103"/>
        <v>0</v>
      </c>
      <c r="U520" t="str">
        <f t="shared" si="104"/>
        <v>Not Improved Enough</v>
      </c>
      <c r="V520" t="str">
        <f t="shared" si="105"/>
        <v>Far</v>
      </c>
      <c r="W520" t="str">
        <f t="shared" si="106"/>
        <v>Normal</v>
      </c>
      <c r="X520" t="str">
        <f t="shared" si="107"/>
        <v>Maxed Out</v>
      </c>
    </row>
    <row r="521" spans="1:24" x14ac:dyDescent="0.3">
      <c r="A521" t="s">
        <v>23</v>
      </c>
      <c r="B521" t="s">
        <v>29</v>
      </c>
      <c r="C521" t="s">
        <v>24</v>
      </c>
      <c r="D521" s="3">
        <v>45930</v>
      </c>
      <c r="E521" s="6">
        <v>0.76100000000000001</v>
      </c>
      <c r="F521">
        <v>1</v>
      </c>
      <c r="G521" t="s">
        <v>17</v>
      </c>
      <c r="H521" s="6">
        <v>0.85</v>
      </c>
      <c r="I521" s="8">
        <v>-6.8543451652386705E-2</v>
      </c>
      <c r="J521" s="5">
        <f t="shared" si="96"/>
        <v>4.5902054585511267E-3</v>
      </c>
      <c r="K521" s="5" cm="1">
        <f t="array" ref="K521">_xlfn.STDEV.S(IF($C:$C=C521,$I:$I))</f>
        <v>7.1528610508022367E-2</v>
      </c>
      <c r="L521" s="7">
        <f t="shared" si="99"/>
        <v>-1.022439225248692</v>
      </c>
      <c r="M521">
        <f t="shared" si="97"/>
        <v>1</v>
      </c>
      <c r="N521" s="9">
        <f t="shared" si="100"/>
        <v>0.10470588235294113</v>
      </c>
      <c r="O521">
        <f>COUNTIFS($B$2:B521,B521,$C$2:C521,C521,$D$2:D521,"&lt;"&amp;D521,$F$2:F521,1)</f>
        <v>10</v>
      </c>
      <c r="P521">
        <f t="shared" si="98"/>
        <v>-1</v>
      </c>
      <c r="Q521" t="str">
        <f t="shared" si="101"/>
        <v>Escalate / Bigger Fix</v>
      </c>
      <c r="R521">
        <v>1</v>
      </c>
      <c r="S521">
        <f t="shared" si="102"/>
        <v>-1</v>
      </c>
      <c r="T521">
        <f t="shared" si="103"/>
        <v>0</v>
      </c>
      <c r="U521" t="str">
        <f t="shared" si="104"/>
        <v>Not Improved Enough</v>
      </c>
      <c r="V521" t="str">
        <f t="shared" si="105"/>
        <v>Far</v>
      </c>
      <c r="W521" t="str">
        <f t="shared" si="106"/>
        <v>Abnormal</v>
      </c>
      <c r="X521" t="str">
        <f t="shared" si="107"/>
        <v>Maxed Out</v>
      </c>
    </row>
    <row r="522" spans="1:24" x14ac:dyDescent="0.3">
      <c r="A522" t="s">
        <v>23</v>
      </c>
      <c r="B522" t="s">
        <v>29</v>
      </c>
      <c r="C522" t="s">
        <v>24</v>
      </c>
      <c r="D522" s="3">
        <v>45961</v>
      </c>
      <c r="E522" s="6">
        <v>0.79600000000000004</v>
      </c>
      <c r="F522">
        <v>1</v>
      </c>
      <c r="G522" t="s">
        <v>17</v>
      </c>
      <c r="H522" s="6">
        <v>0.85</v>
      </c>
      <c r="I522" s="8">
        <v>4.5992115637319357E-2</v>
      </c>
      <c r="J522" s="5">
        <f t="shared" si="96"/>
        <v>4.5902054585511267E-3</v>
      </c>
      <c r="K522" s="5" cm="1">
        <f t="array" ref="K522">_xlfn.STDEV.S(IF($C:$C=C522,$I:$I))</f>
        <v>7.1528610508022367E-2</v>
      </c>
      <c r="L522" s="7">
        <f t="shared" si="99"/>
        <v>0.57881608330871681</v>
      </c>
      <c r="M522">
        <f t="shared" si="97"/>
        <v>-1</v>
      </c>
      <c r="N522" s="9">
        <f t="shared" si="100"/>
        <v>6.3529411764705807E-2</v>
      </c>
      <c r="O522">
        <f>COUNTIFS($B$2:B522,B522,$C$2:C522,C522,$D$2:D522,"&lt;"&amp;D522,$F$2:F522,1)</f>
        <v>11</v>
      </c>
      <c r="P522">
        <f t="shared" si="98"/>
        <v>1</v>
      </c>
      <c r="Q522" t="str">
        <f t="shared" si="101"/>
        <v>Monitor</v>
      </c>
      <c r="R522">
        <v>1</v>
      </c>
      <c r="S522">
        <f t="shared" si="102"/>
        <v>0</v>
      </c>
      <c r="T522">
        <f t="shared" si="103"/>
        <v>0</v>
      </c>
      <c r="U522" t="str">
        <f t="shared" si="104"/>
        <v>Improved Enough</v>
      </c>
      <c r="V522" t="str">
        <f t="shared" si="105"/>
        <v>Far</v>
      </c>
      <c r="W522" t="str">
        <f t="shared" si="106"/>
        <v>Normal</v>
      </c>
      <c r="X522" t="str">
        <f t="shared" si="107"/>
        <v>Maxed Out</v>
      </c>
    </row>
    <row r="523" spans="1:24" x14ac:dyDescent="0.3">
      <c r="A523" t="s">
        <v>23</v>
      </c>
      <c r="B523" t="s">
        <v>29</v>
      </c>
      <c r="C523" t="s">
        <v>24</v>
      </c>
      <c r="D523" s="3">
        <v>45991</v>
      </c>
      <c r="E523" s="6">
        <v>0.79500000000000004</v>
      </c>
      <c r="F523">
        <v>1</v>
      </c>
      <c r="G523" t="s">
        <v>17</v>
      </c>
      <c r="H523" s="6">
        <v>0.85</v>
      </c>
      <c r="I523" s="8">
        <v>-1.256281407035177E-3</v>
      </c>
      <c r="J523" s="5">
        <f t="shared" si="96"/>
        <v>4.5902054585511267E-3</v>
      </c>
      <c r="K523" s="5" cm="1">
        <f t="array" ref="K523">_xlfn.STDEV.S(IF($C:$C=C523,$I:$I))</f>
        <v>7.1528610508022367E-2</v>
      </c>
      <c r="L523" s="7">
        <f t="shared" si="99"/>
        <v>-8.1736340522518394E-2</v>
      </c>
      <c r="M523">
        <f t="shared" si="97"/>
        <v>0</v>
      </c>
      <c r="N523" s="9">
        <f t="shared" si="100"/>
        <v>6.4705882352941099E-2</v>
      </c>
      <c r="O523">
        <f>COUNTIFS($B$2:B523,B523,$C$2:C523,C523,$D$2:D523,"&lt;"&amp;D523,$F$2:F523,1)</f>
        <v>12</v>
      </c>
      <c r="P523">
        <f t="shared" si="98"/>
        <v>-1</v>
      </c>
      <c r="Q523" t="str">
        <f t="shared" si="101"/>
        <v>Monitor</v>
      </c>
      <c r="R523">
        <v>1</v>
      </c>
      <c r="S523">
        <f t="shared" si="102"/>
        <v>0</v>
      </c>
      <c r="T523">
        <f t="shared" si="103"/>
        <v>0</v>
      </c>
      <c r="U523" t="str">
        <f t="shared" si="104"/>
        <v>Not Improved Enough</v>
      </c>
      <c r="V523" t="str">
        <f t="shared" si="105"/>
        <v>Far</v>
      </c>
      <c r="W523" t="str">
        <f t="shared" si="106"/>
        <v>Normal</v>
      </c>
      <c r="X523" t="str">
        <f t="shared" si="107"/>
        <v>Maxed Out</v>
      </c>
    </row>
    <row r="524" spans="1:24" x14ac:dyDescent="0.3">
      <c r="A524" t="s">
        <v>23</v>
      </c>
      <c r="B524" t="s">
        <v>29</v>
      </c>
      <c r="C524" t="s">
        <v>25</v>
      </c>
      <c r="D524" s="3">
        <v>45535</v>
      </c>
      <c r="E524" s="6">
        <v>0.75229999999999997</v>
      </c>
      <c r="F524">
        <v>0</v>
      </c>
      <c r="G524" t="s">
        <v>17</v>
      </c>
      <c r="H524" s="6">
        <v>0.65</v>
      </c>
      <c r="I524" s="8">
        <v>-4.8564563045402798E-2</v>
      </c>
      <c r="J524" s="5">
        <f t="shared" si="96"/>
        <v>1.2057533289701232E-2</v>
      </c>
      <c r="K524" s="5" cm="1">
        <f t="array" ref="K524">_xlfn.STDEV.S(IF($C:$C=C524,$I:$I))</f>
        <v>0.17981498891186962</v>
      </c>
      <c r="L524" s="7">
        <f t="shared" si="99"/>
        <v>-0.33713594568479466</v>
      </c>
      <c r="M524">
        <f t="shared" si="97"/>
        <v>0</v>
      </c>
      <c r="N524" s="9">
        <f t="shared" si="100"/>
        <v>-0.15738461538461529</v>
      </c>
      <c r="O524">
        <f>COUNTIFS($B$2:B524,B524,$C$2:C524,C524,$D$2:D524,"&lt;"&amp;D524,$F$2:F524,1)</f>
        <v>0</v>
      </c>
      <c r="P524">
        <f t="shared" si="98"/>
        <v>0</v>
      </c>
      <c r="Q524" t="str">
        <f t="shared" si="101"/>
        <v>Monitor</v>
      </c>
      <c r="R524">
        <v>0</v>
      </c>
      <c r="S524">
        <f t="shared" si="102"/>
        <v>0</v>
      </c>
      <c r="T524">
        <f t="shared" si="103"/>
        <v>0</v>
      </c>
      <c r="U524" t="str">
        <f t="shared" si="104"/>
        <v>Not Improved Enough</v>
      </c>
      <c r="V524" t="str">
        <f t="shared" si="105"/>
        <v>Close</v>
      </c>
      <c r="W524" t="str">
        <f t="shared" si="106"/>
        <v>Normal</v>
      </c>
      <c r="X524" t="str">
        <f t="shared" si="107"/>
        <v>Allowed</v>
      </c>
    </row>
    <row r="525" spans="1:24" x14ac:dyDescent="0.3">
      <c r="A525" t="s">
        <v>23</v>
      </c>
      <c r="B525" t="s">
        <v>29</v>
      </c>
      <c r="C525" t="s">
        <v>25</v>
      </c>
      <c r="D525" s="3">
        <v>45565</v>
      </c>
      <c r="E525" s="6">
        <v>0.73029999999999995</v>
      </c>
      <c r="F525">
        <v>0</v>
      </c>
      <c r="G525" t="s">
        <v>17</v>
      </c>
      <c r="H525" s="6">
        <v>0.65</v>
      </c>
      <c r="I525" s="8">
        <v>-2.9243652798085901E-2</v>
      </c>
      <c r="J525" s="5">
        <f t="shared" si="96"/>
        <v>1.2057533289701232E-2</v>
      </c>
      <c r="K525" s="5" cm="1">
        <f t="array" ref="K525">_xlfn.STDEV.S(IF($C:$C=C525,$I:$I))</f>
        <v>0.17981498891186962</v>
      </c>
      <c r="L525" s="7">
        <f t="shared" si="99"/>
        <v>-0.22968711528286193</v>
      </c>
      <c r="M525">
        <f t="shared" si="97"/>
        <v>0</v>
      </c>
      <c r="N525" s="9">
        <f t="shared" si="100"/>
        <v>-0.12353846153846142</v>
      </c>
      <c r="O525">
        <f>COUNTIFS($B$2:B525,B525,$C$2:C525,C525,$D$2:D525,"&lt;"&amp;D525,$F$2:F525,1)</f>
        <v>0</v>
      </c>
      <c r="P525">
        <f t="shared" si="98"/>
        <v>0</v>
      </c>
      <c r="Q525" t="str">
        <f t="shared" si="101"/>
        <v>Monitor</v>
      </c>
      <c r="R525">
        <v>0</v>
      </c>
      <c r="S525">
        <f t="shared" si="102"/>
        <v>0</v>
      </c>
      <c r="T525">
        <f t="shared" si="103"/>
        <v>0</v>
      </c>
      <c r="U525" t="str">
        <f t="shared" si="104"/>
        <v>Not Improved Enough</v>
      </c>
      <c r="V525" t="str">
        <f t="shared" si="105"/>
        <v>Close</v>
      </c>
      <c r="W525" t="str">
        <f t="shared" si="106"/>
        <v>Normal</v>
      </c>
      <c r="X525" t="str">
        <f t="shared" si="107"/>
        <v>Allowed</v>
      </c>
    </row>
    <row r="526" spans="1:24" x14ac:dyDescent="0.3">
      <c r="A526" t="s">
        <v>23</v>
      </c>
      <c r="B526" t="s">
        <v>29</v>
      </c>
      <c r="C526" t="s">
        <v>25</v>
      </c>
      <c r="D526" s="3">
        <v>45596</v>
      </c>
      <c r="E526" s="6">
        <v>0.74</v>
      </c>
      <c r="F526">
        <v>0</v>
      </c>
      <c r="G526" t="s">
        <v>17</v>
      </c>
      <c r="H526" s="6">
        <v>0.65</v>
      </c>
      <c r="I526" s="8">
        <v>1.328221278926474E-2</v>
      </c>
      <c r="J526" s="5">
        <f t="shared" si="96"/>
        <v>1.2057533289701232E-2</v>
      </c>
      <c r="K526" s="5" cm="1">
        <f t="array" ref="K526">_xlfn.STDEV.S(IF($C:$C=C526,$I:$I))</f>
        <v>0.17981498891186962</v>
      </c>
      <c r="L526" s="7">
        <f t="shared" si="99"/>
        <v>6.8107753807094707E-3</v>
      </c>
      <c r="M526">
        <f t="shared" si="97"/>
        <v>0</v>
      </c>
      <c r="N526" s="9">
        <f t="shared" si="100"/>
        <v>-0.13846153846153841</v>
      </c>
      <c r="O526">
        <f>COUNTIFS($B$2:B526,B526,$C$2:C526,C526,$D$2:D526,"&lt;"&amp;D526,$F$2:F526,1)</f>
        <v>0</v>
      </c>
      <c r="P526">
        <f t="shared" si="98"/>
        <v>0</v>
      </c>
      <c r="Q526" t="str">
        <f t="shared" si="101"/>
        <v>Monitor</v>
      </c>
      <c r="R526">
        <v>0</v>
      </c>
      <c r="S526">
        <f t="shared" si="102"/>
        <v>0</v>
      </c>
      <c r="T526">
        <f t="shared" si="103"/>
        <v>0</v>
      </c>
      <c r="U526" t="str">
        <f t="shared" si="104"/>
        <v>Improved Enough</v>
      </c>
      <c r="V526" t="str">
        <f t="shared" si="105"/>
        <v>Close</v>
      </c>
      <c r="W526" t="str">
        <f t="shared" si="106"/>
        <v>Normal</v>
      </c>
      <c r="X526" t="str">
        <f t="shared" si="107"/>
        <v>Allowed</v>
      </c>
    </row>
    <row r="527" spans="1:24" x14ac:dyDescent="0.3">
      <c r="A527" t="s">
        <v>23</v>
      </c>
      <c r="B527" t="s">
        <v>29</v>
      </c>
      <c r="C527" t="s">
        <v>25</v>
      </c>
      <c r="D527" s="3">
        <v>45626</v>
      </c>
      <c r="E527" s="6">
        <v>0.8085</v>
      </c>
      <c r="F527">
        <v>0</v>
      </c>
      <c r="G527" t="s">
        <v>17</v>
      </c>
      <c r="H527" s="6">
        <v>0.65</v>
      </c>
      <c r="I527" s="8">
        <v>9.256756756756758E-2</v>
      </c>
      <c r="J527" s="5">
        <f t="shared" si="96"/>
        <v>1.2057533289701232E-2</v>
      </c>
      <c r="K527" s="5" cm="1">
        <f t="array" ref="K527">_xlfn.STDEV.S(IF($C:$C=C527,$I:$I))</f>
        <v>0.17981498891186962</v>
      </c>
      <c r="L527" s="7">
        <f t="shared" si="99"/>
        <v>0.44773817113391856</v>
      </c>
      <c r="M527">
        <f t="shared" si="97"/>
        <v>0</v>
      </c>
      <c r="N527" s="9">
        <f t="shared" si="100"/>
        <v>-0.2438461538461538</v>
      </c>
      <c r="O527">
        <f>COUNTIFS($B$2:B527,B527,$C$2:C527,C527,$D$2:D527,"&lt;"&amp;D527,$F$2:F527,1)</f>
        <v>0</v>
      </c>
      <c r="P527">
        <f t="shared" si="98"/>
        <v>0</v>
      </c>
      <c r="Q527" t="str">
        <f t="shared" si="101"/>
        <v>Monitor</v>
      </c>
      <c r="R527">
        <v>0</v>
      </c>
      <c r="S527">
        <f t="shared" si="102"/>
        <v>0</v>
      </c>
      <c r="T527">
        <f t="shared" si="103"/>
        <v>0</v>
      </c>
      <c r="U527" t="str">
        <f t="shared" si="104"/>
        <v>Improved Enough</v>
      </c>
      <c r="V527" t="str">
        <f t="shared" si="105"/>
        <v>Close</v>
      </c>
      <c r="W527" t="str">
        <f t="shared" si="106"/>
        <v>Normal</v>
      </c>
      <c r="X527" t="str">
        <f t="shared" si="107"/>
        <v>Allowed</v>
      </c>
    </row>
    <row r="528" spans="1:24" x14ac:dyDescent="0.3">
      <c r="A528" t="s">
        <v>23</v>
      </c>
      <c r="B528" t="s">
        <v>29</v>
      </c>
      <c r="C528" t="s">
        <v>25</v>
      </c>
      <c r="D528" s="3">
        <v>45657</v>
      </c>
      <c r="E528" s="6">
        <v>0.78790000000000004</v>
      </c>
      <c r="F528">
        <v>0</v>
      </c>
      <c r="G528" t="s">
        <v>17</v>
      </c>
      <c r="H528" s="6">
        <v>0.65</v>
      </c>
      <c r="I528" s="8">
        <v>-2.547928262213971E-2</v>
      </c>
      <c r="J528" s="5">
        <f t="shared" si="96"/>
        <v>1.2057533289701232E-2</v>
      </c>
      <c r="K528" s="5" cm="1">
        <f t="array" ref="K528">_xlfn.STDEV.S(IF($C:$C=C528,$I:$I))</f>
        <v>0.17981498891186962</v>
      </c>
      <c r="L528" s="7">
        <f t="shared" si="99"/>
        <v>-0.20875243014495515</v>
      </c>
      <c r="M528">
        <f t="shared" si="97"/>
        <v>0</v>
      </c>
      <c r="N528" s="9">
        <f t="shared" si="100"/>
        <v>-0.21215384615384619</v>
      </c>
      <c r="O528">
        <f>COUNTIFS($B$2:B528,B528,$C$2:C528,C528,$D$2:D528,"&lt;"&amp;D528,$F$2:F528,1)</f>
        <v>0</v>
      </c>
      <c r="P528">
        <f t="shared" si="98"/>
        <v>0</v>
      </c>
      <c r="Q528" t="str">
        <f t="shared" si="101"/>
        <v>Monitor</v>
      </c>
      <c r="R528">
        <v>0</v>
      </c>
      <c r="S528">
        <f t="shared" si="102"/>
        <v>0</v>
      </c>
      <c r="T528">
        <f t="shared" si="103"/>
        <v>0</v>
      </c>
      <c r="U528" t="str">
        <f t="shared" si="104"/>
        <v>Not Improved Enough</v>
      </c>
      <c r="V528" t="str">
        <f t="shared" si="105"/>
        <v>Close</v>
      </c>
      <c r="W528" t="str">
        <f t="shared" si="106"/>
        <v>Normal</v>
      </c>
      <c r="X528" t="str">
        <f t="shared" si="107"/>
        <v>Allowed</v>
      </c>
    </row>
    <row r="529" spans="1:24" x14ac:dyDescent="0.3">
      <c r="A529" t="s">
        <v>23</v>
      </c>
      <c r="B529" t="s">
        <v>29</v>
      </c>
      <c r="C529" t="s">
        <v>25</v>
      </c>
      <c r="D529" s="3">
        <v>45688</v>
      </c>
      <c r="E529" s="6">
        <v>0.79820000000000002</v>
      </c>
      <c r="F529">
        <v>0</v>
      </c>
      <c r="G529" t="s">
        <v>17</v>
      </c>
      <c r="H529" s="6">
        <v>0.65</v>
      </c>
      <c r="I529" s="8">
        <v>1.307272496509706E-2</v>
      </c>
      <c r="J529" s="5">
        <f t="shared" si="96"/>
        <v>1.2057533289701232E-2</v>
      </c>
      <c r="K529" s="5" cm="1">
        <f t="array" ref="K529">_xlfn.STDEV.S(IF($C:$C=C529,$I:$I))</f>
        <v>0.17981498891186962</v>
      </c>
      <c r="L529" s="7">
        <f t="shared" si="99"/>
        <v>5.6457566832395206E-3</v>
      </c>
      <c r="M529">
        <f t="shared" si="97"/>
        <v>0</v>
      </c>
      <c r="N529" s="9">
        <f t="shared" si="100"/>
        <v>-0.22799999999999998</v>
      </c>
      <c r="O529">
        <f>COUNTIFS($B$2:B529,B529,$C$2:C529,C529,$D$2:D529,"&lt;"&amp;D529,$F$2:F529,1)</f>
        <v>0</v>
      </c>
      <c r="P529">
        <f t="shared" si="98"/>
        <v>0</v>
      </c>
      <c r="Q529" t="str">
        <f t="shared" si="101"/>
        <v>Monitor</v>
      </c>
      <c r="R529">
        <v>0</v>
      </c>
      <c r="S529">
        <f t="shared" si="102"/>
        <v>0</v>
      </c>
      <c r="T529">
        <f t="shared" si="103"/>
        <v>0</v>
      </c>
      <c r="U529" t="str">
        <f t="shared" si="104"/>
        <v>Improved Enough</v>
      </c>
      <c r="V529" t="str">
        <f t="shared" si="105"/>
        <v>Close</v>
      </c>
      <c r="W529" t="str">
        <f t="shared" si="106"/>
        <v>Normal</v>
      </c>
      <c r="X529" t="str">
        <f t="shared" si="107"/>
        <v>Allowed</v>
      </c>
    </row>
    <row r="530" spans="1:24" x14ac:dyDescent="0.3">
      <c r="A530" t="s">
        <v>23</v>
      </c>
      <c r="B530" t="s">
        <v>29</v>
      </c>
      <c r="C530" t="s">
        <v>25</v>
      </c>
      <c r="D530" s="3">
        <v>45716</v>
      </c>
      <c r="E530" s="6">
        <v>0.75529999999999997</v>
      </c>
      <c r="F530">
        <v>0</v>
      </c>
      <c r="G530" t="s">
        <v>17</v>
      </c>
      <c r="H530" s="6">
        <v>0.65</v>
      </c>
      <c r="I530" s="8">
        <v>-5.3745928338762267E-2</v>
      </c>
      <c r="J530" s="5">
        <f t="shared" si="96"/>
        <v>1.2057533289701232E-2</v>
      </c>
      <c r="K530" s="5" cm="1">
        <f t="array" ref="K530">_xlfn.STDEV.S(IF($C:$C=C530,$I:$I))</f>
        <v>0.17981498891186962</v>
      </c>
      <c r="L530" s="7">
        <f t="shared" si="99"/>
        <v>-0.36595092559672482</v>
      </c>
      <c r="M530">
        <f t="shared" si="97"/>
        <v>0</v>
      </c>
      <c r="N530" s="9">
        <f t="shared" si="100"/>
        <v>-0.16199999999999992</v>
      </c>
      <c r="O530">
        <f>COUNTIFS($B$2:B530,B530,$C$2:C530,C530,$D$2:D530,"&lt;"&amp;D530,$F$2:F530,1)</f>
        <v>0</v>
      </c>
      <c r="P530">
        <f t="shared" si="98"/>
        <v>0</v>
      </c>
      <c r="Q530" t="str">
        <f t="shared" si="101"/>
        <v>Monitor</v>
      </c>
      <c r="R530">
        <v>0</v>
      </c>
      <c r="S530">
        <f t="shared" si="102"/>
        <v>0</v>
      </c>
      <c r="T530">
        <f t="shared" si="103"/>
        <v>0</v>
      </c>
      <c r="U530" t="str">
        <f t="shared" si="104"/>
        <v>Not Improved Enough</v>
      </c>
      <c r="V530" t="str">
        <f t="shared" si="105"/>
        <v>Close</v>
      </c>
      <c r="W530" t="str">
        <f t="shared" si="106"/>
        <v>Normal</v>
      </c>
      <c r="X530" t="str">
        <f t="shared" si="107"/>
        <v>Allowed</v>
      </c>
    </row>
    <row r="531" spans="1:24" x14ac:dyDescent="0.3">
      <c r="A531" t="s">
        <v>23</v>
      </c>
      <c r="B531" t="s">
        <v>29</v>
      </c>
      <c r="C531" t="s">
        <v>25</v>
      </c>
      <c r="D531" s="3">
        <v>45747</v>
      </c>
      <c r="E531" s="6">
        <v>0.6522</v>
      </c>
      <c r="F531">
        <v>0</v>
      </c>
      <c r="G531" t="s">
        <v>17</v>
      </c>
      <c r="H531" s="6">
        <v>0.65</v>
      </c>
      <c r="I531" s="8">
        <v>-0.13650205216470271</v>
      </c>
      <c r="J531" s="5">
        <f t="shared" si="96"/>
        <v>1.2057533289701232E-2</v>
      </c>
      <c r="K531" s="5" cm="1">
        <f t="array" ref="K531">_xlfn.STDEV.S(IF($C:$C=C531,$I:$I))</f>
        <v>0.17981498891186962</v>
      </c>
      <c r="L531" s="7">
        <f t="shared" si="99"/>
        <v>-0.8261802108567019</v>
      </c>
      <c r="M531">
        <f t="shared" si="97"/>
        <v>1</v>
      </c>
      <c r="N531" s="9">
        <f t="shared" si="100"/>
        <v>-3.3846153846153536E-3</v>
      </c>
      <c r="O531">
        <f>COUNTIFS($B$2:B531,B531,$C$2:C531,C531,$D$2:D531,"&lt;"&amp;D531,$F$2:F531,1)</f>
        <v>0</v>
      </c>
      <c r="P531">
        <f t="shared" si="98"/>
        <v>0</v>
      </c>
      <c r="Q531" t="str">
        <f t="shared" si="101"/>
        <v>Monitor</v>
      </c>
      <c r="R531">
        <v>0</v>
      </c>
      <c r="S531">
        <f t="shared" si="102"/>
        <v>0</v>
      </c>
      <c r="T531">
        <f t="shared" si="103"/>
        <v>0</v>
      </c>
      <c r="U531" t="str">
        <f t="shared" si="104"/>
        <v>Not Improved Enough</v>
      </c>
      <c r="V531" t="str">
        <f t="shared" si="105"/>
        <v>Close</v>
      </c>
      <c r="W531" t="str">
        <f t="shared" si="106"/>
        <v>Abnormal</v>
      </c>
      <c r="X531" t="str">
        <f t="shared" si="107"/>
        <v>Allowed</v>
      </c>
    </row>
    <row r="532" spans="1:24" x14ac:dyDescent="0.3">
      <c r="A532" t="s">
        <v>23</v>
      </c>
      <c r="B532" t="s">
        <v>29</v>
      </c>
      <c r="C532" t="s">
        <v>25</v>
      </c>
      <c r="D532" s="3">
        <v>45777</v>
      </c>
      <c r="E532" s="6">
        <v>0.75</v>
      </c>
      <c r="F532">
        <v>0</v>
      </c>
      <c r="G532" t="s">
        <v>17</v>
      </c>
      <c r="H532" s="6">
        <v>0.65</v>
      </c>
      <c r="I532" s="8">
        <v>0.14995400183992641</v>
      </c>
      <c r="J532" s="5">
        <f t="shared" si="96"/>
        <v>1.2057533289701232E-2</v>
      </c>
      <c r="K532" s="5" cm="1">
        <f t="array" ref="K532">_xlfn.STDEV.S(IF($C:$C=C532,$I:$I))</f>
        <v>0.17981498891186962</v>
      </c>
      <c r="L532" s="7">
        <f t="shared" si="99"/>
        <v>0.76687972112163894</v>
      </c>
      <c r="M532">
        <f t="shared" si="97"/>
        <v>-1</v>
      </c>
      <c r="N532" s="9">
        <f t="shared" si="100"/>
        <v>-0.1538461538461538</v>
      </c>
      <c r="O532">
        <f>COUNTIFS($B$2:B532,B532,$C$2:C532,C532,$D$2:D532,"&lt;"&amp;D532,$F$2:F532,1)</f>
        <v>0</v>
      </c>
      <c r="P532">
        <f t="shared" si="98"/>
        <v>0</v>
      </c>
      <c r="Q532" t="str">
        <f t="shared" si="101"/>
        <v>Monitor</v>
      </c>
      <c r="R532">
        <v>0</v>
      </c>
      <c r="S532">
        <f t="shared" si="102"/>
        <v>0</v>
      </c>
      <c r="T532">
        <f t="shared" si="103"/>
        <v>0</v>
      </c>
      <c r="U532" t="str">
        <f t="shared" si="104"/>
        <v>Improved Enough</v>
      </c>
      <c r="V532" t="str">
        <f t="shared" si="105"/>
        <v>Close</v>
      </c>
      <c r="W532" t="str">
        <f t="shared" si="106"/>
        <v>Normal</v>
      </c>
      <c r="X532" t="str">
        <f t="shared" si="107"/>
        <v>Allowed</v>
      </c>
    </row>
    <row r="533" spans="1:24" x14ac:dyDescent="0.3">
      <c r="A533" t="s">
        <v>23</v>
      </c>
      <c r="B533" t="s">
        <v>29</v>
      </c>
      <c r="C533" t="s">
        <v>25</v>
      </c>
      <c r="D533" s="3">
        <v>45808</v>
      </c>
      <c r="E533" s="6">
        <v>0.72409999999999997</v>
      </c>
      <c r="F533">
        <v>0</v>
      </c>
      <c r="G533" t="s">
        <v>17</v>
      </c>
      <c r="H533" s="6">
        <v>0.65</v>
      </c>
      <c r="I533" s="8">
        <v>-3.4533333333333381E-2</v>
      </c>
      <c r="J533" s="5">
        <f t="shared" si="96"/>
        <v>1.2057533289701232E-2</v>
      </c>
      <c r="K533" s="5" cm="1">
        <f t="array" ref="K533">_xlfn.STDEV.S(IF($C:$C=C533,$I:$I))</f>
        <v>0.17981498891186962</v>
      </c>
      <c r="L533" s="7">
        <f t="shared" si="99"/>
        <v>-0.2591044656787182</v>
      </c>
      <c r="M533">
        <f t="shared" si="97"/>
        <v>0</v>
      </c>
      <c r="N533" s="9">
        <f t="shared" si="100"/>
        <v>-0.11399999999999991</v>
      </c>
      <c r="O533">
        <f>COUNTIFS($B$2:B533,B533,$C$2:C533,C533,$D$2:D533,"&lt;"&amp;D533,$F$2:F533,1)</f>
        <v>0</v>
      </c>
      <c r="P533">
        <f t="shared" si="98"/>
        <v>0</v>
      </c>
      <c r="Q533" t="str">
        <f t="shared" si="101"/>
        <v>Monitor</v>
      </c>
      <c r="R533">
        <v>0</v>
      </c>
      <c r="S533">
        <f t="shared" si="102"/>
        <v>0</v>
      </c>
      <c r="T533">
        <f t="shared" si="103"/>
        <v>0</v>
      </c>
      <c r="U533" t="str">
        <f t="shared" si="104"/>
        <v>Not Improved Enough</v>
      </c>
      <c r="V533" t="str">
        <f t="shared" si="105"/>
        <v>Close</v>
      </c>
      <c r="W533" t="str">
        <f t="shared" si="106"/>
        <v>Normal</v>
      </c>
      <c r="X533" t="str">
        <f t="shared" si="107"/>
        <v>Allowed</v>
      </c>
    </row>
    <row r="534" spans="1:24" x14ac:dyDescent="0.3">
      <c r="A534" t="s">
        <v>23</v>
      </c>
      <c r="B534" t="s">
        <v>29</v>
      </c>
      <c r="C534" t="s">
        <v>25</v>
      </c>
      <c r="D534" s="3">
        <v>45838</v>
      </c>
      <c r="E534" s="6">
        <v>0.81820000000000004</v>
      </c>
      <c r="F534">
        <v>0</v>
      </c>
      <c r="G534" t="s">
        <v>17</v>
      </c>
      <c r="H534" s="6">
        <v>0.65</v>
      </c>
      <c r="I534" s="8">
        <v>0.12995442618422881</v>
      </c>
      <c r="J534" s="5">
        <f t="shared" si="96"/>
        <v>1.2057533289701232E-2</v>
      </c>
      <c r="K534" s="5" cm="1">
        <f t="array" ref="K534">_xlfn.STDEV.S(IF($C:$C=C534,$I:$I))</f>
        <v>0.17981498891186962</v>
      </c>
      <c r="L534" s="7">
        <f t="shared" si="99"/>
        <v>0.65565664802454737</v>
      </c>
      <c r="M534">
        <f t="shared" si="97"/>
        <v>-1</v>
      </c>
      <c r="N534" s="9">
        <f t="shared" si="100"/>
        <v>-0.25876923076923081</v>
      </c>
      <c r="O534">
        <f>COUNTIFS($B$2:B534,B534,$C$2:C534,C534,$D$2:D534,"&lt;"&amp;D534,$F$2:F534,1)</f>
        <v>0</v>
      </c>
      <c r="P534">
        <f t="shared" si="98"/>
        <v>0</v>
      </c>
      <c r="Q534" t="str">
        <f t="shared" si="101"/>
        <v>Monitor</v>
      </c>
      <c r="R534">
        <v>0</v>
      </c>
      <c r="S534">
        <f t="shared" si="102"/>
        <v>0</v>
      </c>
      <c r="T534">
        <f t="shared" si="103"/>
        <v>0</v>
      </c>
      <c r="U534" t="str">
        <f t="shared" si="104"/>
        <v>Improved Enough</v>
      </c>
      <c r="V534" t="str">
        <f t="shared" si="105"/>
        <v>Close</v>
      </c>
      <c r="W534" t="str">
        <f t="shared" si="106"/>
        <v>Normal</v>
      </c>
      <c r="X534" t="str">
        <f t="shared" si="107"/>
        <v>Allowed</v>
      </c>
    </row>
    <row r="535" spans="1:24" x14ac:dyDescent="0.3">
      <c r="A535" t="s">
        <v>23</v>
      </c>
      <c r="B535" t="s">
        <v>29</v>
      </c>
      <c r="C535" t="s">
        <v>25</v>
      </c>
      <c r="D535" s="3">
        <v>45869</v>
      </c>
      <c r="E535" s="6">
        <v>0.76300000000000001</v>
      </c>
      <c r="F535">
        <v>0</v>
      </c>
      <c r="G535" t="s">
        <v>17</v>
      </c>
      <c r="H535" s="6">
        <v>0.65</v>
      </c>
      <c r="I535" s="8">
        <v>-6.7465167440723575E-2</v>
      </c>
      <c r="J535" s="5">
        <f t="shared" si="96"/>
        <v>1.2057533289701232E-2</v>
      </c>
      <c r="K535" s="5" cm="1">
        <f t="array" ref="K535">_xlfn.STDEV.S(IF($C:$C=C535,$I:$I))</f>
        <v>0.17981498891186962</v>
      </c>
      <c r="L535" s="7">
        <f t="shared" si="99"/>
        <v>-0.44224734106788077</v>
      </c>
      <c r="M535">
        <f t="shared" si="97"/>
        <v>0</v>
      </c>
      <c r="N535" s="9">
        <f t="shared" si="100"/>
        <v>-0.17384615384615382</v>
      </c>
      <c r="O535">
        <f>COUNTIFS($B$2:B535,B535,$C$2:C535,C535,$D$2:D535,"&lt;"&amp;D535,$F$2:F535,1)</f>
        <v>0</v>
      </c>
      <c r="P535">
        <f t="shared" si="98"/>
        <v>0</v>
      </c>
      <c r="Q535" t="str">
        <f t="shared" si="101"/>
        <v>Monitor</v>
      </c>
      <c r="R535">
        <v>0</v>
      </c>
      <c r="S535">
        <f t="shared" si="102"/>
        <v>0</v>
      </c>
      <c r="T535">
        <f t="shared" si="103"/>
        <v>0</v>
      </c>
      <c r="U535" t="str">
        <f t="shared" si="104"/>
        <v>Not Improved Enough</v>
      </c>
      <c r="V535" t="str">
        <f t="shared" si="105"/>
        <v>Close</v>
      </c>
      <c r="W535" t="str">
        <f t="shared" si="106"/>
        <v>Normal</v>
      </c>
      <c r="X535" t="str">
        <f t="shared" si="107"/>
        <v>Allowed</v>
      </c>
    </row>
    <row r="536" spans="1:24" x14ac:dyDescent="0.3">
      <c r="A536" t="s">
        <v>23</v>
      </c>
      <c r="B536" t="s">
        <v>29</v>
      </c>
      <c r="C536" t="s">
        <v>25</v>
      </c>
      <c r="D536" s="3">
        <v>45900</v>
      </c>
      <c r="E536" s="6">
        <v>0.76500000000000001</v>
      </c>
      <c r="F536">
        <v>0</v>
      </c>
      <c r="G536" t="s">
        <v>17</v>
      </c>
      <c r="H536" s="6">
        <v>0.65</v>
      </c>
      <c r="I536" s="8">
        <v>2.6212319790301459E-3</v>
      </c>
      <c r="J536" s="5">
        <f t="shared" si="96"/>
        <v>1.2057533289701232E-2</v>
      </c>
      <c r="K536" s="5" cm="1">
        <f t="array" ref="K536">_xlfn.STDEV.S(IF($C:$C=C536,$I:$I))</f>
        <v>0.17981498891186962</v>
      </c>
      <c r="L536" s="7">
        <f t="shared" si="99"/>
        <v>-5.2477834955660892E-2</v>
      </c>
      <c r="M536">
        <f t="shared" si="97"/>
        <v>0</v>
      </c>
      <c r="N536" s="9">
        <f t="shared" si="100"/>
        <v>-0.17692307692307691</v>
      </c>
      <c r="O536">
        <f>COUNTIFS($B$2:B536,B536,$C$2:C536,C536,$D$2:D536,"&lt;"&amp;D536,$F$2:F536,1)</f>
        <v>0</v>
      </c>
      <c r="P536">
        <f t="shared" si="98"/>
        <v>0</v>
      </c>
      <c r="Q536" t="str">
        <f t="shared" si="101"/>
        <v>Monitor</v>
      </c>
      <c r="R536">
        <v>0</v>
      </c>
      <c r="S536">
        <f t="shared" si="102"/>
        <v>0</v>
      </c>
      <c r="T536">
        <f t="shared" si="103"/>
        <v>0</v>
      </c>
      <c r="U536" t="str">
        <f t="shared" si="104"/>
        <v>Not Improved Enough</v>
      </c>
      <c r="V536" t="str">
        <f t="shared" si="105"/>
        <v>Close</v>
      </c>
      <c r="W536" t="str">
        <f t="shared" si="106"/>
        <v>Normal</v>
      </c>
      <c r="X536" t="str">
        <f t="shared" si="107"/>
        <v>Allowed</v>
      </c>
    </row>
    <row r="537" spans="1:24" x14ac:dyDescent="0.3">
      <c r="A537" t="s">
        <v>23</v>
      </c>
      <c r="B537" t="s">
        <v>29</v>
      </c>
      <c r="C537" t="s">
        <v>25</v>
      </c>
      <c r="D537" s="3">
        <v>45930</v>
      </c>
      <c r="E537" s="6">
        <v>0.74299999999999999</v>
      </c>
      <c r="F537">
        <v>0</v>
      </c>
      <c r="G537" t="s">
        <v>17</v>
      </c>
      <c r="H537" s="6">
        <v>0.65</v>
      </c>
      <c r="I537" s="8">
        <v>-2.8758169934640549E-2</v>
      </c>
      <c r="J537" s="5">
        <f t="shared" si="96"/>
        <v>1.2057533289701232E-2</v>
      </c>
      <c r="K537" s="5" cm="1">
        <f t="array" ref="K537">_xlfn.STDEV.S(IF($C:$C=C537,$I:$I))</f>
        <v>0.17981498891186962</v>
      </c>
      <c r="L537" s="7">
        <f t="shared" si="99"/>
        <v>-0.22698721319804019</v>
      </c>
      <c r="M537">
        <f t="shared" si="97"/>
        <v>0</v>
      </c>
      <c r="N537" s="9">
        <f t="shared" si="100"/>
        <v>-0.14307692307692302</v>
      </c>
      <c r="O537">
        <f>COUNTIFS($B$2:B537,B537,$C$2:C537,C537,$D$2:D537,"&lt;"&amp;D537,$F$2:F537,1)</f>
        <v>0</v>
      </c>
      <c r="P537">
        <f t="shared" si="98"/>
        <v>0</v>
      </c>
      <c r="Q537" t="str">
        <f t="shared" si="101"/>
        <v>Monitor</v>
      </c>
      <c r="R537">
        <v>0</v>
      </c>
      <c r="S537">
        <f t="shared" si="102"/>
        <v>0</v>
      </c>
      <c r="T537">
        <f t="shared" si="103"/>
        <v>0</v>
      </c>
      <c r="U537" t="str">
        <f t="shared" si="104"/>
        <v>Not Improved Enough</v>
      </c>
      <c r="V537" t="str">
        <f t="shared" si="105"/>
        <v>Close</v>
      </c>
      <c r="W537" t="str">
        <f t="shared" si="106"/>
        <v>Normal</v>
      </c>
      <c r="X537" t="str">
        <f t="shared" si="107"/>
        <v>Allowed</v>
      </c>
    </row>
    <row r="538" spans="1:24" x14ac:dyDescent="0.3">
      <c r="A538" t="s">
        <v>23</v>
      </c>
      <c r="B538" t="s">
        <v>29</v>
      </c>
      <c r="C538" t="s">
        <v>25</v>
      </c>
      <c r="D538" s="3">
        <v>45961</v>
      </c>
      <c r="E538" s="6">
        <v>0.81</v>
      </c>
      <c r="F538">
        <v>0</v>
      </c>
      <c r="G538" t="s">
        <v>17</v>
      </c>
      <c r="H538" s="6">
        <v>0.65</v>
      </c>
      <c r="I538" s="8">
        <v>9.0174966352624578E-2</v>
      </c>
      <c r="J538" s="5">
        <f t="shared" si="96"/>
        <v>1.2057533289701232E-2</v>
      </c>
      <c r="K538" s="5" cm="1">
        <f t="array" ref="K538">_xlfn.STDEV.S(IF($C:$C=C538,$I:$I))</f>
        <v>0.17981498891186962</v>
      </c>
      <c r="L538" s="7">
        <f t="shared" si="99"/>
        <v>0.43443226582857353</v>
      </c>
      <c r="M538">
        <f t="shared" si="97"/>
        <v>0</v>
      </c>
      <c r="N538" s="9">
        <f t="shared" si="100"/>
        <v>-0.2461538461538462</v>
      </c>
      <c r="O538">
        <f>COUNTIFS($B$2:B538,B538,$C$2:C538,C538,$D$2:D538,"&lt;"&amp;D538,$F$2:F538,1)</f>
        <v>0</v>
      </c>
      <c r="P538">
        <f t="shared" si="98"/>
        <v>0</v>
      </c>
      <c r="Q538" t="str">
        <f t="shared" si="101"/>
        <v>Monitor</v>
      </c>
      <c r="R538">
        <v>0</v>
      </c>
      <c r="S538">
        <f t="shared" si="102"/>
        <v>0</v>
      </c>
      <c r="T538">
        <f t="shared" si="103"/>
        <v>0</v>
      </c>
      <c r="U538" t="str">
        <f t="shared" si="104"/>
        <v>Improved Enough</v>
      </c>
      <c r="V538" t="str">
        <f t="shared" si="105"/>
        <v>Close</v>
      </c>
      <c r="W538" t="str">
        <f t="shared" si="106"/>
        <v>Normal</v>
      </c>
      <c r="X538" t="str">
        <f t="shared" si="107"/>
        <v>Allowed</v>
      </c>
    </row>
    <row r="539" spans="1:24" x14ac:dyDescent="0.3">
      <c r="A539" t="s">
        <v>23</v>
      </c>
      <c r="B539" t="s">
        <v>29</v>
      </c>
      <c r="C539" t="s">
        <v>25</v>
      </c>
      <c r="D539" s="3">
        <v>45991</v>
      </c>
      <c r="E539" s="6">
        <v>0.79</v>
      </c>
      <c r="F539">
        <v>0</v>
      </c>
      <c r="G539" t="s">
        <v>17</v>
      </c>
      <c r="H539" s="6">
        <v>0.65</v>
      </c>
      <c r="I539" s="8">
        <v>-2.4691358024691381E-2</v>
      </c>
      <c r="J539" s="5">
        <f t="shared" si="96"/>
        <v>1.2057533289701232E-2</v>
      </c>
      <c r="K539" s="5" cm="1">
        <f t="array" ref="K539">_xlfn.STDEV.S(IF($C:$C=C539,$I:$I))</f>
        <v>0.17981498891186962</v>
      </c>
      <c r="L539" s="7">
        <f t="shared" si="99"/>
        <v>-0.20437056741918144</v>
      </c>
      <c r="M539">
        <f t="shared" si="97"/>
        <v>0</v>
      </c>
      <c r="N539" s="9">
        <f t="shared" si="100"/>
        <v>-0.2153846153846154</v>
      </c>
      <c r="O539">
        <f>COUNTIFS($B$2:B539,B539,$C$2:C539,C539,$D$2:D539,"&lt;"&amp;D539,$F$2:F539,1)</f>
        <v>0</v>
      </c>
      <c r="P539">
        <f t="shared" si="98"/>
        <v>0</v>
      </c>
      <c r="Q539" t="str">
        <f t="shared" si="101"/>
        <v>Monitor</v>
      </c>
      <c r="R539">
        <v>0</v>
      </c>
      <c r="S539">
        <f t="shared" si="102"/>
        <v>0</v>
      </c>
      <c r="T539">
        <f t="shared" si="103"/>
        <v>0</v>
      </c>
      <c r="U539" t="str">
        <f t="shared" si="104"/>
        <v>Not Improved Enough</v>
      </c>
      <c r="V539" t="str">
        <f t="shared" si="105"/>
        <v>Close</v>
      </c>
      <c r="W539" t="str">
        <f t="shared" si="106"/>
        <v>Normal</v>
      </c>
      <c r="X539" t="str">
        <f t="shared" si="107"/>
        <v>Allowed</v>
      </c>
    </row>
    <row r="540" spans="1:24" x14ac:dyDescent="0.3">
      <c r="A540" t="s">
        <v>23</v>
      </c>
      <c r="B540" t="s">
        <v>29</v>
      </c>
      <c r="C540" t="s">
        <v>26</v>
      </c>
      <c r="D540" s="3">
        <v>45535</v>
      </c>
      <c r="E540" s="6">
        <v>0.875</v>
      </c>
      <c r="F540">
        <v>0</v>
      </c>
      <c r="G540" t="s">
        <v>17</v>
      </c>
      <c r="H540" s="6">
        <v>0.85</v>
      </c>
      <c r="I540" s="8">
        <v>4.2162934730824192E-2</v>
      </c>
      <c r="J540" s="5">
        <f t="shared" si="96"/>
        <v>1.8209321594669165E-2</v>
      </c>
      <c r="K540" s="5" cm="1">
        <f t="array" ref="K540">_xlfn.STDEV.S(IF($C:$C=C540,$I:$I))</f>
        <v>0.22834931756330515</v>
      </c>
      <c r="L540" s="7">
        <f t="shared" si="99"/>
        <v>0.10489899156153326</v>
      </c>
      <c r="M540">
        <f t="shared" si="97"/>
        <v>0</v>
      </c>
      <c r="N540" s="9">
        <f t="shared" si="100"/>
        <v>-2.941176470588238E-2</v>
      </c>
      <c r="O540">
        <f>COUNTIFS($B$2:B540,B540,$C$2:C540,C540,$D$2:D540,"&lt;"&amp;D540,$F$2:F540,1)</f>
        <v>0</v>
      </c>
      <c r="P540">
        <f t="shared" si="98"/>
        <v>0</v>
      </c>
      <c r="Q540" t="str">
        <f t="shared" si="101"/>
        <v>Monitor</v>
      </c>
      <c r="R540">
        <v>0</v>
      </c>
      <c r="S540">
        <f t="shared" si="102"/>
        <v>0</v>
      </c>
      <c r="T540">
        <f t="shared" si="103"/>
        <v>0</v>
      </c>
      <c r="U540" t="str">
        <f t="shared" si="104"/>
        <v>Improved Enough</v>
      </c>
      <c r="V540" t="str">
        <f t="shared" si="105"/>
        <v>Close</v>
      </c>
      <c r="W540" t="str">
        <f t="shared" si="106"/>
        <v>Normal</v>
      </c>
      <c r="X540" t="str">
        <f t="shared" si="107"/>
        <v>Allowed</v>
      </c>
    </row>
    <row r="541" spans="1:24" x14ac:dyDescent="0.3">
      <c r="A541" t="s">
        <v>23</v>
      </c>
      <c r="B541" t="s">
        <v>29</v>
      </c>
      <c r="C541" t="s">
        <v>26</v>
      </c>
      <c r="D541" s="3">
        <v>45565</v>
      </c>
      <c r="E541" s="6">
        <v>0.82350000000000001</v>
      </c>
      <c r="F541">
        <v>0</v>
      </c>
      <c r="G541" t="s">
        <v>17</v>
      </c>
      <c r="H541" s="6">
        <v>0.85</v>
      </c>
      <c r="I541" s="8">
        <v>-5.8857142857142837E-2</v>
      </c>
      <c r="J541" s="5">
        <f t="shared" si="96"/>
        <v>1.8209321594669165E-2</v>
      </c>
      <c r="K541" s="5" cm="1">
        <f t="array" ref="K541">_xlfn.STDEV.S(IF($C:$C=C541,$I:$I))</f>
        <v>0.22834931756330515</v>
      </c>
      <c r="L541" s="7">
        <f t="shared" si="99"/>
        <v>-0.33749373667581428</v>
      </c>
      <c r="M541">
        <f t="shared" si="97"/>
        <v>0</v>
      </c>
      <c r="N541" s="9">
        <f t="shared" si="100"/>
        <v>3.1176470588235257E-2</v>
      </c>
      <c r="O541">
        <f>COUNTIFS($B$2:B541,B541,$C$2:C541,C541,$D$2:D541,"&lt;"&amp;D541,$F$2:F541,1)</f>
        <v>0</v>
      </c>
      <c r="P541">
        <f t="shared" si="98"/>
        <v>0</v>
      </c>
      <c r="Q541" t="str">
        <f t="shared" si="101"/>
        <v>Monitor</v>
      </c>
      <c r="R541">
        <v>0</v>
      </c>
      <c r="S541">
        <f t="shared" si="102"/>
        <v>0</v>
      </c>
      <c r="T541">
        <f t="shared" si="103"/>
        <v>0</v>
      </c>
      <c r="U541" t="str">
        <f t="shared" si="104"/>
        <v>Not Improved Enough</v>
      </c>
      <c r="V541" t="str">
        <f t="shared" si="105"/>
        <v>Far</v>
      </c>
      <c r="W541" t="str">
        <f t="shared" si="106"/>
        <v>Normal</v>
      </c>
      <c r="X541" t="str">
        <f t="shared" si="107"/>
        <v>Allowed</v>
      </c>
    </row>
    <row r="542" spans="1:24" x14ac:dyDescent="0.3">
      <c r="A542" t="s">
        <v>23</v>
      </c>
      <c r="B542" t="s">
        <v>29</v>
      </c>
      <c r="C542" t="s">
        <v>26</v>
      </c>
      <c r="D542" s="3">
        <v>45596</v>
      </c>
      <c r="E542" s="6">
        <v>0.84</v>
      </c>
      <c r="F542">
        <v>0</v>
      </c>
      <c r="G542" t="s">
        <v>17</v>
      </c>
      <c r="H542" s="6">
        <v>0.85</v>
      </c>
      <c r="I542" s="8">
        <v>2.00364298724954E-2</v>
      </c>
      <c r="J542" s="5">
        <f t="shared" si="96"/>
        <v>1.8209321594669165E-2</v>
      </c>
      <c r="K542" s="5" cm="1">
        <f t="array" ref="K542">_xlfn.STDEV.S(IF($C:$C=C542,$I:$I))</f>
        <v>0.22834931756330515</v>
      </c>
      <c r="L542" s="7">
        <f t="shared" si="99"/>
        <v>8.0013739358765854E-3</v>
      </c>
      <c r="M542">
        <f t="shared" si="97"/>
        <v>0</v>
      </c>
      <c r="N542" s="9">
        <f t="shared" si="100"/>
        <v>1.1764705882352951E-2</v>
      </c>
      <c r="O542">
        <f>COUNTIFS($B$2:B542,B542,$C$2:C542,C542,$D$2:D542,"&lt;"&amp;D542,$F$2:F542,1)</f>
        <v>0</v>
      </c>
      <c r="P542">
        <f t="shared" si="98"/>
        <v>0</v>
      </c>
      <c r="Q542" t="str">
        <f t="shared" si="101"/>
        <v>Monitor</v>
      </c>
      <c r="R542">
        <v>0</v>
      </c>
      <c r="S542">
        <f t="shared" si="102"/>
        <v>0</v>
      </c>
      <c r="T542">
        <f t="shared" si="103"/>
        <v>0</v>
      </c>
      <c r="U542" t="str">
        <f t="shared" si="104"/>
        <v>Improved Enough</v>
      </c>
      <c r="V542" t="str">
        <f t="shared" si="105"/>
        <v>Close</v>
      </c>
      <c r="W542" t="str">
        <f t="shared" si="106"/>
        <v>Normal</v>
      </c>
      <c r="X542" t="str">
        <f t="shared" si="107"/>
        <v>Allowed</v>
      </c>
    </row>
    <row r="543" spans="1:24" x14ac:dyDescent="0.3">
      <c r="A543" t="s">
        <v>23</v>
      </c>
      <c r="B543" t="s">
        <v>29</v>
      </c>
      <c r="C543" t="s">
        <v>26</v>
      </c>
      <c r="D543" s="3">
        <v>45626</v>
      </c>
      <c r="E543" s="6">
        <v>0.88370000000000004</v>
      </c>
      <c r="F543">
        <v>0</v>
      </c>
      <c r="G543" t="s">
        <v>17</v>
      </c>
      <c r="H543" s="6">
        <v>0.85</v>
      </c>
      <c r="I543" s="8">
        <v>5.2023809523809611E-2</v>
      </c>
      <c r="J543" s="5">
        <f t="shared" si="96"/>
        <v>1.8209321594669165E-2</v>
      </c>
      <c r="K543" s="5" cm="1">
        <f t="array" ref="K543">_xlfn.STDEV.S(IF($C:$C=C543,$I:$I))</f>
        <v>0.22834931756330515</v>
      </c>
      <c r="L543" s="7">
        <f t="shared" si="99"/>
        <v>0.14808228152364011</v>
      </c>
      <c r="M543">
        <f t="shared" si="97"/>
        <v>0</v>
      </c>
      <c r="N543" s="9">
        <f t="shared" si="100"/>
        <v>-3.9647058823529487E-2</v>
      </c>
      <c r="O543">
        <f>COUNTIFS($B$2:B543,B543,$C$2:C543,C543,$D$2:D543,"&lt;"&amp;D543,$F$2:F543,1)</f>
        <v>0</v>
      </c>
      <c r="P543">
        <f t="shared" si="98"/>
        <v>0</v>
      </c>
      <c r="Q543" t="str">
        <f t="shared" si="101"/>
        <v>Monitor</v>
      </c>
      <c r="R543">
        <v>0</v>
      </c>
      <c r="S543">
        <f t="shared" si="102"/>
        <v>0</v>
      </c>
      <c r="T543">
        <f t="shared" si="103"/>
        <v>0</v>
      </c>
      <c r="U543" t="str">
        <f t="shared" si="104"/>
        <v>Improved Enough</v>
      </c>
      <c r="V543" t="str">
        <f t="shared" si="105"/>
        <v>Close</v>
      </c>
      <c r="W543" t="str">
        <f t="shared" si="106"/>
        <v>Normal</v>
      </c>
      <c r="X543" t="str">
        <f t="shared" si="107"/>
        <v>Allowed</v>
      </c>
    </row>
    <row r="544" spans="1:24" x14ac:dyDescent="0.3">
      <c r="A544" t="s">
        <v>23</v>
      </c>
      <c r="B544" t="s">
        <v>29</v>
      </c>
      <c r="C544" t="s">
        <v>26</v>
      </c>
      <c r="D544" s="3">
        <v>45657</v>
      </c>
      <c r="E544" s="6">
        <v>0.86739999999999995</v>
      </c>
      <c r="F544">
        <v>0</v>
      </c>
      <c r="G544" t="s">
        <v>17</v>
      </c>
      <c r="H544" s="6">
        <v>0.85</v>
      </c>
      <c r="I544" s="8">
        <v>-1.844517370148251E-2</v>
      </c>
      <c r="J544" s="5">
        <f t="shared" si="96"/>
        <v>1.8209321594669165E-2</v>
      </c>
      <c r="K544" s="5" cm="1">
        <f t="array" ref="K544">_xlfn.STDEV.S(IF($C:$C=C544,$I:$I))</f>
        <v>0.22834931756330515</v>
      </c>
      <c r="L544" s="7">
        <f t="shared" si="99"/>
        <v>-0.16051939934521578</v>
      </c>
      <c r="M544">
        <f t="shared" si="97"/>
        <v>0</v>
      </c>
      <c r="N544" s="9">
        <f t="shared" si="100"/>
        <v>-2.0470588235294084E-2</v>
      </c>
      <c r="O544">
        <f>COUNTIFS($B$2:B544,B544,$C$2:C544,C544,$D$2:D544,"&lt;"&amp;D544,$F$2:F544,1)</f>
        <v>0</v>
      </c>
      <c r="P544">
        <f t="shared" si="98"/>
        <v>0</v>
      </c>
      <c r="Q544" t="str">
        <f t="shared" si="101"/>
        <v>Monitor</v>
      </c>
      <c r="R544">
        <v>0</v>
      </c>
      <c r="S544">
        <f t="shared" si="102"/>
        <v>0</v>
      </c>
      <c r="T544">
        <f t="shared" si="103"/>
        <v>0</v>
      </c>
      <c r="U544" t="str">
        <f t="shared" si="104"/>
        <v>Not Improved Enough</v>
      </c>
      <c r="V544" t="str">
        <f t="shared" si="105"/>
        <v>Close</v>
      </c>
      <c r="W544" t="str">
        <f t="shared" si="106"/>
        <v>Normal</v>
      </c>
      <c r="X544" t="str">
        <f t="shared" si="107"/>
        <v>Allowed</v>
      </c>
    </row>
    <row r="545" spans="1:24" x14ac:dyDescent="0.3">
      <c r="A545" t="s">
        <v>23</v>
      </c>
      <c r="B545" t="s">
        <v>29</v>
      </c>
      <c r="C545" t="s">
        <v>26</v>
      </c>
      <c r="D545" s="3">
        <v>45688</v>
      </c>
      <c r="E545" s="6">
        <v>0.85589999999999999</v>
      </c>
      <c r="F545">
        <v>0</v>
      </c>
      <c r="G545" t="s">
        <v>17</v>
      </c>
      <c r="H545" s="6">
        <v>0.85</v>
      </c>
      <c r="I545" s="8">
        <v>-1.325801245100295E-2</v>
      </c>
      <c r="J545" s="5">
        <f t="shared" si="96"/>
        <v>1.8209321594669165E-2</v>
      </c>
      <c r="K545" s="5" cm="1">
        <f t="array" ref="K545">_xlfn.STDEV.S(IF($C:$C=C545,$I:$I))</f>
        <v>0.22834931756330515</v>
      </c>
      <c r="L545" s="7">
        <f t="shared" si="99"/>
        <v>-0.13780349502007358</v>
      </c>
      <c r="M545">
        <f t="shared" si="97"/>
        <v>0</v>
      </c>
      <c r="N545" s="9">
        <f t="shared" si="100"/>
        <v>-6.9411764705882544E-3</v>
      </c>
      <c r="O545">
        <f>COUNTIFS($B$2:B545,B545,$C$2:C545,C545,$D$2:D545,"&lt;"&amp;D545,$F$2:F545,1)</f>
        <v>0</v>
      </c>
      <c r="P545">
        <f t="shared" si="98"/>
        <v>0</v>
      </c>
      <c r="Q545" t="str">
        <f t="shared" si="101"/>
        <v>Monitor</v>
      </c>
      <c r="R545">
        <v>0</v>
      </c>
      <c r="S545">
        <f t="shared" si="102"/>
        <v>0</v>
      </c>
      <c r="T545">
        <f t="shared" si="103"/>
        <v>0</v>
      </c>
      <c r="U545" t="str">
        <f t="shared" si="104"/>
        <v>Not Improved Enough</v>
      </c>
      <c r="V545" t="str">
        <f t="shared" si="105"/>
        <v>Close</v>
      </c>
      <c r="W545" t="str">
        <f t="shared" si="106"/>
        <v>Normal</v>
      </c>
      <c r="X545" t="str">
        <f t="shared" si="107"/>
        <v>Allowed</v>
      </c>
    </row>
    <row r="546" spans="1:24" x14ac:dyDescent="0.3">
      <c r="A546" t="s">
        <v>23</v>
      </c>
      <c r="B546" t="s">
        <v>29</v>
      </c>
      <c r="C546" t="s">
        <v>26</v>
      </c>
      <c r="D546" s="3">
        <v>45716</v>
      </c>
      <c r="E546" s="6">
        <v>0.86019999999999996</v>
      </c>
      <c r="F546">
        <v>0</v>
      </c>
      <c r="G546" t="s">
        <v>17</v>
      </c>
      <c r="H546" s="6">
        <v>0.85</v>
      </c>
      <c r="I546" s="8">
        <v>5.023951396191109E-3</v>
      </c>
      <c r="J546" s="5">
        <f t="shared" si="96"/>
        <v>1.8209321594669165E-2</v>
      </c>
      <c r="K546" s="5" cm="1">
        <f t="array" ref="K546">_xlfn.STDEV.S(IF($C:$C=C546,$I:$I))</f>
        <v>0.22834931756330515</v>
      </c>
      <c r="L546" s="7">
        <f t="shared" si="99"/>
        <v>-5.7742104680574238E-2</v>
      </c>
      <c r="M546">
        <f t="shared" si="97"/>
        <v>0</v>
      </c>
      <c r="N546" s="9">
        <f t="shared" si="100"/>
        <v>-1.1999999999999985E-2</v>
      </c>
      <c r="O546">
        <f>COUNTIFS($B$2:B546,B546,$C$2:C546,C546,$D$2:D546,"&lt;"&amp;D546,$F$2:F546,1)</f>
        <v>0</v>
      </c>
      <c r="P546">
        <f t="shared" si="98"/>
        <v>0</v>
      </c>
      <c r="Q546" t="str">
        <f t="shared" si="101"/>
        <v>Monitor</v>
      </c>
      <c r="R546">
        <v>0</v>
      </c>
      <c r="S546">
        <f t="shared" si="102"/>
        <v>0</v>
      </c>
      <c r="T546">
        <f t="shared" si="103"/>
        <v>0</v>
      </c>
      <c r="U546" t="str">
        <f t="shared" si="104"/>
        <v>Not Improved Enough</v>
      </c>
      <c r="V546" t="str">
        <f t="shared" si="105"/>
        <v>Close</v>
      </c>
      <c r="W546" t="str">
        <f t="shared" si="106"/>
        <v>Normal</v>
      </c>
      <c r="X546" t="str">
        <f t="shared" si="107"/>
        <v>Allowed</v>
      </c>
    </row>
    <row r="547" spans="1:24" x14ac:dyDescent="0.3">
      <c r="A547" t="s">
        <v>23</v>
      </c>
      <c r="B547" t="s">
        <v>29</v>
      </c>
      <c r="C547" t="s">
        <v>26</v>
      </c>
      <c r="D547" s="3">
        <v>45747</v>
      </c>
      <c r="E547" s="6">
        <v>0.87270000000000003</v>
      </c>
      <c r="F547">
        <v>0</v>
      </c>
      <c r="G547" t="s">
        <v>17</v>
      </c>
      <c r="H547" s="6">
        <v>0.85</v>
      </c>
      <c r="I547" s="8">
        <v>1.4531504301325351E-2</v>
      </c>
      <c r="J547" s="5">
        <f t="shared" si="96"/>
        <v>1.8209321594669165E-2</v>
      </c>
      <c r="K547" s="5" cm="1">
        <f t="array" ref="K547">_xlfn.STDEV.S(IF($C:$C=C547,$I:$I))</f>
        <v>0.22834931756330515</v>
      </c>
      <c r="L547" s="7">
        <f t="shared" si="99"/>
        <v>-1.6106101531589711E-2</v>
      </c>
      <c r="M547">
        <f t="shared" si="97"/>
        <v>0</v>
      </c>
      <c r="N547" s="9">
        <f t="shared" si="100"/>
        <v>-2.6705882352941239E-2</v>
      </c>
      <c r="O547">
        <f>COUNTIFS($B$2:B547,B547,$C$2:C547,C547,$D$2:D547,"&lt;"&amp;D547,$F$2:F547,1)</f>
        <v>0</v>
      </c>
      <c r="P547">
        <f t="shared" si="98"/>
        <v>0</v>
      </c>
      <c r="Q547" t="str">
        <f t="shared" si="101"/>
        <v>Monitor</v>
      </c>
      <c r="R547">
        <v>0</v>
      </c>
      <c r="S547">
        <f t="shared" si="102"/>
        <v>0</v>
      </c>
      <c r="T547">
        <f t="shared" si="103"/>
        <v>0</v>
      </c>
      <c r="U547" t="str">
        <f t="shared" si="104"/>
        <v>Improved Enough</v>
      </c>
      <c r="V547" t="str">
        <f t="shared" si="105"/>
        <v>Close</v>
      </c>
      <c r="W547" t="str">
        <f t="shared" si="106"/>
        <v>Normal</v>
      </c>
      <c r="X547" t="str">
        <f t="shared" si="107"/>
        <v>Allowed</v>
      </c>
    </row>
    <row r="548" spans="1:24" x14ac:dyDescent="0.3">
      <c r="A548" t="s">
        <v>23</v>
      </c>
      <c r="B548" t="s">
        <v>29</v>
      </c>
      <c r="C548" t="s">
        <v>26</v>
      </c>
      <c r="D548" s="3">
        <v>45777</v>
      </c>
      <c r="E548" s="6">
        <v>0.83830000000000005</v>
      </c>
      <c r="F548">
        <v>0</v>
      </c>
      <c r="G548" t="s">
        <v>17</v>
      </c>
      <c r="H548" s="6">
        <v>0.85</v>
      </c>
      <c r="I548" s="8">
        <v>-3.9417898475994022E-2</v>
      </c>
      <c r="J548" s="5">
        <f t="shared" si="96"/>
        <v>1.8209321594669165E-2</v>
      </c>
      <c r="K548" s="5" cm="1">
        <f t="array" ref="K548">_xlfn.STDEV.S(IF($C:$C=C548,$I:$I))</f>
        <v>0.22834931756330515</v>
      </c>
      <c r="L548" s="7">
        <f t="shared" si="99"/>
        <v>-0.25236431921758307</v>
      </c>
      <c r="M548">
        <f t="shared" si="97"/>
        <v>0</v>
      </c>
      <c r="N548" s="9">
        <f t="shared" si="100"/>
        <v>1.3764705882352863E-2</v>
      </c>
      <c r="O548">
        <f>COUNTIFS($B$2:B548,B548,$C$2:C548,C548,$D$2:D548,"&lt;"&amp;D548,$F$2:F548,1)</f>
        <v>0</v>
      </c>
      <c r="P548">
        <f t="shared" si="98"/>
        <v>0</v>
      </c>
      <c r="Q548" t="str">
        <f t="shared" si="101"/>
        <v>Monitor</v>
      </c>
      <c r="R548">
        <v>0</v>
      </c>
      <c r="S548">
        <f t="shared" si="102"/>
        <v>0</v>
      </c>
      <c r="T548">
        <f t="shared" si="103"/>
        <v>0</v>
      </c>
      <c r="U548" t="str">
        <f t="shared" si="104"/>
        <v>Not Improved Enough</v>
      </c>
      <c r="V548" t="str">
        <f t="shared" si="105"/>
        <v>Close</v>
      </c>
      <c r="W548" t="str">
        <f t="shared" si="106"/>
        <v>Normal</v>
      </c>
      <c r="X548" t="str">
        <f t="shared" si="107"/>
        <v>Allowed</v>
      </c>
    </row>
    <row r="549" spans="1:24" x14ac:dyDescent="0.3">
      <c r="A549" t="s">
        <v>23</v>
      </c>
      <c r="B549" t="s">
        <v>29</v>
      </c>
      <c r="C549" t="s">
        <v>26</v>
      </c>
      <c r="D549" s="3">
        <v>45808</v>
      </c>
      <c r="E549" s="6">
        <v>0.8</v>
      </c>
      <c r="F549">
        <v>0</v>
      </c>
      <c r="G549" t="s">
        <v>17</v>
      </c>
      <c r="H549" s="6">
        <v>0.85</v>
      </c>
      <c r="I549" s="8">
        <v>-4.5687701300250502E-2</v>
      </c>
      <c r="J549" s="5">
        <f t="shared" si="96"/>
        <v>1.8209321594669165E-2</v>
      </c>
      <c r="K549" s="5" cm="1">
        <f t="array" ref="K549">_xlfn.STDEV.S(IF($C:$C=C549,$I:$I))</f>
        <v>0.22834931756330515</v>
      </c>
      <c r="L549" s="7">
        <f t="shared" si="99"/>
        <v>-0.27982138758617281</v>
      </c>
      <c r="M549">
        <f t="shared" si="97"/>
        <v>0</v>
      </c>
      <c r="N549" s="9">
        <f t="shared" si="100"/>
        <v>5.8823529411764629E-2</v>
      </c>
      <c r="O549">
        <f>COUNTIFS($B$2:B549,B549,$C$2:C549,C549,$D$2:D549,"&lt;"&amp;D549,$F$2:F549,1)</f>
        <v>0</v>
      </c>
      <c r="P549">
        <f t="shared" si="98"/>
        <v>0</v>
      </c>
      <c r="Q549" t="str">
        <f t="shared" si="101"/>
        <v>Monitor</v>
      </c>
      <c r="R549">
        <v>0</v>
      </c>
      <c r="S549">
        <f t="shared" si="102"/>
        <v>0</v>
      </c>
      <c r="T549">
        <f t="shared" si="103"/>
        <v>0</v>
      </c>
      <c r="U549" t="str">
        <f t="shared" si="104"/>
        <v>Not Improved Enough</v>
      </c>
      <c r="V549" t="str">
        <f t="shared" si="105"/>
        <v>Far</v>
      </c>
      <c r="W549" t="str">
        <f t="shared" si="106"/>
        <v>Normal</v>
      </c>
      <c r="X549" t="str">
        <f t="shared" si="107"/>
        <v>Allowed</v>
      </c>
    </row>
    <row r="550" spans="1:24" x14ac:dyDescent="0.3">
      <c r="A550" t="s">
        <v>23</v>
      </c>
      <c r="B550" t="s">
        <v>29</v>
      </c>
      <c r="C550" t="s">
        <v>26</v>
      </c>
      <c r="D550" s="3">
        <v>45838</v>
      </c>
      <c r="E550" s="6">
        <v>0.92</v>
      </c>
      <c r="F550">
        <v>0</v>
      </c>
      <c r="G550" t="s">
        <v>17</v>
      </c>
      <c r="H550" s="6">
        <v>0.85</v>
      </c>
      <c r="I550" s="8">
        <v>0.15</v>
      </c>
      <c r="J550" s="5">
        <f t="shared" si="96"/>
        <v>1.8209321594669165E-2</v>
      </c>
      <c r="K550" s="5" cm="1">
        <f t="array" ref="K550">_xlfn.STDEV.S(IF($C:$C=C550,$I:$I))</f>
        <v>0.22834931756330515</v>
      </c>
      <c r="L550" s="7">
        <f t="shared" si="99"/>
        <v>0.57714505045014886</v>
      </c>
      <c r="M550">
        <f t="shared" si="97"/>
        <v>-1</v>
      </c>
      <c r="N550" s="9">
        <f t="shared" si="100"/>
        <v>-8.235294117647067E-2</v>
      </c>
      <c r="O550">
        <f>COUNTIFS($B$2:B550,B550,$C$2:C550,C550,$D$2:D550,"&lt;"&amp;D550,$F$2:F550,1)</f>
        <v>0</v>
      </c>
      <c r="P550">
        <f t="shared" si="98"/>
        <v>0</v>
      </c>
      <c r="Q550" t="str">
        <f t="shared" si="101"/>
        <v>Monitor</v>
      </c>
      <c r="R550">
        <v>0</v>
      </c>
      <c r="S550">
        <f t="shared" si="102"/>
        <v>0</v>
      </c>
      <c r="T550">
        <f t="shared" si="103"/>
        <v>0</v>
      </c>
      <c r="U550" t="str">
        <f t="shared" si="104"/>
        <v>Improved Enough</v>
      </c>
      <c r="V550" t="str">
        <f t="shared" si="105"/>
        <v>Close</v>
      </c>
      <c r="W550" t="str">
        <f t="shared" si="106"/>
        <v>Normal</v>
      </c>
      <c r="X550" t="str">
        <f t="shared" si="107"/>
        <v>Allowed</v>
      </c>
    </row>
    <row r="551" spans="1:24" x14ac:dyDescent="0.3">
      <c r="A551" t="s">
        <v>23</v>
      </c>
      <c r="B551" t="s">
        <v>29</v>
      </c>
      <c r="C551" t="s">
        <v>26</v>
      </c>
      <c r="D551" s="3">
        <v>45869</v>
      </c>
      <c r="E551" s="6">
        <v>0.85299999999999998</v>
      </c>
      <c r="F551">
        <v>0</v>
      </c>
      <c r="G551" t="s">
        <v>17</v>
      </c>
      <c r="H551" s="6">
        <v>0.85</v>
      </c>
      <c r="I551" s="8">
        <v>-7.2826086956521804E-2</v>
      </c>
      <c r="J551" s="5">
        <f t="shared" si="96"/>
        <v>1.8209321594669165E-2</v>
      </c>
      <c r="K551" s="5" cm="1">
        <f t="array" ref="K551">_xlfn.STDEV.S(IF($C:$C=C551,$I:$I))</f>
        <v>0.22834931756330515</v>
      </c>
      <c r="L551" s="7">
        <f t="shared" si="99"/>
        <v>-0.39866731165488711</v>
      </c>
      <c r="M551">
        <f t="shared" si="97"/>
        <v>0</v>
      </c>
      <c r="N551" s="9">
        <f t="shared" si="100"/>
        <v>-3.5294117647058855E-3</v>
      </c>
      <c r="O551">
        <f>COUNTIFS($B$2:B551,B551,$C$2:C551,C551,$D$2:D551,"&lt;"&amp;D551,$F$2:F551,1)</f>
        <v>0</v>
      </c>
      <c r="P551">
        <f t="shared" si="98"/>
        <v>0</v>
      </c>
      <c r="Q551" t="str">
        <f t="shared" si="101"/>
        <v>Monitor</v>
      </c>
      <c r="R551">
        <v>0</v>
      </c>
      <c r="S551">
        <f t="shared" si="102"/>
        <v>0</v>
      </c>
      <c r="T551">
        <f t="shared" si="103"/>
        <v>0</v>
      </c>
      <c r="U551" t="str">
        <f t="shared" si="104"/>
        <v>Not Improved Enough</v>
      </c>
      <c r="V551" t="str">
        <f t="shared" si="105"/>
        <v>Close</v>
      </c>
      <c r="W551" t="str">
        <f t="shared" si="106"/>
        <v>Normal</v>
      </c>
      <c r="X551" t="str">
        <f t="shared" si="107"/>
        <v>Allowed</v>
      </c>
    </row>
    <row r="552" spans="1:24" x14ac:dyDescent="0.3">
      <c r="A552" t="s">
        <v>23</v>
      </c>
      <c r="B552" t="s">
        <v>29</v>
      </c>
      <c r="C552" t="s">
        <v>26</v>
      </c>
      <c r="D552" s="3">
        <v>45900</v>
      </c>
      <c r="E552" s="6">
        <v>0.90300000000000002</v>
      </c>
      <c r="F552">
        <v>0</v>
      </c>
      <c r="G552" t="s">
        <v>17</v>
      </c>
      <c r="H552" s="6">
        <v>0.85</v>
      </c>
      <c r="I552" s="8">
        <v>5.8616647127784353E-2</v>
      </c>
      <c r="J552" s="5">
        <f t="shared" si="96"/>
        <v>1.8209321594669165E-2</v>
      </c>
      <c r="K552" s="5" cm="1">
        <f t="array" ref="K552">_xlfn.STDEV.S(IF($C:$C=C552,$I:$I))</f>
        <v>0.22834931756330515</v>
      </c>
      <c r="L552" s="7">
        <f t="shared" si="99"/>
        <v>0.1769540017211266</v>
      </c>
      <c r="M552">
        <f t="shared" si="97"/>
        <v>0</v>
      </c>
      <c r="N552" s="9">
        <f t="shared" si="100"/>
        <v>-6.2352941176470646E-2</v>
      </c>
      <c r="O552">
        <f>COUNTIFS($B$2:B552,B552,$C$2:C552,C552,$D$2:D552,"&lt;"&amp;D552,$F$2:F552,1)</f>
        <v>0</v>
      </c>
      <c r="P552">
        <f t="shared" si="98"/>
        <v>0</v>
      </c>
      <c r="Q552" t="str">
        <f t="shared" si="101"/>
        <v>Monitor</v>
      </c>
      <c r="R552">
        <v>0</v>
      </c>
      <c r="S552">
        <f t="shared" si="102"/>
        <v>0</v>
      </c>
      <c r="T552">
        <f t="shared" si="103"/>
        <v>0</v>
      </c>
      <c r="U552" t="str">
        <f t="shared" si="104"/>
        <v>Improved Enough</v>
      </c>
      <c r="V552" t="str">
        <f t="shared" si="105"/>
        <v>Close</v>
      </c>
      <c r="W552" t="str">
        <f t="shared" si="106"/>
        <v>Normal</v>
      </c>
      <c r="X552" t="str">
        <f t="shared" si="107"/>
        <v>Allowed</v>
      </c>
    </row>
    <row r="553" spans="1:24" x14ac:dyDescent="0.3">
      <c r="A553" t="s">
        <v>23</v>
      </c>
      <c r="B553" t="s">
        <v>29</v>
      </c>
      <c r="C553" t="s">
        <v>26</v>
      </c>
      <c r="D553" s="3">
        <v>45930</v>
      </c>
      <c r="E553" s="6">
        <v>0.80900000000000005</v>
      </c>
      <c r="F553">
        <v>0</v>
      </c>
      <c r="G553" t="s">
        <v>17</v>
      </c>
      <c r="H553" s="6">
        <v>0.85</v>
      </c>
      <c r="I553" s="8">
        <v>-0.1040974529346622</v>
      </c>
      <c r="J553" s="5">
        <f t="shared" si="96"/>
        <v>1.8209321594669165E-2</v>
      </c>
      <c r="K553" s="5" cm="1">
        <f t="array" ref="K553">_xlfn.STDEV.S(IF($C:$C=C553,$I:$I))</f>
        <v>0.22834931756330515</v>
      </c>
      <c r="L553" s="7">
        <f t="shared" si="99"/>
        <v>-0.53561261244156921</v>
      </c>
      <c r="M553">
        <f t="shared" si="97"/>
        <v>1</v>
      </c>
      <c r="N553" s="9">
        <f t="shared" si="100"/>
        <v>4.8235294117646973E-2</v>
      </c>
      <c r="O553">
        <f>COUNTIFS($B$2:B553,B553,$C$2:C553,C553,$D$2:D553,"&lt;"&amp;D553,$F$2:F553,1)</f>
        <v>0</v>
      </c>
      <c r="P553">
        <f t="shared" si="98"/>
        <v>0</v>
      </c>
      <c r="Q553" t="str">
        <f t="shared" si="101"/>
        <v>Intervene</v>
      </c>
      <c r="R553">
        <v>0</v>
      </c>
      <c r="S553">
        <f t="shared" si="102"/>
        <v>1</v>
      </c>
      <c r="T553">
        <f t="shared" si="103"/>
        <v>1</v>
      </c>
      <c r="U553" t="str">
        <f t="shared" si="104"/>
        <v>Not Improved Enough</v>
      </c>
      <c r="V553" t="str">
        <f t="shared" si="105"/>
        <v>Far</v>
      </c>
      <c r="W553" t="str">
        <f t="shared" si="106"/>
        <v>Abnormal</v>
      </c>
      <c r="X553" t="str">
        <f t="shared" si="107"/>
        <v>Allowed</v>
      </c>
    </row>
    <row r="554" spans="1:24" x14ac:dyDescent="0.3">
      <c r="A554" t="s">
        <v>23</v>
      </c>
      <c r="B554" t="s">
        <v>29</v>
      </c>
      <c r="C554" t="s">
        <v>26</v>
      </c>
      <c r="D554" s="3">
        <v>45961</v>
      </c>
      <c r="E554" s="6">
        <v>0.85699999999999998</v>
      </c>
      <c r="F554">
        <v>0</v>
      </c>
      <c r="G554" t="s">
        <v>17</v>
      </c>
      <c r="H554" s="6">
        <v>0.85</v>
      </c>
      <c r="I554" s="8">
        <v>5.9332509270704492E-2</v>
      </c>
      <c r="J554" s="5">
        <f t="shared" si="96"/>
        <v>1.8209321594669165E-2</v>
      </c>
      <c r="K554" s="5" cm="1">
        <f t="array" ref="K554">_xlfn.STDEV.S(IF($C:$C=C554,$I:$I))</f>
        <v>0.22834931756330515</v>
      </c>
      <c r="L554" s="7">
        <f t="shared" si="99"/>
        <v>0.18008894493251451</v>
      </c>
      <c r="M554">
        <f t="shared" si="97"/>
        <v>0</v>
      </c>
      <c r="N554" s="9">
        <f t="shared" si="100"/>
        <v>-8.2352941176470663E-3</v>
      </c>
      <c r="O554">
        <f>COUNTIFS($B$2:B554,B554,$C$2:C554,C554,$D$2:D554,"&lt;"&amp;D554,$F$2:F554,1)</f>
        <v>0</v>
      </c>
      <c r="P554">
        <f t="shared" si="98"/>
        <v>0</v>
      </c>
      <c r="Q554" t="str">
        <f t="shared" si="101"/>
        <v>Monitor</v>
      </c>
      <c r="R554">
        <v>0</v>
      </c>
      <c r="S554">
        <f t="shared" si="102"/>
        <v>0</v>
      </c>
      <c r="T554">
        <f t="shared" si="103"/>
        <v>0</v>
      </c>
      <c r="U554" t="str">
        <f t="shared" si="104"/>
        <v>Improved Enough</v>
      </c>
      <c r="V554" t="str">
        <f t="shared" si="105"/>
        <v>Close</v>
      </c>
      <c r="W554" t="str">
        <f t="shared" si="106"/>
        <v>Normal</v>
      </c>
      <c r="X554" t="str">
        <f t="shared" si="107"/>
        <v>Allowed</v>
      </c>
    </row>
    <row r="555" spans="1:24" x14ac:dyDescent="0.3">
      <c r="A555" t="s">
        <v>23</v>
      </c>
      <c r="B555" t="s">
        <v>29</v>
      </c>
      <c r="C555" t="s">
        <v>26</v>
      </c>
      <c r="D555" s="3">
        <v>45991</v>
      </c>
      <c r="E555" s="6">
        <v>0.83</v>
      </c>
      <c r="F555">
        <v>0</v>
      </c>
      <c r="G555" t="s">
        <v>17</v>
      </c>
      <c r="H555" s="6">
        <v>0.85</v>
      </c>
      <c r="I555" s="8">
        <v>-3.1505250875145878E-2</v>
      </c>
      <c r="J555" s="5">
        <f t="shared" si="96"/>
        <v>1.8209321594669165E-2</v>
      </c>
      <c r="K555" s="5" cm="1">
        <f t="array" ref="K555">_xlfn.STDEV.S(IF($C:$C=C555,$I:$I))</f>
        <v>0.22834931756330515</v>
      </c>
      <c r="L555" s="7">
        <f t="shared" si="99"/>
        <v>-0.21771281386042551</v>
      </c>
      <c r="M555">
        <f t="shared" si="97"/>
        <v>0</v>
      </c>
      <c r="N555" s="9">
        <f t="shared" si="100"/>
        <v>2.3529411764705903E-2</v>
      </c>
      <c r="O555">
        <f>COUNTIFS($B$2:B555,B555,$C$2:C555,C555,$D$2:D555,"&lt;"&amp;D555,$F$2:F555,1)</f>
        <v>0</v>
      </c>
      <c r="P555">
        <f t="shared" si="98"/>
        <v>0</v>
      </c>
      <c r="Q555" t="str">
        <f t="shared" si="101"/>
        <v>Monitor</v>
      </c>
      <c r="R555">
        <v>0</v>
      </c>
      <c r="S555">
        <f t="shared" si="102"/>
        <v>0</v>
      </c>
      <c r="T555">
        <f t="shared" si="103"/>
        <v>0</v>
      </c>
      <c r="U555" t="str">
        <f t="shared" si="104"/>
        <v>Not Improved Enough</v>
      </c>
      <c r="V555" t="str">
        <f t="shared" si="105"/>
        <v>Far</v>
      </c>
      <c r="W555" t="str">
        <f t="shared" si="106"/>
        <v>Normal</v>
      </c>
      <c r="X555" t="str">
        <f t="shared" si="107"/>
        <v>Allowed</v>
      </c>
    </row>
    <row r="556" spans="1:24" x14ac:dyDescent="0.3">
      <c r="A556" t="s">
        <v>23</v>
      </c>
      <c r="B556" t="s">
        <v>29</v>
      </c>
      <c r="C556" t="s">
        <v>27</v>
      </c>
      <c r="D556" s="3">
        <v>45535</v>
      </c>
      <c r="E556" s="6">
        <v>0.64290000000000003</v>
      </c>
      <c r="F556">
        <v>1</v>
      </c>
      <c r="G556" t="s">
        <v>17</v>
      </c>
      <c r="H556" s="6">
        <v>0.7</v>
      </c>
      <c r="I556" s="8">
        <v>-9.1050473632122167E-2</v>
      </c>
      <c r="J556" s="5">
        <f t="shared" si="96"/>
        <v>1.9288787744816144E-2</v>
      </c>
      <c r="K556" s="5" cm="1">
        <f t="array" ref="K556">_xlfn.STDEV.S(IF($C:$C=C556,$I:$I))</f>
        <v>0.27585788879837708</v>
      </c>
      <c r="L556" s="7">
        <f t="shared" si="99"/>
        <v>-0.3999858835198461</v>
      </c>
      <c r="M556">
        <f t="shared" si="97"/>
        <v>0</v>
      </c>
      <c r="N556" s="9">
        <f t="shared" si="100"/>
        <v>8.1571428571428475E-2</v>
      </c>
      <c r="O556">
        <f>COUNTIFS($B$2:B556,B556,$C$2:C556,C556,$D$2:D556,"&lt;"&amp;D556,$F$2:F556,1)</f>
        <v>0</v>
      </c>
      <c r="P556">
        <f t="shared" si="98"/>
        <v>0</v>
      </c>
      <c r="Q556" t="str">
        <f t="shared" si="101"/>
        <v>Monitor</v>
      </c>
      <c r="R556">
        <v>0</v>
      </c>
      <c r="S556">
        <f t="shared" si="102"/>
        <v>0</v>
      </c>
      <c r="T556">
        <f t="shared" si="103"/>
        <v>0</v>
      </c>
      <c r="U556" t="str">
        <f t="shared" si="104"/>
        <v>Not Improved Enough</v>
      </c>
      <c r="V556" t="str">
        <f t="shared" si="105"/>
        <v>Far</v>
      </c>
      <c r="W556" t="str">
        <f t="shared" si="106"/>
        <v>Normal</v>
      </c>
      <c r="X556" t="str">
        <f t="shared" si="107"/>
        <v>Allowed</v>
      </c>
    </row>
    <row r="557" spans="1:24" x14ac:dyDescent="0.3">
      <c r="A557" t="s">
        <v>23</v>
      </c>
      <c r="B557" t="s">
        <v>29</v>
      </c>
      <c r="C557" t="s">
        <v>27</v>
      </c>
      <c r="D557" s="3">
        <v>45565</v>
      </c>
      <c r="E557" s="6">
        <v>0.70240000000000002</v>
      </c>
      <c r="F557">
        <v>1</v>
      </c>
      <c r="G557" t="s">
        <v>17</v>
      </c>
      <c r="H557" s="6">
        <v>0.7</v>
      </c>
      <c r="I557" s="8">
        <v>9.2549385596515779E-2</v>
      </c>
      <c r="J557" s="5">
        <f t="shared" si="96"/>
        <v>1.9288787744816144E-2</v>
      </c>
      <c r="K557" s="5" cm="1">
        <f t="array" ref="K557">_xlfn.STDEV.S(IF($C:$C=C557,$I:$I))</f>
        <v>0.27585788879837708</v>
      </c>
      <c r="L557" s="7">
        <f t="shared" si="99"/>
        <v>0.26557369147867793</v>
      </c>
      <c r="M557">
        <f t="shared" si="97"/>
        <v>0</v>
      </c>
      <c r="N557" s="9">
        <f t="shared" si="100"/>
        <v>-3.4285714285715268E-3</v>
      </c>
      <c r="O557">
        <f>COUNTIFS($B$2:B557,B557,$C$2:C557,C557,$D$2:D557,"&lt;"&amp;D557,$F$2:F557,1)</f>
        <v>1</v>
      </c>
      <c r="P557">
        <f t="shared" si="98"/>
        <v>1</v>
      </c>
      <c r="Q557" t="str">
        <f t="shared" si="101"/>
        <v>Monitor</v>
      </c>
      <c r="R557">
        <v>1</v>
      </c>
      <c r="S557">
        <f t="shared" si="102"/>
        <v>0</v>
      </c>
      <c r="T557">
        <f t="shared" si="103"/>
        <v>0</v>
      </c>
      <c r="U557" t="str">
        <f t="shared" si="104"/>
        <v>Improved Enough</v>
      </c>
      <c r="V557" t="str">
        <f t="shared" si="105"/>
        <v>Close</v>
      </c>
      <c r="W557" t="str">
        <f t="shared" si="106"/>
        <v>Normal</v>
      </c>
      <c r="X557" t="str">
        <f t="shared" si="107"/>
        <v>Allowed</v>
      </c>
    </row>
    <row r="558" spans="1:24" x14ac:dyDescent="0.3">
      <c r="A558" t="s">
        <v>23</v>
      </c>
      <c r="B558" t="s">
        <v>29</v>
      </c>
      <c r="C558" t="s">
        <v>27</v>
      </c>
      <c r="D558" s="3">
        <v>45596</v>
      </c>
      <c r="E558" s="6">
        <v>0.72919999999999996</v>
      </c>
      <c r="F558">
        <v>0</v>
      </c>
      <c r="G558" t="s">
        <v>17</v>
      </c>
      <c r="H558" s="6">
        <v>0.7</v>
      </c>
      <c r="I558" s="8">
        <v>3.8154897494305152E-2</v>
      </c>
      <c r="J558" s="5">
        <f t="shared" si="96"/>
        <v>1.9288787744816144E-2</v>
      </c>
      <c r="K558" s="5" cm="1">
        <f t="array" ref="K558">_xlfn.STDEV.S(IF($C:$C=C558,$I:$I))</f>
        <v>0.27585788879837708</v>
      </c>
      <c r="L558" s="7">
        <f t="shared" si="99"/>
        <v>6.8390684173176342E-2</v>
      </c>
      <c r="M558">
        <f t="shared" si="97"/>
        <v>0</v>
      </c>
      <c r="N558" s="9">
        <f t="shared" si="100"/>
        <v>-4.1714285714285725E-2</v>
      </c>
      <c r="O558">
        <f>COUNTIFS($B$2:B558,B558,$C$2:C558,C558,$D$2:D558,"&lt;"&amp;D558,$F$2:F558,1)</f>
        <v>2</v>
      </c>
      <c r="P558">
        <f t="shared" si="98"/>
        <v>1</v>
      </c>
      <c r="Q558" t="str">
        <f t="shared" si="101"/>
        <v>Monitor</v>
      </c>
      <c r="R558">
        <v>1</v>
      </c>
      <c r="S558">
        <f t="shared" si="102"/>
        <v>0</v>
      </c>
      <c r="T558">
        <f t="shared" si="103"/>
        <v>0</v>
      </c>
      <c r="U558" t="str">
        <f t="shared" si="104"/>
        <v>Improved Enough</v>
      </c>
      <c r="V558" t="str">
        <f t="shared" si="105"/>
        <v>Close</v>
      </c>
      <c r="W558" t="str">
        <f t="shared" si="106"/>
        <v>Normal</v>
      </c>
      <c r="X558" t="str">
        <f t="shared" si="107"/>
        <v>Allowed</v>
      </c>
    </row>
    <row r="559" spans="1:24" x14ac:dyDescent="0.3">
      <c r="A559" t="s">
        <v>23</v>
      </c>
      <c r="B559" t="s">
        <v>29</v>
      </c>
      <c r="C559" t="s">
        <v>27</v>
      </c>
      <c r="D559" s="3">
        <v>45626</v>
      </c>
      <c r="E559" s="6">
        <v>0.77529999999999999</v>
      </c>
      <c r="F559">
        <v>0</v>
      </c>
      <c r="G559" t="s">
        <v>17</v>
      </c>
      <c r="H559" s="6">
        <v>0.7</v>
      </c>
      <c r="I559" s="8">
        <v>6.3219967087218915E-2</v>
      </c>
      <c r="J559" s="5">
        <f t="shared" si="96"/>
        <v>1.9288787744816144E-2</v>
      </c>
      <c r="K559" s="5" cm="1">
        <f t="array" ref="K559">_xlfn.STDEV.S(IF($C:$C=C559,$I:$I))</f>
        <v>0.27585788879837708</v>
      </c>
      <c r="L559" s="7">
        <f t="shared" si="99"/>
        <v>0.1592529382928462</v>
      </c>
      <c r="M559">
        <f t="shared" si="97"/>
        <v>0</v>
      </c>
      <c r="N559" s="9">
        <f t="shared" si="100"/>
        <v>-0.10757142857142862</v>
      </c>
      <c r="O559">
        <f>COUNTIFS($B$2:B559,B559,$C$2:C559,C559,$D$2:D559,"&lt;"&amp;D559,$F$2:F559,1)</f>
        <v>2</v>
      </c>
      <c r="P559">
        <f t="shared" si="98"/>
        <v>0</v>
      </c>
      <c r="Q559" t="str">
        <f t="shared" si="101"/>
        <v>Monitor</v>
      </c>
      <c r="R559">
        <v>0</v>
      </c>
      <c r="S559">
        <f t="shared" si="102"/>
        <v>0</v>
      </c>
      <c r="T559">
        <f t="shared" si="103"/>
        <v>0</v>
      </c>
      <c r="U559" t="str">
        <f t="shared" si="104"/>
        <v>Improved Enough</v>
      </c>
      <c r="V559" t="str">
        <f t="shared" si="105"/>
        <v>Close</v>
      </c>
      <c r="W559" t="str">
        <f t="shared" si="106"/>
        <v>Normal</v>
      </c>
      <c r="X559" t="str">
        <f t="shared" si="107"/>
        <v>Allowed</v>
      </c>
    </row>
    <row r="560" spans="1:24" x14ac:dyDescent="0.3">
      <c r="A560" t="s">
        <v>23</v>
      </c>
      <c r="B560" t="s">
        <v>29</v>
      </c>
      <c r="C560" t="s">
        <v>27</v>
      </c>
      <c r="D560" s="3">
        <v>45657</v>
      </c>
      <c r="E560" s="6">
        <v>0.86599999999999999</v>
      </c>
      <c r="F560">
        <v>0</v>
      </c>
      <c r="G560" t="s">
        <v>17</v>
      </c>
      <c r="H560" s="6">
        <v>0.7</v>
      </c>
      <c r="I560" s="8">
        <v>0.1169869727847285</v>
      </c>
      <c r="J560" s="5">
        <f t="shared" si="96"/>
        <v>1.9288787744816144E-2</v>
      </c>
      <c r="K560" s="5" cm="1">
        <f t="array" ref="K560">_xlfn.STDEV.S(IF($C:$C=C560,$I:$I))</f>
        <v>0.27585788879837708</v>
      </c>
      <c r="L560" s="7">
        <f t="shared" si="99"/>
        <v>0.35416128741317016</v>
      </c>
      <c r="M560">
        <f t="shared" si="97"/>
        <v>0</v>
      </c>
      <c r="N560" s="9">
        <f t="shared" si="100"/>
        <v>-0.23714285714285721</v>
      </c>
      <c r="O560">
        <f>COUNTIFS($B$2:B560,B560,$C$2:C560,C560,$D$2:D560,"&lt;"&amp;D560,$F$2:F560,1)</f>
        <v>2</v>
      </c>
      <c r="P560">
        <f t="shared" si="98"/>
        <v>0</v>
      </c>
      <c r="Q560" t="str">
        <f t="shared" si="101"/>
        <v>Monitor</v>
      </c>
      <c r="R560">
        <v>0</v>
      </c>
      <c r="S560">
        <f t="shared" si="102"/>
        <v>0</v>
      </c>
      <c r="T560">
        <f t="shared" si="103"/>
        <v>0</v>
      </c>
      <c r="U560" t="str">
        <f t="shared" si="104"/>
        <v>Improved Enough</v>
      </c>
      <c r="V560" t="str">
        <f t="shared" si="105"/>
        <v>Close</v>
      </c>
      <c r="W560" t="str">
        <f t="shared" si="106"/>
        <v>Normal</v>
      </c>
      <c r="X560" t="str">
        <f t="shared" si="107"/>
        <v>Allowed</v>
      </c>
    </row>
    <row r="561" spans="1:24" x14ac:dyDescent="0.3">
      <c r="A561" t="s">
        <v>23</v>
      </c>
      <c r="B561" t="s">
        <v>29</v>
      </c>
      <c r="C561" t="s">
        <v>27</v>
      </c>
      <c r="D561" s="3">
        <v>45688</v>
      </c>
      <c r="E561" s="6">
        <v>0.67889999999999995</v>
      </c>
      <c r="F561">
        <v>0</v>
      </c>
      <c r="G561" t="s">
        <v>17</v>
      </c>
      <c r="H561" s="6">
        <v>0.7</v>
      </c>
      <c r="I561" s="8">
        <v>-0.21605080831408779</v>
      </c>
      <c r="J561" s="5">
        <f t="shared" si="96"/>
        <v>1.9288787744816144E-2</v>
      </c>
      <c r="K561" s="5" cm="1">
        <f t="array" ref="K561">_xlfn.STDEV.S(IF($C:$C=C561,$I:$I))</f>
        <v>0.27585788879837708</v>
      </c>
      <c r="L561" s="7">
        <f t="shared" si="99"/>
        <v>-0.85311896311550572</v>
      </c>
      <c r="M561">
        <f t="shared" si="97"/>
        <v>1</v>
      </c>
      <c r="N561" s="9">
        <f t="shared" si="100"/>
        <v>3.0142857142857155E-2</v>
      </c>
      <c r="O561">
        <f>COUNTIFS($B$2:B561,B561,$C$2:C561,C561,$D$2:D561,"&lt;"&amp;D561,$F$2:F561,1)</f>
        <v>2</v>
      </c>
      <c r="P561">
        <f t="shared" si="98"/>
        <v>0</v>
      </c>
      <c r="Q561" t="str">
        <f t="shared" si="101"/>
        <v>Intervene</v>
      </c>
      <c r="R561">
        <v>0</v>
      </c>
      <c r="S561">
        <f t="shared" si="102"/>
        <v>1</v>
      </c>
      <c r="T561">
        <f t="shared" si="103"/>
        <v>1</v>
      </c>
      <c r="U561" t="str">
        <f t="shared" si="104"/>
        <v>Not Improved Enough</v>
      </c>
      <c r="V561" t="str">
        <f t="shared" si="105"/>
        <v>Far</v>
      </c>
      <c r="W561" t="str">
        <f t="shared" si="106"/>
        <v>Abnormal</v>
      </c>
      <c r="X561" t="str">
        <f t="shared" si="107"/>
        <v>Allowed</v>
      </c>
    </row>
    <row r="562" spans="1:24" x14ac:dyDescent="0.3">
      <c r="A562" t="s">
        <v>23</v>
      </c>
      <c r="B562" t="s">
        <v>29</v>
      </c>
      <c r="C562" t="s">
        <v>27</v>
      </c>
      <c r="D562" s="3">
        <v>45716</v>
      </c>
      <c r="E562" s="6">
        <v>0.72040000000000004</v>
      </c>
      <c r="F562">
        <v>0</v>
      </c>
      <c r="G562" t="s">
        <v>17</v>
      </c>
      <c r="H562" s="6">
        <v>0.7</v>
      </c>
      <c r="I562" s="8">
        <v>6.1128295772573421E-2</v>
      </c>
      <c r="J562" s="5">
        <f t="shared" si="96"/>
        <v>1.9288787744816144E-2</v>
      </c>
      <c r="K562" s="5" cm="1">
        <f t="array" ref="K562">_xlfn.STDEV.S(IF($C:$C=C562,$I:$I))</f>
        <v>0.27585788879837708</v>
      </c>
      <c r="L562" s="7">
        <f t="shared" si="99"/>
        <v>0.15167051487999145</v>
      </c>
      <c r="M562">
        <f t="shared" si="97"/>
        <v>0</v>
      </c>
      <c r="N562" s="9">
        <f t="shared" si="100"/>
        <v>-2.9142857142857265E-2</v>
      </c>
      <c r="O562">
        <f>COUNTIFS($B$2:B562,B562,$C$2:C562,C562,$D$2:D562,"&lt;"&amp;D562,$F$2:F562,1)</f>
        <v>2</v>
      </c>
      <c r="P562">
        <f t="shared" si="98"/>
        <v>0</v>
      </c>
      <c r="Q562" t="str">
        <f t="shared" si="101"/>
        <v>Monitor</v>
      </c>
      <c r="R562">
        <v>0</v>
      </c>
      <c r="S562">
        <f t="shared" si="102"/>
        <v>0</v>
      </c>
      <c r="T562">
        <f t="shared" si="103"/>
        <v>0</v>
      </c>
      <c r="U562" t="str">
        <f t="shared" si="104"/>
        <v>Improved Enough</v>
      </c>
      <c r="V562" t="str">
        <f t="shared" si="105"/>
        <v>Close</v>
      </c>
      <c r="W562" t="str">
        <f t="shared" si="106"/>
        <v>Normal</v>
      </c>
      <c r="X562" t="str">
        <f t="shared" si="107"/>
        <v>Allowed</v>
      </c>
    </row>
    <row r="563" spans="1:24" x14ac:dyDescent="0.3">
      <c r="A563" t="s">
        <v>23</v>
      </c>
      <c r="B563" t="s">
        <v>29</v>
      </c>
      <c r="C563" t="s">
        <v>27</v>
      </c>
      <c r="D563" s="3">
        <v>45747</v>
      </c>
      <c r="E563" s="6">
        <v>0.85450000000000004</v>
      </c>
      <c r="F563">
        <v>0</v>
      </c>
      <c r="G563" t="s">
        <v>17</v>
      </c>
      <c r="H563" s="6">
        <v>0.7</v>
      </c>
      <c r="I563" s="8">
        <v>0.18614658523042751</v>
      </c>
      <c r="J563" s="5">
        <f t="shared" si="96"/>
        <v>1.9288787744816144E-2</v>
      </c>
      <c r="K563" s="5" cm="1">
        <f t="array" ref="K563">_xlfn.STDEV.S(IF($C:$C=C563,$I:$I))</f>
        <v>0.27585788879837708</v>
      </c>
      <c r="L563" s="7">
        <f t="shared" si="99"/>
        <v>0.60486868152451767</v>
      </c>
      <c r="M563">
        <f t="shared" si="97"/>
        <v>-1</v>
      </c>
      <c r="N563" s="9">
        <f t="shared" si="100"/>
        <v>-0.22071428571428583</v>
      </c>
      <c r="O563">
        <f>COUNTIFS($B$2:B563,B563,$C$2:C563,C563,$D$2:D563,"&lt;"&amp;D563,$F$2:F563,1)</f>
        <v>2</v>
      </c>
      <c r="P563">
        <f t="shared" si="98"/>
        <v>0</v>
      </c>
      <c r="Q563" t="str">
        <f t="shared" si="101"/>
        <v>Monitor</v>
      </c>
      <c r="R563">
        <v>0</v>
      </c>
      <c r="S563">
        <f t="shared" si="102"/>
        <v>0</v>
      </c>
      <c r="T563">
        <f t="shared" si="103"/>
        <v>0</v>
      </c>
      <c r="U563" t="str">
        <f t="shared" si="104"/>
        <v>Improved Enough</v>
      </c>
      <c r="V563" t="str">
        <f t="shared" si="105"/>
        <v>Close</v>
      </c>
      <c r="W563" t="str">
        <f t="shared" si="106"/>
        <v>Normal</v>
      </c>
      <c r="X563" t="str">
        <f t="shared" si="107"/>
        <v>Allowed</v>
      </c>
    </row>
    <row r="564" spans="1:24" x14ac:dyDescent="0.3">
      <c r="A564" t="s">
        <v>23</v>
      </c>
      <c r="B564" t="s">
        <v>29</v>
      </c>
      <c r="C564" t="s">
        <v>27</v>
      </c>
      <c r="D564" s="3">
        <v>45777</v>
      </c>
      <c r="E564" s="6">
        <v>0.75790000000000002</v>
      </c>
      <c r="F564">
        <v>0</v>
      </c>
      <c r="G564" t="s">
        <v>17</v>
      </c>
      <c r="H564" s="6">
        <v>0.7</v>
      </c>
      <c r="I564" s="8">
        <v>-0.11304856641310709</v>
      </c>
      <c r="J564" s="5">
        <f t="shared" si="96"/>
        <v>1.9288787744816144E-2</v>
      </c>
      <c r="K564" s="5" cm="1">
        <f t="array" ref="K564">_xlfn.STDEV.S(IF($C:$C=C564,$I:$I))</f>
        <v>0.27585788879837708</v>
      </c>
      <c r="L564" s="7">
        <f t="shared" si="99"/>
        <v>-0.47973017822465774</v>
      </c>
      <c r="M564">
        <f t="shared" si="97"/>
        <v>0</v>
      </c>
      <c r="N564" s="9">
        <f t="shared" si="100"/>
        <v>-8.271428571428581E-2</v>
      </c>
      <c r="O564">
        <f>COUNTIFS($B$2:B564,B564,$C$2:C564,C564,$D$2:D564,"&lt;"&amp;D564,$F$2:F564,1)</f>
        <v>2</v>
      </c>
      <c r="P564">
        <f t="shared" si="98"/>
        <v>0</v>
      </c>
      <c r="Q564" t="str">
        <f t="shared" si="101"/>
        <v>Monitor</v>
      </c>
      <c r="R564">
        <v>0</v>
      </c>
      <c r="S564">
        <f t="shared" si="102"/>
        <v>0</v>
      </c>
      <c r="T564">
        <f t="shared" si="103"/>
        <v>0</v>
      </c>
      <c r="U564" t="str">
        <f t="shared" si="104"/>
        <v>Not Improved Enough</v>
      </c>
      <c r="V564" t="str">
        <f t="shared" si="105"/>
        <v>Close</v>
      </c>
      <c r="W564" t="str">
        <f t="shared" si="106"/>
        <v>Normal</v>
      </c>
      <c r="X564" t="str">
        <f t="shared" si="107"/>
        <v>Allowed</v>
      </c>
    </row>
    <row r="565" spans="1:24" x14ac:dyDescent="0.3">
      <c r="A565" t="s">
        <v>23</v>
      </c>
      <c r="B565" t="s">
        <v>29</v>
      </c>
      <c r="C565" t="s">
        <v>27</v>
      </c>
      <c r="D565" s="3">
        <v>45808</v>
      </c>
      <c r="E565" s="6">
        <v>0.85089999999999999</v>
      </c>
      <c r="F565">
        <v>0</v>
      </c>
      <c r="G565" t="s">
        <v>17</v>
      </c>
      <c r="H565" s="6">
        <v>0.7</v>
      </c>
      <c r="I565" s="8">
        <v>0.1227074811980472</v>
      </c>
      <c r="J565" s="5">
        <f t="shared" si="96"/>
        <v>1.9288787744816144E-2</v>
      </c>
      <c r="K565" s="5" cm="1">
        <f t="array" ref="K565">_xlfn.STDEV.S(IF($C:$C=C565,$I:$I))</f>
        <v>0.27585788879837708</v>
      </c>
      <c r="L565" s="7">
        <f t="shared" si="99"/>
        <v>0.37489844464378969</v>
      </c>
      <c r="M565">
        <f t="shared" si="97"/>
        <v>0</v>
      </c>
      <c r="N565" s="9">
        <f t="shared" si="100"/>
        <v>-0.21557142857142864</v>
      </c>
      <c r="O565">
        <f>COUNTIFS($B$2:B565,B565,$C$2:C565,C565,$D$2:D565,"&lt;"&amp;D565,$F$2:F565,1)</f>
        <v>2</v>
      </c>
      <c r="P565">
        <f t="shared" si="98"/>
        <v>0</v>
      </c>
      <c r="Q565" t="str">
        <f t="shared" si="101"/>
        <v>Monitor</v>
      </c>
      <c r="R565">
        <v>0</v>
      </c>
      <c r="S565">
        <f t="shared" si="102"/>
        <v>0</v>
      </c>
      <c r="T565">
        <f t="shared" si="103"/>
        <v>0</v>
      </c>
      <c r="U565" t="str">
        <f t="shared" si="104"/>
        <v>Improved Enough</v>
      </c>
      <c r="V565" t="str">
        <f t="shared" si="105"/>
        <v>Close</v>
      </c>
      <c r="W565" t="str">
        <f t="shared" si="106"/>
        <v>Normal</v>
      </c>
      <c r="X565" t="str">
        <f t="shared" si="107"/>
        <v>Allowed</v>
      </c>
    </row>
    <row r="566" spans="1:24" x14ac:dyDescent="0.3">
      <c r="A566" t="s">
        <v>23</v>
      </c>
      <c r="B566" t="s">
        <v>29</v>
      </c>
      <c r="C566" t="s">
        <v>27</v>
      </c>
      <c r="D566" s="3">
        <v>45838</v>
      </c>
      <c r="E566" s="6">
        <v>0.83160000000000001</v>
      </c>
      <c r="F566">
        <v>0</v>
      </c>
      <c r="G566" t="s">
        <v>17</v>
      </c>
      <c r="H566" s="6">
        <v>0.7</v>
      </c>
      <c r="I566" s="8">
        <v>-2.268186625925489E-2</v>
      </c>
      <c r="J566" s="5">
        <f t="shared" si="96"/>
        <v>1.9288787744816144E-2</v>
      </c>
      <c r="K566" s="5" cm="1">
        <f t="array" ref="K566">_xlfn.STDEV.S(IF($C:$C=C566,$I:$I))</f>
        <v>0.27585788879837708</v>
      </c>
      <c r="L566" s="7">
        <f t="shared" si="99"/>
        <v>-0.15214592624808759</v>
      </c>
      <c r="M566">
        <f t="shared" si="97"/>
        <v>0</v>
      </c>
      <c r="N566" s="9">
        <f t="shared" si="100"/>
        <v>-0.18800000000000008</v>
      </c>
      <c r="O566">
        <f>COUNTIFS($B$2:B566,B566,$C$2:C566,C566,$D$2:D566,"&lt;"&amp;D566,$F$2:F566,1)</f>
        <v>2</v>
      </c>
      <c r="P566">
        <f t="shared" si="98"/>
        <v>0</v>
      </c>
      <c r="Q566" t="str">
        <f t="shared" si="101"/>
        <v>Monitor</v>
      </c>
      <c r="R566">
        <v>0</v>
      </c>
      <c r="S566">
        <f t="shared" si="102"/>
        <v>0</v>
      </c>
      <c r="T566">
        <f t="shared" si="103"/>
        <v>0</v>
      </c>
      <c r="U566" t="str">
        <f t="shared" si="104"/>
        <v>Not Improved Enough</v>
      </c>
      <c r="V566" t="str">
        <f t="shared" si="105"/>
        <v>Close</v>
      </c>
      <c r="W566" t="str">
        <f t="shared" si="106"/>
        <v>Normal</v>
      </c>
      <c r="X566" t="str">
        <f t="shared" si="107"/>
        <v>Allowed</v>
      </c>
    </row>
    <row r="567" spans="1:24" x14ac:dyDescent="0.3">
      <c r="A567" t="s">
        <v>23</v>
      </c>
      <c r="B567" t="s">
        <v>29</v>
      </c>
      <c r="C567" t="s">
        <v>27</v>
      </c>
      <c r="D567" s="3">
        <v>45869</v>
      </c>
      <c r="E567" s="6">
        <v>0.86599999999999999</v>
      </c>
      <c r="F567">
        <v>0</v>
      </c>
      <c r="G567" t="s">
        <v>17</v>
      </c>
      <c r="H567" s="6">
        <v>0.7</v>
      </c>
      <c r="I567" s="8">
        <v>4.1366041366041349E-2</v>
      </c>
      <c r="J567" s="5">
        <f t="shared" si="96"/>
        <v>1.9288787744816144E-2</v>
      </c>
      <c r="K567" s="5" cm="1">
        <f t="array" ref="K567">_xlfn.STDEV.S(IF($C:$C=C567,$I:$I))</f>
        <v>0.27585788879837708</v>
      </c>
      <c r="L567" s="7">
        <f t="shared" si="99"/>
        <v>8.0031257099054148E-2</v>
      </c>
      <c r="M567">
        <f t="shared" si="97"/>
        <v>0</v>
      </c>
      <c r="N567" s="9">
        <f t="shared" si="100"/>
        <v>-0.23714285714285721</v>
      </c>
      <c r="O567">
        <f>COUNTIFS($B$2:B567,B567,$C$2:C567,C567,$D$2:D567,"&lt;"&amp;D567,$F$2:F567,1)</f>
        <v>2</v>
      </c>
      <c r="P567">
        <f t="shared" si="98"/>
        <v>0</v>
      </c>
      <c r="Q567" t="str">
        <f t="shared" si="101"/>
        <v>Monitor</v>
      </c>
      <c r="R567">
        <v>0</v>
      </c>
      <c r="S567">
        <f t="shared" si="102"/>
        <v>0</v>
      </c>
      <c r="T567">
        <f t="shared" si="103"/>
        <v>0</v>
      </c>
      <c r="U567" t="str">
        <f t="shared" si="104"/>
        <v>Improved Enough</v>
      </c>
      <c r="V567" t="str">
        <f t="shared" si="105"/>
        <v>Close</v>
      </c>
      <c r="W567" t="str">
        <f t="shared" si="106"/>
        <v>Normal</v>
      </c>
      <c r="X567" t="str">
        <f t="shared" si="107"/>
        <v>Allowed</v>
      </c>
    </row>
    <row r="568" spans="1:24" x14ac:dyDescent="0.3">
      <c r="A568" t="s">
        <v>23</v>
      </c>
      <c r="B568" t="s">
        <v>29</v>
      </c>
      <c r="C568" t="s">
        <v>27</v>
      </c>
      <c r="D568" s="3">
        <v>45900</v>
      </c>
      <c r="E568" s="6">
        <v>0.78300000000000003</v>
      </c>
      <c r="F568">
        <v>0</v>
      </c>
      <c r="G568" t="s">
        <v>17</v>
      </c>
      <c r="H568" s="6">
        <v>0.7</v>
      </c>
      <c r="I568" s="8">
        <v>-9.5842956120092332E-2</v>
      </c>
      <c r="J568" s="5">
        <f t="shared" si="96"/>
        <v>1.9288787744816144E-2</v>
      </c>
      <c r="K568" s="5" cm="1">
        <f t="array" ref="K568">_xlfn.STDEV.S(IF($C:$C=C568,$I:$I))</f>
        <v>0.27585788879837708</v>
      </c>
      <c r="L568" s="7">
        <f t="shared" si="99"/>
        <v>-0.4173588957938324</v>
      </c>
      <c r="M568">
        <f t="shared" si="97"/>
        <v>0</v>
      </c>
      <c r="N568" s="9">
        <f t="shared" si="100"/>
        <v>-0.11857142857142869</v>
      </c>
      <c r="O568">
        <f>COUNTIFS($B$2:B568,B568,$C$2:C568,C568,$D$2:D568,"&lt;"&amp;D568,$F$2:F568,1)</f>
        <v>2</v>
      </c>
      <c r="P568">
        <f t="shared" si="98"/>
        <v>0</v>
      </c>
      <c r="Q568" t="str">
        <f t="shared" si="101"/>
        <v>Monitor</v>
      </c>
      <c r="R568">
        <v>0</v>
      </c>
      <c r="S568">
        <f t="shared" si="102"/>
        <v>0</v>
      </c>
      <c r="T568">
        <f t="shared" si="103"/>
        <v>0</v>
      </c>
      <c r="U568" t="str">
        <f t="shared" si="104"/>
        <v>Not Improved Enough</v>
      </c>
      <c r="V568" t="str">
        <f t="shared" si="105"/>
        <v>Close</v>
      </c>
      <c r="W568" t="str">
        <f t="shared" si="106"/>
        <v>Normal</v>
      </c>
      <c r="X568" t="str">
        <f t="shared" si="107"/>
        <v>Allowed</v>
      </c>
    </row>
    <row r="569" spans="1:24" x14ac:dyDescent="0.3">
      <c r="A569" t="s">
        <v>23</v>
      </c>
      <c r="B569" t="s">
        <v>29</v>
      </c>
      <c r="C569" t="s">
        <v>27</v>
      </c>
      <c r="D569" s="3">
        <v>45930</v>
      </c>
      <c r="E569" s="6">
        <v>0.77400000000000002</v>
      </c>
      <c r="F569">
        <v>0</v>
      </c>
      <c r="G569" t="s">
        <v>17</v>
      </c>
      <c r="H569" s="6">
        <v>0.7</v>
      </c>
      <c r="I569" s="8">
        <v>-1.149425287356323E-2</v>
      </c>
      <c r="J569" s="5">
        <f t="shared" si="96"/>
        <v>1.9288787744816144E-2</v>
      </c>
      <c r="K569" s="5" cm="1">
        <f t="array" ref="K569">_xlfn.STDEV.S(IF($C:$C=C569,$I:$I))</f>
        <v>0.27585788879837708</v>
      </c>
      <c r="L569" s="7">
        <f t="shared" si="99"/>
        <v>-0.11159021317994106</v>
      </c>
      <c r="M569">
        <f t="shared" si="97"/>
        <v>0</v>
      </c>
      <c r="N569" s="9">
        <f t="shared" si="100"/>
        <v>-0.10571428571428582</v>
      </c>
      <c r="O569">
        <f>COUNTIFS($B$2:B569,B569,$C$2:C569,C569,$D$2:D569,"&lt;"&amp;D569,$F$2:F569,1)</f>
        <v>2</v>
      </c>
      <c r="P569">
        <f t="shared" si="98"/>
        <v>0</v>
      </c>
      <c r="Q569" t="str">
        <f t="shared" si="101"/>
        <v>Monitor</v>
      </c>
      <c r="R569">
        <v>0</v>
      </c>
      <c r="S569">
        <f t="shared" si="102"/>
        <v>0</v>
      </c>
      <c r="T569">
        <f t="shared" si="103"/>
        <v>0</v>
      </c>
      <c r="U569" t="str">
        <f t="shared" si="104"/>
        <v>Not Improved Enough</v>
      </c>
      <c r="V569" t="str">
        <f t="shared" si="105"/>
        <v>Close</v>
      </c>
      <c r="W569" t="str">
        <f t="shared" si="106"/>
        <v>Normal</v>
      </c>
      <c r="X569" t="str">
        <f t="shared" si="107"/>
        <v>Allowed</v>
      </c>
    </row>
    <row r="570" spans="1:24" x14ac:dyDescent="0.3">
      <c r="A570" t="s">
        <v>23</v>
      </c>
      <c r="B570" t="s">
        <v>29</v>
      </c>
      <c r="C570" t="s">
        <v>27</v>
      </c>
      <c r="D570" s="3">
        <v>45961</v>
      </c>
      <c r="E570" s="6">
        <v>0.82</v>
      </c>
      <c r="F570">
        <v>0</v>
      </c>
      <c r="G570" t="s">
        <v>17</v>
      </c>
      <c r="H570" s="6">
        <v>0.7</v>
      </c>
      <c r="I570" s="8">
        <v>5.9431524547803517E-2</v>
      </c>
      <c r="J570" s="5">
        <f t="shared" si="96"/>
        <v>1.9288787744816144E-2</v>
      </c>
      <c r="K570" s="5" cm="1">
        <f t="array" ref="K570">_xlfn.STDEV.S(IF($C:$C=C570,$I:$I))</f>
        <v>0.27585788879837708</v>
      </c>
      <c r="L570" s="7">
        <f t="shared" si="99"/>
        <v>0.14551962598512982</v>
      </c>
      <c r="M570">
        <f t="shared" si="97"/>
        <v>0</v>
      </c>
      <c r="N570" s="9">
        <f t="shared" si="100"/>
        <v>-0.17142857142857143</v>
      </c>
      <c r="O570">
        <f>COUNTIFS($B$2:B570,B570,$C$2:C570,C570,$D$2:D570,"&lt;"&amp;D570,$F$2:F570,1)</f>
        <v>2</v>
      </c>
      <c r="P570">
        <f t="shared" si="98"/>
        <v>0</v>
      </c>
      <c r="Q570" t="str">
        <f t="shared" si="101"/>
        <v>Monitor</v>
      </c>
      <c r="R570">
        <v>0</v>
      </c>
      <c r="S570">
        <f t="shared" si="102"/>
        <v>0</v>
      </c>
      <c r="T570">
        <f t="shared" si="103"/>
        <v>0</v>
      </c>
      <c r="U570" t="str">
        <f t="shared" si="104"/>
        <v>Improved Enough</v>
      </c>
      <c r="V570" t="str">
        <f t="shared" si="105"/>
        <v>Close</v>
      </c>
      <c r="W570" t="str">
        <f t="shared" si="106"/>
        <v>Normal</v>
      </c>
      <c r="X570" t="str">
        <f t="shared" si="107"/>
        <v>Allowed</v>
      </c>
    </row>
    <row r="571" spans="1:24" x14ac:dyDescent="0.3">
      <c r="A571" t="s">
        <v>23</v>
      </c>
      <c r="B571" t="s">
        <v>29</v>
      </c>
      <c r="C571" t="s">
        <v>27</v>
      </c>
      <c r="D571" s="3">
        <v>45991</v>
      </c>
      <c r="E571" s="6">
        <v>0.81599999999999995</v>
      </c>
      <c r="F571">
        <v>0</v>
      </c>
      <c r="G571" t="s">
        <v>17</v>
      </c>
      <c r="H571" s="6">
        <v>0.7</v>
      </c>
      <c r="I571" s="8">
        <v>-4.8780487804878092E-3</v>
      </c>
      <c r="J571" s="5">
        <f t="shared" si="96"/>
        <v>1.9288787744816144E-2</v>
      </c>
      <c r="K571" s="5" cm="1">
        <f t="array" ref="K571">_xlfn.STDEV.S(IF($C:$C=C571,$I:$I))</f>
        <v>0.27585788879837708</v>
      </c>
      <c r="L571" s="7">
        <f t="shared" si="99"/>
        <v>-8.7606109908886287E-2</v>
      </c>
      <c r="M571">
        <f t="shared" si="97"/>
        <v>0</v>
      </c>
      <c r="N571" s="9">
        <f t="shared" si="100"/>
        <v>-0.1657142857142857</v>
      </c>
      <c r="O571">
        <f>COUNTIFS($B$2:B571,B571,$C$2:C571,C571,$D$2:D571,"&lt;"&amp;D571,$F$2:F571,1)</f>
        <v>2</v>
      </c>
      <c r="P571">
        <f t="shared" si="98"/>
        <v>0</v>
      </c>
      <c r="Q571" t="str">
        <f t="shared" si="101"/>
        <v>Monitor</v>
      </c>
      <c r="R571">
        <v>0</v>
      </c>
      <c r="S571">
        <f t="shared" si="102"/>
        <v>0</v>
      </c>
      <c r="T571">
        <f t="shared" si="103"/>
        <v>0</v>
      </c>
      <c r="U571" t="str">
        <f t="shared" si="104"/>
        <v>Not Improved Enough</v>
      </c>
      <c r="V571" t="str">
        <f t="shared" si="105"/>
        <v>Close</v>
      </c>
      <c r="W571" t="str">
        <f t="shared" si="106"/>
        <v>Normal</v>
      </c>
      <c r="X571" t="str">
        <f t="shared" si="107"/>
        <v>Allowed</v>
      </c>
    </row>
    <row r="572" spans="1:24" x14ac:dyDescent="0.3">
      <c r="A572" t="s">
        <v>10</v>
      </c>
      <c r="B572" t="s">
        <v>30</v>
      </c>
      <c r="C572" t="s">
        <v>12</v>
      </c>
      <c r="D572" s="3">
        <v>45535</v>
      </c>
      <c r="E572" s="6">
        <v>0.24603481624758219</v>
      </c>
      <c r="F572">
        <v>1</v>
      </c>
      <c r="G572" t="s">
        <v>13</v>
      </c>
      <c r="H572" s="6">
        <v>0.27</v>
      </c>
      <c r="I572" s="8">
        <v>-1.449933045677701E-2</v>
      </c>
      <c r="J572" s="5">
        <f t="shared" si="96"/>
        <v>1.2504550363164104E-2</v>
      </c>
      <c r="K572" s="5" cm="1">
        <f t="array" ref="K572">_xlfn.STDEV.S(IF($C:$C=C572,$I:$I))</f>
        <v>5.3924507863027986E-2</v>
      </c>
      <c r="L572" s="7">
        <f t="shared" si="99"/>
        <v>-0.50077194748875331</v>
      </c>
      <c r="M572">
        <f t="shared" si="97"/>
        <v>1</v>
      </c>
      <c r="N572" s="9">
        <f t="shared" si="100"/>
        <v>-8.8759939823769715E-2</v>
      </c>
      <c r="O572">
        <f>COUNTIFS($B$2:B572,B572,$C$2:C572,C572,$D$2:D572,"&lt;"&amp;D572,$F$2:F572,1)</f>
        <v>0</v>
      </c>
      <c r="P572">
        <f t="shared" si="98"/>
        <v>0</v>
      </c>
      <c r="Q572" t="str">
        <f t="shared" si="101"/>
        <v>Monitor</v>
      </c>
      <c r="R572">
        <v>0</v>
      </c>
      <c r="S572">
        <f t="shared" si="102"/>
        <v>0</v>
      </c>
      <c r="T572">
        <f t="shared" si="103"/>
        <v>0</v>
      </c>
      <c r="U572" t="str">
        <f t="shared" si="104"/>
        <v>Not Improved Enough</v>
      </c>
      <c r="V572" t="str">
        <f t="shared" si="105"/>
        <v>Close</v>
      </c>
      <c r="W572" t="str">
        <f t="shared" si="106"/>
        <v>Abnormal</v>
      </c>
      <c r="X572" t="str">
        <f t="shared" si="107"/>
        <v>Allowed</v>
      </c>
    </row>
    <row r="573" spans="1:24" x14ac:dyDescent="0.3">
      <c r="A573" t="s">
        <v>10</v>
      </c>
      <c r="B573" t="s">
        <v>30</v>
      </c>
      <c r="C573" t="s">
        <v>12</v>
      </c>
      <c r="D573" s="3">
        <v>45565</v>
      </c>
      <c r="E573" s="6">
        <v>0.2068173113749521</v>
      </c>
      <c r="F573">
        <v>0</v>
      </c>
      <c r="G573" t="s">
        <v>13</v>
      </c>
      <c r="H573" s="6">
        <v>0.27</v>
      </c>
      <c r="I573" s="8">
        <v>0.15939819197444779</v>
      </c>
      <c r="J573" s="5">
        <f t="shared" si="96"/>
        <v>1.2504550363164104E-2</v>
      </c>
      <c r="K573" s="5" cm="1">
        <f t="array" ref="K573">_xlfn.STDEV.S(IF($C:$C=C573,$I:$I))</f>
        <v>5.3924507863027986E-2</v>
      </c>
      <c r="L573" s="7">
        <f t="shared" si="99"/>
        <v>2.7240608664320827</v>
      </c>
      <c r="M573">
        <f t="shared" si="97"/>
        <v>-1</v>
      </c>
      <c r="N573" s="9">
        <f t="shared" si="100"/>
        <v>-0.23400995787054782</v>
      </c>
      <c r="O573">
        <f>COUNTIFS($B$2:B573,B573,$C$2:C573,C573,$D$2:D573,"&lt;"&amp;D573,$F$2:F573,1)</f>
        <v>1</v>
      </c>
      <c r="P573">
        <f t="shared" si="98"/>
        <v>1</v>
      </c>
      <c r="Q573" t="str">
        <f t="shared" si="101"/>
        <v>Monitor</v>
      </c>
      <c r="R573">
        <v>1</v>
      </c>
      <c r="S573">
        <f t="shared" si="102"/>
        <v>0</v>
      </c>
      <c r="T573">
        <f t="shared" si="103"/>
        <v>0</v>
      </c>
      <c r="U573" t="str">
        <f t="shared" si="104"/>
        <v>Improved Enough</v>
      </c>
      <c r="V573" t="str">
        <f t="shared" si="105"/>
        <v>Close</v>
      </c>
      <c r="W573" t="str">
        <f t="shared" si="106"/>
        <v>Normal</v>
      </c>
      <c r="X573" t="str">
        <f t="shared" si="107"/>
        <v>Allowed</v>
      </c>
    </row>
    <row r="574" spans="1:24" x14ac:dyDescent="0.3">
      <c r="A574" t="s">
        <v>10</v>
      </c>
      <c r="B574" t="s">
        <v>30</v>
      </c>
      <c r="C574" t="s">
        <v>12</v>
      </c>
      <c r="D574" s="3">
        <v>45596</v>
      </c>
      <c r="E574" s="6">
        <v>0.2016806722689076</v>
      </c>
      <c r="F574">
        <v>0</v>
      </c>
      <c r="G574" t="s">
        <v>13</v>
      </c>
      <c r="H574" s="6">
        <v>0.27</v>
      </c>
      <c r="I574" s="8">
        <v>2.483660130718927E-2</v>
      </c>
      <c r="J574" s="5">
        <f t="shared" si="96"/>
        <v>1.2504550363164104E-2</v>
      </c>
      <c r="K574" s="5" cm="1">
        <f t="array" ref="K574">_xlfn.STDEV.S(IF($C:$C=C574,$I:$I))</f>
        <v>5.3924507863027986E-2</v>
      </c>
      <c r="L574" s="7">
        <f t="shared" si="99"/>
        <v>0.2286910244104487</v>
      </c>
      <c r="M574">
        <f t="shared" si="97"/>
        <v>0</v>
      </c>
      <c r="N574" s="9">
        <f t="shared" si="100"/>
        <v>-0.25303454715219414</v>
      </c>
      <c r="O574">
        <f>COUNTIFS($B$2:B574,B574,$C$2:C574,C574,$D$2:D574,"&lt;"&amp;D574,$F$2:F574,1)</f>
        <v>1</v>
      </c>
      <c r="P574">
        <f t="shared" si="98"/>
        <v>0</v>
      </c>
      <c r="Q574" t="str">
        <f t="shared" si="101"/>
        <v>Monitor</v>
      </c>
      <c r="R574">
        <v>0</v>
      </c>
      <c r="S574">
        <f t="shared" si="102"/>
        <v>0</v>
      </c>
      <c r="T574">
        <f t="shared" si="103"/>
        <v>0</v>
      </c>
      <c r="U574" t="str">
        <f t="shared" si="104"/>
        <v>Improved Enough</v>
      </c>
      <c r="V574" t="str">
        <f t="shared" si="105"/>
        <v>Close</v>
      </c>
      <c r="W574" t="str">
        <f t="shared" si="106"/>
        <v>Normal</v>
      </c>
      <c r="X574" t="str">
        <f t="shared" si="107"/>
        <v>Allowed</v>
      </c>
    </row>
    <row r="575" spans="1:24" x14ac:dyDescent="0.3">
      <c r="A575" t="s">
        <v>10</v>
      </c>
      <c r="B575" t="s">
        <v>30</v>
      </c>
      <c r="C575" t="s">
        <v>12</v>
      </c>
      <c r="D575" s="3">
        <v>45626</v>
      </c>
      <c r="E575" s="6">
        <v>0.18714340099999999</v>
      </c>
      <c r="F575">
        <v>0</v>
      </c>
      <c r="G575" t="s">
        <v>13</v>
      </c>
      <c r="H575" s="6">
        <v>0.27</v>
      </c>
      <c r="I575" s="8">
        <v>7.2080636708333548E-2</v>
      </c>
      <c r="J575" s="5">
        <f t="shared" si="96"/>
        <v>1.2504550363164104E-2</v>
      </c>
      <c r="K575" s="5" cm="1">
        <f t="array" ref="K575">_xlfn.STDEV.S(IF($C:$C=C575,$I:$I))</f>
        <v>5.3924507863027986E-2</v>
      </c>
      <c r="L575" s="7">
        <f t="shared" si="99"/>
        <v>1.1048053789660326</v>
      </c>
      <c r="M575">
        <f t="shared" si="97"/>
        <v>-1</v>
      </c>
      <c r="N575" s="9">
        <f t="shared" si="100"/>
        <v>-0.30687629259259269</v>
      </c>
      <c r="O575">
        <f>COUNTIFS($B$2:B575,B575,$C$2:C575,C575,$D$2:D575,"&lt;"&amp;D575,$F$2:F575,1)</f>
        <v>1</v>
      </c>
      <c r="P575">
        <f t="shared" si="98"/>
        <v>0</v>
      </c>
      <c r="Q575" t="str">
        <f t="shared" si="101"/>
        <v>Monitor</v>
      </c>
      <c r="R575">
        <v>0</v>
      </c>
      <c r="S575">
        <f t="shared" si="102"/>
        <v>0</v>
      </c>
      <c r="T575">
        <f t="shared" si="103"/>
        <v>0</v>
      </c>
      <c r="U575" t="str">
        <f t="shared" si="104"/>
        <v>Improved Enough</v>
      </c>
      <c r="V575" t="str">
        <f t="shared" si="105"/>
        <v>Close</v>
      </c>
      <c r="W575" t="str">
        <f t="shared" si="106"/>
        <v>Normal</v>
      </c>
      <c r="X575" t="str">
        <f t="shared" si="107"/>
        <v>Allowed</v>
      </c>
    </row>
    <row r="576" spans="1:24" x14ac:dyDescent="0.3">
      <c r="A576" t="s">
        <v>10</v>
      </c>
      <c r="B576" t="s">
        <v>30</v>
      </c>
      <c r="C576" t="s">
        <v>12</v>
      </c>
      <c r="D576" s="3">
        <v>45657</v>
      </c>
      <c r="E576" s="6">
        <v>0.20540129326740211</v>
      </c>
      <c r="F576">
        <v>0</v>
      </c>
      <c r="G576" t="s">
        <v>13</v>
      </c>
      <c r="H576" s="6">
        <v>0.27</v>
      </c>
      <c r="I576" s="8">
        <v>-9.7560972868084878E-2</v>
      </c>
      <c r="J576" s="5">
        <f t="shared" si="96"/>
        <v>1.2504550363164104E-2</v>
      </c>
      <c r="K576" s="5" cm="1">
        <f t="array" ref="K576">_xlfn.STDEV.S(IF($C:$C=C576,$I:$I))</f>
        <v>5.3924507863027986E-2</v>
      </c>
      <c r="L576" s="7">
        <f t="shared" si="99"/>
        <v>-2.0411038986359058</v>
      </c>
      <c r="M576">
        <f t="shared" si="97"/>
        <v>1</v>
      </c>
      <c r="N576" s="9">
        <f t="shared" si="100"/>
        <v>-0.23925446937999223</v>
      </c>
      <c r="O576">
        <f>COUNTIFS($B$2:B576,B576,$C$2:C576,C576,$D$2:D576,"&lt;"&amp;D576,$F$2:F576,1)</f>
        <v>1</v>
      </c>
      <c r="P576">
        <f t="shared" si="98"/>
        <v>0</v>
      </c>
      <c r="Q576" t="str">
        <f t="shared" si="101"/>
        <v>Monitor</v>
      </c>
      <c r="R576">
        <v>0</v>
      </c>
      <c r="S576">
        <f t="shared" si="102"/>
        <v>0</v>
      </c>
      <c r="T576">
        <f t="shared" si="103"/>
        <v>0</v>
      </c>
      <c r="U576" t="str">
        <f t="shared" si="104"/>
        <v>Not Improved Enough</v>
      </c>
      <c r="V576" t="str">
        <f t="shared" si="105"/>
        <v>Close</v>
      </c>
      <c r="W576" t="str">
        <f t="shared" si="106"/>
        <v>Abnormal</v>
      </c>
      <c r="X576" t="str">
        <f t="shared" si="107"/>
        <v>Allowed</v>
      </c>
    </row>
    <row r="577" spans="1:24" x14ac:dyDescent="0.3">
      <c r="A577" t="s">
        <v>10</v>
      </c>
      <c r="B577" t="s">
        <v>30</v>
      </c>
      <c r="C577" t="s">
        <v>12</v>
      </c>
      <c r="D577" s="3">
        <v>45688</v>
      </c>
      <c r="E577" s="6">
        <v>0.2151850438763831</v>
      </c>
      <c r="F577">
        <v>0</v>
      </c>
      <c r="G577" t="s">
        <v>13</v>
      </c>
      <c r="H577" s="6">
        <v>0.27</v>
      </c>
      <c r="I577" s="8">
        <v>-4.7632371020390737E-2</v>
      </c>
      <c r="J577" s="5">
        <f t="shared" si="96"/>
        <v>1.2504550363164104E-2</v>
      </c>
      <c r="K577" s="5" cm="1">
        <f t="array" ref="K577">_xlfn.STDEV.S(IF($C:$C=C577,$I:$I))</f>
        <v>5.3924507863027986E-2</v>
      </c>
      <c r="L577" s="7">
        <f t="shared" si="99"/>
        <v>-1.1152057527591503</v>
      </c>
      <c r="M577">
        <f t="shared" si="97"/>
        <v>1</v>
      </c>
      <c r="N577" s="9">
        <f t="shared" si="100"/>
        <v>-0.20301835601339599</v>
      </c>
      <c r="O577">
        <f>COUNTIFS($B$2:B577,B577,$C$2:C577,C577,$D$2:D577,"&lt;"&amp;D577,$F$2:F577,1)</f>
        <v>1</v>
      </c>
      <c r="P577">
        <f t="shared" si="98"/>
        <v>0</v>
      </c>
      <c r="Q577" t="str">
        <f t="shared" si="101"/>
        <v>Monitor</v>
      </c>
      <c r="R577">
        <v>0</v>
      </c>
      <c r="S577">
        <f t="shared" si="102"/>
        <v>0</v>
      </c>
      <c r="T577">
        <f t="shared" si="103"/>
        <v>0</v>
      </c>
      <c r="U577" t="str">
        <f t="shared" si="104"/>
        <v>Not Improved Enough</v>
      </c>
      <c r="V577" t="str">
        <f t="shared" si="105"/>
        <v>Close</v>
      </c>
      <c r="W577" t="str">
        <f t="shared" si="106"/>
        <v>Abnormal</v>
      </c>
      <c r="X577" t="str">
        <f t="shared" si="107"/>
        <v>Allowed</v>
      </c>
    </row>
    <row r="578" spans="1:24" x14ac:dyDescent="0.3">
      <c r="A578" t="s">
        <v>10</v>
      </c>
      <c r="B578" t="s">
        <v>30</v>
      </c>
      <c r="C578" t="s">
        <v>12</v>
      </c>
      <c r="D578" s="3">
        <v>45716</v>
      </c>
      <c r="E578" s="6">
        <v>0.21717366191759721</v>
      </c>
      <c r="F578">
        <v>0</v>
      </c>
      <c r="G578" t="s">
        <v>13</v>
      </c>
      <c r="H578" s="6">
        <v>0.27</v>
      </c>
      <c r="I578" s="8">
        <v>-9.2414324220251587E-3</v>
      </c>
      <c r="J578" s="5">
        <f t="shared" ref="J578:J641" si="108">AVERAGEIF($C:$C,C578,$I:$I)</f>
        <v>1.2504550363164104E-2</v>
      </c>
      <c r="K578" s="5" cm="1">
        <f t="array" ref="K578">_xlfn.STDEV.S(IF($C:$C=C578,$I:$I))</f>
        <v>5.3924507863027986E-2</v>
      </c>
      <c r="L578" s="7">
        <f t="shared" si="99"/>
        <v>-0.40326715341428021</v>
      </c>
      <c r="M578">
        <f t="shared" ref="M578:M641" si="109">IF(L578&lt;=-$Z$4,1,IF(L578&gt;=$Z$4,-1,0))</f>
        <v>0</v>
      </c>
      <c r="N578" s="9">
        <f t="shared" si="100"/>
        <v>-0.19565310400889926</v>
      </c>
      <c r="O578">
        <f>COUNTIFS($B$2:B578,B578,$C$2:C578,C578,$D$2:D578,"&lt;"&amp;D578,$F$2:F578,1)</f>
        <v>1</v>
      </c>
      <c r="P578">
        <f t="shared" ref="P578:P641" si="110">IF(AND(R578=1,I578&gt;0),1,IF(R578=1,-1,0))</f>
        <v>0</v>
      </c>
      <c r="Q578" t="str">
        <f t="shared" si="101"/>
        <v>Monitor</v>
      </c>
      <c r="R578">
        <v>0</v>
      </c>
      <c r="S578">
        <f t="shared" si="102"/>
        <v>0</v>
      </c>
      <c r="T578">
        <f t="shared" si="103"/>
        <v>0</v>
      </c>
      <c r="U578" t="str">
        <f t="shared" si="104"/>
        <v>Not Improved Enough</v>
      </c>
      <c r="V578" t="str">
        <f t="shared" si="105"/>
        <v>Close</v>
      </c>
      <c r="W578" t="str">
        <f t="shared" si="106"/>
        <v>Normal</v>
      </c>
      <c r="X578" t="str">
        <f t="shared" si="107"/>
        <v>Allowed</v>
      </c>
    </row>
    <row r="579" spans="1:24" x14ac:dyDescent="0.3">
      <c r="A579" t="s">
        <v>10</v>
      </c>
      <c r="B579" t="s">
        <v>30</v>
      </c>
      <c r="C579" t="s">
        <v>12</v>
      </c>
      <c r="D579" s="3">
        <v>45747</v>
      </c>
      <c r="E579" s="6">
        <v>0.20560747663551401</v>
      </c>
      <c r="F579">
        <v>0</v>
      </c>
      <c r="G579" t="s">
        <v>13</v>
      </c>
      <c r="H579" s="6">
        <v>0.27</v>
      </c>
      <c r="I579" s="8">
        <v>5.3257771591436277E-2</v>
      </c>
      <c r="J579" s="5">
        <f t="shared" si="108"/>
        <v>1.2504550363164104E-2</v>
      </c>
      <c r="K579" s="5" cm="1">
        <f t="array" ref="K579">_xlfn.STDEV.S(IF($C:$C=C579,$I:$I))</f>
        <v>5.3924507863027986E-2</v>
      </c>
      <c r="L579" s="7">
        <f t="shared" ref="L579:L642" si="111">IFERROR((I579-J579)/K579,0)</f>
        <v>0.75574581657357354</v>
      </c>
      <c r="M579">
        <f t="shared" si="109"/>
        <v>-1</v>
      </c>
      <c r="N579" s="9">
        <f t="shared" ref="N579:N642" si="112">IFERROR(IF(G579="DOWN",(E579-H579)/H579,(H579-E579)/H579),0)</f>
        <v>-0.23849082727587406</v>
      </c>
      <c r="O579">
        <f>COUNTIFS($B$2:B579,B579,$C$2:C579,C579,$D$2:D579,"&lt;"&amp;D579,$F$2:F579,1)</f>
        <v>1</v>
      </c>
      <c r="P579">
        <f t="shared" si="110"/>
        <v>0</v>
      </c>
      <c r="Q579" t="str">
        <f t="shared" ref="Q579:Q642" si="113">IF(I579&gt;=$Z$1,"Monitor",IF(AND(N579&gt;=$Z$2,L579&lt;=-$Z$4),IF(O579&lt;$Z$3,"Intervene","Escalate / Bigger Fix"),"Monitor"))</f>
        <v>Monitor</v>
      </c>
      <c r="R579">
        <v>0</v>
      </c>
      <c r="S579">
        <f t="shared" ref="S579:S642" si="114">IF(Q579="Intervene",1,IF(Q579="Escalate / Bigger Fix",-1,0))</f>
        <v>0</v>
      </c>
      <c r="T579">
        <f t="shared" ref="T579:T642" si="115">IF(Q579="Intervene",1,0)</f>
        <v>0</v>
      </c>
      <c r="U579" t="str">
        <f t="shared" ref="U579:U642" si="116">IF(I579&gt;=$Z$1,"Improved Enough","Not Improved Enough")</f>
        <v>Improved Enough</v>
      </c>
      <c r="V579" t="str">
        <f t="shared" ref="V579:V642" si="117">IF(N579&gt;=$Z$2,"Far","Close")</f>
        <v>Close</v>
      </c>
      <c r="W579" t="str">
        <f t="shared" ref="W579:W642" si="118">IF(L579&lt;=-$Z$4,"Abnormal","Normal")</f>
        <v>Normal</v>
      </c>
      <c r="X579" t="str">
        <f t="shared" ref="X579:X642" si="119">IF(O579&lt;$Z$3,"Allowed","Maxed Out")</f>
        <v>Allowed</v>
      </c>
    </row>
    <row r="580" spans="1:24" x14ac:dyDescent="0.3">
      <c r="A580" t="s">
        <v>10</v>
      </c>
      <c r="B580" t="s">
        <v>30</v>
      </c>
      <c r="C580" t="s">
        <v>12</v>
      </c>
      <c r="D580" s="3">
        <v>45777</v>
      </c>
      <c r="E580" s="6">
        <v>0.20371101460718519</v>
      </c>
      <c r="F580">
        <v>0</v>
      </c>
      <c r="G580" t="s">
        <v>13</v>
      </c>
      <c r="H580" s="6">
        <v>0.27</v>
      </c>
      <c r="I580" s="8">
        <v>9.2237016832356581E-3</v>
      </c>
      <c r="J580" s="5">
        <f t="shared" si="108"/>
        <v>1.2504550363164104E-2</v>
      </c>
      <c r="K580" s="5" cm="1">
        <f t="array" ref="K580">_xlfn.STDEV.S(IF($C:$C=C580,$I:$I))</f>
        <v>5.3924507863027986E-2</v>
      </c>
      <c r="L580" s="7">
        <f t="shared" si="111"/>
        <v>-6.0841513626086877E-2</v>
      </c>
      <c r="M580">
        <f t="shared" si="109"/>
        <v>0</v>
      </c>
      <c r="N580" s="9">
        <f t="shared" si="112"/>
        <v>-0.24551476071412898</v>
      </c>
      <c r="O580">
        <f>COUNTIFS($B$2:B580,B580,$C$2:C580,C580,$D$2:D580,"&lt;"&amp;D580,$F$2:F580,1)</f>
        <v>1</v>
      </c>
      <c r="P580">
        <f t="shared" si="110"/>
        <v>0</v>
      </c>
      <c r="Q580" t="str">
        <f t="shared" si="113"/>
        <v>Monitor</v>
      </c>
      <c r="R580">
        <v>0</v>
      </c>
      <c r="S580">
        <f t="shared" si="114"/>
        <v>0</v>
      </c>
      <c r="T580">
        <f t="shared" si="115"/>
        <v>0</v>
      </c>
      <c r="U580" t="str">
        <f t="shared" si="116"/>
        <v>Not Improved Enough</v>
      </c>
      <c r="V580" t="str">
        <f t="shared" si="117"/>
        <v>Close</v>
      </c>
      <c r="W580" t="str">
        <f t="shared" si="118"/>
        <v>Normal</v>
      </c>
      <c r="X580" t="str">
        <f t="shared" si="119"/>
        <v>Allowed</v>
      </c>
    </row>
    <row r="581" spans="1:24" x14ac:dyDescent="0.3">
      <c r="A581" t="s">
        <v>10</v>
      </c>
      <c r="B581" t="s">
        <v>30</v>
      </c>
      <c r="C581" t="s">
        <v>12</v>
      </c>
      <c r="D581" s="3">
        <v>45808</v>
      </c>
      <c r="E581" s="6">
        <v>0.17767106842737099</v>
      </c>
      <c r="F581">
        <v>0</v>
      </c>
      <c r="G581" t="s">
        <v>13</v>
      </c>
      <c r="H581" s="6">
        <v>0.27</v>
      </c>
      <c r="I581" s="8">
        <v>0.1278278753361809</v>
      </c>
      <c r="J581" s="5">
        <f t="shared" si="108"/>
        <v>1.2504550363164104E-2</v>
      </c>
      <c r="K581" s="5" cm="1">
        <f t="array" ref="K581">_xlfn.STDEV.S(IF($C:$C=C581,$I:$I))</f>
        <v>5.3924507863027986E-2</v>
      </c>
      <c r="L581" s="7">
        <f t="shared" si="111"/>
        <v>2.138606907010558</v>
      </c>
      <c r="M581">
        <f t="shared" si="109"/>
        <v>-1</v>
      </c>
      <c r="N581" s="9">
        <f t="shared" si="112"/>
        <v>-0.34195900582455196</v>
      </c>
      <c r="O581">
        <f>COUNTIFS($B$2:B581,B581,$C$2:C581,C581,$D$2:D581,"&lt;"&amp;D581,$F$2:F581,1)</f>
        <v>1</v>
      </c>
      <c r="P581">
        <f t="shared" si="110"/>
        <v>0</v>
      </c>
      <c r="Q581" t="str">
        <f t="shared" si="113"/>
        <v>Monitor</v>
      </c>
      <c r="R581">
        <v>0</v>
      </c>
      <c r="S581">
        <f t="shared" si="114"/>
        <v>0</v>
      </c>
      <c r="T581">
        <f t="shared" si="115"/>
        <v>0</v>
      </c>
      <c r="U581" t="str">
        <f t="shared" si="116"/>
        <v>Improved Enough</v>
      </c>
      <c r="V581" t="str">
        <f t="shared" si="117"/>
        <v>Close</v>
      </c>
      <c r="W581" t="str">
        <f t="shared" si="118"/>
        <v>Normal</v>
      </c>
      <c r="X581" t="str">
        <f t="shared" si="119"/>
        <v>Allowed</v>
      </c>
    </row>
    <row r="582" spans="1:24" x14ac:dyDescent="0.3">
      <c r="A582" t="s">
        <v>10</v>
      </c>
      <c r="B582" t="s">
        <v>30</v>
      </c>
      <c r="C582" t="s">
        <v>12</v>
      </c>
      <c r="D582" s="3">
        <v>45838</v>
      </c>
      <c r="E582" s="6">
        <v>0.19448946515397081</v>
      </c>
      <c r="F582">
        <v>0</v>
      </c>
      <c r="G582" t="s">
        <v>13</v>
      </c>
      <c r="H582" s="6">
        <v>0.27</v>
      </c>
      <c r="I582" s="8">
        <v>-9.4660300494984112E-2</v>
      </c>
      <c r="J582" s="5">
        <f t="shared" si="108"/>
        <v>1.2504550363164104E-2</v>
      </c>
      <c r="K582" s="5" cm="1">
        <f t="array" ref="K582">_xlfn.STDEV.S(IF($C:$C=C582,$I:$I))</f>
        <v>5.3924507863027986E-2</v>
      </c>
      <c r="L582" s="7">
        <f t="shared" si="111"/>
        <v>-1.98731254312704</v>
      </c>
      <c r="M582">
        <f t="shared" si="109"/>
        <v>1</v>
      </c>
      <c r="N582" s="9">
        <f t="shared" si="112"/>
        <v>-0.27966864757788595</v>
      </c>
      <c r="O582">
        <f>COUNTIFS($B$2:B582,B582,$C$2:C582,C582,$D$2:D582,"&lt;"&amp;D582,$F$2:F582,1)</f>
        <v>1</v>
      </c>
      <c r="P582">
        <f t="shared" si="110"/>
        <v>0</v>
      </c>
      <c r="Q582" t="str">
        <f t="shared" si="113"/>
        <v>Monitor</v>
      </c>
      <c r="R582">
        <v>0</v>
      </c>
      <c r="S582">
        <f t="shared" si="114"/>
        <v>0</v>
      </c>
      <c r="T582">
        <f t="shared" si="115"/>
        <v>0</v>
      </c>
      <c r="U582" t="str">
        <f t="shared" si="116"/>
        <v>Not Improved Enough</v>
      </c>
      <c r="V582" t="str">
        <f t="shared" si="117"/>
        <v>Close</v>
      </c>
      <c r="W582" t="str">
        <f t="shared" si="118"/>
        <v>Abnormal</v>
      </c>
      <c r="X582" t="str">
        <f t="shared" si="119"/>
        <v>Allowed</v>
      </c>
    </row>
    <row r="583" spans="1:24" x14ac:dyDescent="0.3">
      <c r="A583" t="s">
        <v>10</v>
      </c>
      <c r="B583" t="s">
        <v>30</v>
      </c>
      <c r="C583" t="s">
        <v>12</v>
      </c>
      <c r="D583" s="3">
        <v>45869</v>
      </c>
      <c r="E583" s="6">
        <v>0.21199671322925229</v>
      </c>
      <c r="F583">
        <v>0</v>
      </c>
      <c r="G583" t="s">
        <v>13</v>
      </c>
      <c r="H583" s="6">
        <v>0.27</v>
      </c>
      <c r="I583" s="8">
        <v>-9.0016433853738947E-2</v>
      </c>
      <c r="J583" s="5">
        <f t="shared" si="108"/>
        <v>1.2504550363164104E-2</v>
      </c>
      <c r="K583" s="5" cm="1">
        <f t="array" ref="K583">_xlfn.STDEV.S(IF($C:$C=C583,$I:$I))</f>
        <v>5.3924507863027986E-2</v>
      </c>
      <c r="L583" s="7">
        <f t="shared" si="111"/>
        <v>-1.9011946196581617</v>
      </c>
      <c r="M583">
        <f t="shared" si="109"/>
        <v>1</v>
      </c>
      <c r="N583" s="9">
        <f t="shared" si="112"/>
        <v>-0.2148269880398064</v>
      </c>
      <c r="O583">
        <f>COUNTIFS($B$2:B583,B583,$C$2:C583,C583,$D$2:D583,"&lt;"&amp;D583,$F$2:F583,1)</f>
        <v>1</v>
      </c>
      <c r="P583">
        <f t="shared" si="110"/>
        <v>0</v>
      </c>
      <c r="Q583" t="str">
        <f t="shared" si="113"/>
        <v>Monitor</v>
      </c>
      <c r="R583">
        <v>0</v>
      </c>
      <c r="S583">
        <f t="shared" si="114"/>
        <v>0</v>
      </c>
      <c r="T583">
        <f t="shared" si="115"/>
        <v>0</v>
      </c>
      <c r="U583" t="str">
        <f t="shared" si="116"/>
        <v>Not Improved Enough</v>
      </c>
      <c r="V583" t="str">
        <f t="shared" si="117"/>
        <v>Close</v>
      </c>
      <c r="W583" t="str">
        <f t="shared" si="118"/>
        <v>Abnormal</v>
      </c>
      <c r="X583" t="str">
        <f t="shared" si="119"/>
        <v>Allowed</v>
      </c>
    </row>
    <row r="584" spans="1:24" x14ac:dyDescent="0.3">
      <c r="A584" t="s">
        <v>10</v>
      </c>
      <c r="B584" t="s">
        <v>30</v>
      </c>
      <c r="C584" t="s">
        <v>12</v>
      </c>
      <c r="D584" s="3">
        <v>45900</v>
      </c>
      <c r="E584" s="6">
        <v>0.21981681931723571</v>
      </c>
      <c r="F584">
        <v>0</v>
      </c>
      <c r="G584" t="s">
        <v>13</v>
      </c>
      <c r="H584" s="6">
        <v>0.27</v>
      </c>
      <c r="I584" s="8">
        <v>-3.6887864763859773E-2</v>
      </c>
      <c r="J584" s="5">
        <f t="shared" si="108"/>
        <v>1.2504550363164104E-2</v>
      </c>
      <c r="K584" s="5" cm="1">
        <f t="array" ref="K584">_xlfn.STDEV.S(IF($C:$C=C584,$I:$I))</f>
        <v>5.3924507863027986E-2</v>
      </c>
      <c r="L584" s="7">
        <f t="shared" si="111"/>
        <v>-0.91595486142375304</v>
      </c>
      <c r="M584">
        <f t="shared" si="109"/>
        <v>1</v>
      </c>
      <c r="N584" s="9">
        <f t="shared" si="112"/>
        <v>-0.18586363215838633</v>
      </c>
      <c r="O584">
        <f>COUNTIFS($B$2:B584,B584,$C$2:C584,C584,$D$2:D584,"&lt;"&amp;D584,$F$2:F584,1)</f>
        <v>1</v>
      </c>
      <c r="P584">
        <f t="shared" si="110"/>
        <v>0</v>
      </c>
      <c r="Q584" t="str">
        <f t="shared" si="113"/>
        <v>Monitor</v>
      </c>
      <c r="R584">
        <v>0</v>
      </c>
      <c r="S584">
        <f t="shared" si="114"/>
        <v>0</v>
      </c>
      <c r="T584">
        <f t="shared" si="115"/>
        <v>0</v>
      </c>
      <c r="U584" t="str">
        <f t="shared" si="116"/>
        <v>Not Improved Enough</v>
      </c>
      <c r="V584" t="str">
        <f t="shared" si="117"/>
        <v>Close</v>
      </c>
      <c r="W584" t="str">
        <f t="shared" si="118"/>
        <v>Abnormal</v>
      </c>
      <c r="X584" t="str">
        <f t="shared" si="119"/>
        <v>Allowed</v>
      </c>
    </row>
    <row r="585" spans="1:24" x14ac:dyDescent="0.3">
      <c r="A585" t="s">
        <v>10</v>
      </c>
      <c r="B585" t="s">
        <v>30</v>
      </c>
      <c r="C585" t="s">
        <v>12</v>
      </c>
      <c r="D585" s="3">
        <v>45930</v>
      </c>
      <c r="E585" s="6">
        <v>0.23057216054654139</v>
      </c>
      <c r="F585">
        <v>0</v>
      </c>
      <c r="G585" t="s">
        <v>13</v>
      </c>
      <c r="H585" s="6">
        <v>0.27</v>
      </c>
      <c r="I585" s="8">
        <v>-4.8928654607561087E-2</v>
      </c>
      <c r="J585" s="5">
        <f t="shared" si="108"/>
        <v>1.2504550363164104E-2</v>
      </c>
      <c r="K585" s="5" cm="1">
        <f t="array" ref="K585">_xlfn.STDEV.S(IF($C:$C=C585,$I:$I))</f>
        <v>5.3924507863027986E-2</v>
      </c>
      <c r="L585" s="7">
        <f t="shared" si="111"/>
        <v>-1.1392446107578733</v>
      </c>
      <c r="M585">
        <f t="shared" si="109"/>
        <v>1</v>
      </c>
      <c r="N585" s="9">
        <f t="shared" si="112"/>
        <v>-0.1460290350128097</v>
      </c>
      <c r="O585">
        <f>COUNTIFS($B$2:B585,B585,$C$2:C585,C585,$D$2:D585,"&lt;"&amp;D585,$F$2:F585,1)</f>
        <v>1</v>
      </c>
      <c r="P585">
        <f t="shared" si="110"/>
        <v>0</v>
      </c>
      <c r="Q585" t="str">
        <f t="shared" si="113"/>
        <v>Monitor</v>
      </c>
      <c r="R585">
        <v>0</v>
      </c>
      <c r="S585">
        <f t="shared" si="114"/>
        <v>0</v>
      </c>
      <c r="T585">
        <f t="shared" si="115"/>
        <v>0</v>
      </c>
      <c r="U585" t="str">
        <f t="shared" si="116"/>
        <v>Not Improved Enough</v>
      </c>
      <c r="V585" t="str">
        <f t="shared" si="117"/>
        <v>Close</v>
      </c>
      <c r="W585" t="str">
        <f t="shared" si="118"/>
        <v>Abnormal</v>
      </c>
      <c r="X585" t="str">
        <f t="shared" si="119"/>
        <v>Allowed</v>
      </c>
    </row>
    <row r="586" spans="1:24" x14ac:dyDescent="0.3">
      <c r="A586" t="s">
        <v>10</v>
      </c>
      <c r="B586" t="s">
        <v>30</v>
      </c>
      <c r="C586" t="s">
        <v>12</v>
      </c>
      <c r="D586" s="3">
        <v>45961</v>
      </c>
      <c r="E586" s="6">
        <v>0.25688073394495409</v>
      </c>
      <c r="F586">
        <v>0</v>
      </c>
      <c r="G586" t="s">
        <v>13</v>
      </c>
      <c r="H586" s="6">
        <v>0.27</v>
      </c>
      <c r="I586" s="8">
        <v>-0.11410125722052319</v>
      </c>
      <c r="J586" s="5">
        <f t="shared" si="108"/>
        <v>1.2504550363164104E-2</v>
      </c>
      <c r="K586" s="5" cm="1">
        <f t="array" ref="K586">_xlfn.STDEV.S(IF($C:$C=C586,$I:$I))</f>
        <v>5.3924507863027986E-2</v>
      </c>
      <c r="L586" s="7">
        <f t="shared" si="111"/>
        <v>-2.3478342705560689</v>
      </c>
      <c r="M586">
        <f t="shared" si="109"/>
        <v>1</v>
      </c>
      <c r="N586" s="9">
        <f t="shared" si="112"/>
        <v>-4.8589874277947885E-2</v>
      </c>
      <c r="O586">
        <f>COUNTIFS($B$2:B586,B586,$C$2:C586,C586,$D$2:D586,"&lt;"&amp;D586,$F$2:F586,1)</f>
        <v>1</v>
      </c>
      <c r="P586">
        <f t="shared" si="110"/>
        <v>0</v>
      </c>
      <c r="Q586" t="str">
        <f t="shared" si="113"/>
        <v>Monitor</v>
      </c>
      <c r="R586">
        <v>0</v>
      </c>
      <c r="S586">
        <f t="shared" si="114"/>
        <v>0</v>
      </c>
      <c r="T586">
        <f t="shared" si="115"/>
        <v>0</v>
      </c>
      <c r="U586" t="str">
        <f t="shared" si="116"/>
        <v>Not Improved Enough</v>
      </c>
      <c r="V586" t="str">
        <f t="shared" si="117"/>
        <v>Close</v>
      </c>
      <c r="W586" t="str">
        <f t="shared" si="118"/>
        <v>Abnormal</v>
      </c>
      <c r="X586" t="str">
        <f t="shared" si="119"/>
        <v>Allowed</v>
      </c>
    </row>
    <row r="587" spans="1:24" x14ac:dyDescent="0.3">
      <c r="A587" t="s">
        <v>10</v>
      </c>
      <c r="B587" t="s">
        <v>30</v>
      </c>
      <c r="C587" t="s">
        <v>12</v>
      </c>
      <c r="D587" s="3">
        <v>45991</v>
      </c>
      <c r="E587" s="6">
        <v>0.26845637583892618</v>
      </c>
      <c r="F587">
        <v>0</v>
      </c>
      <c r="G587" t="s">
        <v>13</v>
      </c>
      <c r="H587" s="6">
        <v>0.27</v>
      </c>
      <c r="I587" s="8">
        <v>-4.5062320230105639E-2</v>
      </c>
      <c r="J587" s="5">
        <f t="shared" si="108"/>
        <v>1.2504550363164104E-2</v>
      </c>
      <c r="K587" s="5" cm="1">
        <f t="array" ref="K587">_xlfn.STDEV.S(IF($C:$C=C587,$I:$I))</f>
        <v>5.3924507863027986E-2</v>
      </c>
      <c r="L587" s="7">
        <f t="shared" si="111"/>
        <v>-1.0675455905781026</v>
      </c>
      <c r="M587">
        <f t="shared" si="109"/>
        <v>1</v>
      </c>
      <c r="N587" s="9">
        <f t="shared" si="112"/>
        <v>-5.7171265224957111E-3</v>
      </c>
      <c r="O587">
        <f>COUNTIFS($B$2:B587,B587,$C$2:C587,C587,$D$2:D587,"&lt;"&amp;D587,$F$2:F587,1)</f>
        <v>1</v>
      </c>
      <c r="P587">
        <f t="shared" si="110"/>
        <v>0</v>
      </c>
      <c r="Q587" t="str">
        <f t="shared" si="113"/>
        <v>Monitor</v>
      </c>
      <c r="R587">
        <v>0</v>
      </c>
      <c r="S587">
        <f t="shared" si="114"/>
        <v>0</v>
      </c>
      <c r="T587">
        <f t="shared" si="115"/>
        <v>0</v>
      </c>
      <c r="U587" t="str">
        <f t="shared" si="116"/>
        <v>Not Improved Enough</v>
      </c>
      <c r="V587" t="str">
        <f t="shared" si="117"/>
        <v>Close</v>
      </c>
      <c r="W587" t="str">
        <f t="shared" si="118"/>
        <v>Abnormal</v>
      </c>
      <c r="X587" t="str">
        <f t="shared" si="119"/>
        <v>Allowed</v>
      </c>
    </row>
    <row r="588" spans="1:24" x14ac:dyDescent="0.3">
      <c r="A588" t="s">
        <v>10</v>
      </c>
      <c r="B588" t="s">
        <v>30</v>
      </c>
      <c r="C588" t="s">
        <v>14</v>
      </c>
      <c r="D588" s="3">
        <v>45535</v>
      </c>
      <c r="E588" s="6">
        <v>4.3349168646080759E-2</v>
      </c>
      <c r="F588">
        <v>0</v>
      </c>
      <c r="G588" t="s">
        <v>13</v>
      </c>
      <c r="H588" s="6">
        <v>5.3999999999999999E-2</v>
      </c>
      <c r="I588" s="8">
        <v>4.5177522190273871E-2</v>
      </c>
      <c r="J588" s="5">
        <f t="shared" si="108"/>
        <v>1.0109678696460058E-2</v>
      </c>
      <c r="K588" s="5" cm="1">
        <f t="array" ref="K588">_xlfn.STDEV.S(IF($C:$C=C588,$I:$I))</f>
        <v>0.17556416633612926</v>
      </c>
      <c r="L588" s="7">
        <f t="shared" si="111"/>
        <v>0.1997437417079411</v>
      </c>
      <c r="M588">
        <f t="shared" si="109"/>
        <v>0</v>
      </c>
      <c r="N588" s="9">
        <f t="shared" si="112"/>
        <v>-0.19723761766517112</v>
      </c>
      <c r="O588">
        <f>COUNTIFS($B$2:B588,B588,$C$2:C588,C588,$D$2:D588,"&lt;"&amp;D588,$F$2:F588,1)</f>
        <v>0</v>
      </c>
      <c r="P588">
        <f t="shared" si="110"/>
        <v>0</v>
      </c>
      <c r="Q588" t="str">
        <f t="shared" si="113"/>
        <v>Monitor</v>
      </c>
      <c r="R588">
        <v>0</v>
      </c>
      <c r="S588">
        <f t="shared" si="114"/>
        <v>0</v>
      </c>
      <c r="T588">
        <f t="shared" si="115"/>
        <v>0</v>
      </c>
      <c r="U588" t="str">
        <f t="shared" si="116"/>
        <v>Improved Enough</v>
      </c>
      <c r="V588" t="str">
        <f t="shared" si="117"/>
        <v>Close</v>
      </c>
      <c r="W588" t="str">
        <f t="shared" si="118"/>
        <v>Normal</v>
      </c>
      <c r="X588" t="str">
        <f t="shared" si="119"/>
        <v>Allowed</v>
      </c>
    </row>
    <row r="589" spans="1:24" x14ac:dyDescent="0.3">
      <c r="A589" t="s">
        <v>10</v>
      </c>
      <c r="B589" t="s">
        <v>30</v>
      </c>
      <c r="C589" t="s">
        <v>14</v>
      </c>
      <c r="D589" s="3">
        <v>45565</v>
      </c>
      <c r="E589" s="6">
        <v>4.730928444707274E-2</v>
      </c>
      <c r="F589">
        <v>0</v>
      </c>
      <c r="G589" t="s">
        <v>13</v>
      </c>
      <c r="H589" s="6">
        <v>5.3999999999999999E-2</v>
      </c>
      <c r="I589" s="8">
        <v>-9.1353904231102692E-2</v>
      </c>
      <c r="J589" s="5">
        <f t="shared" si="108"/>
        <v>1.0109678696460058E-2</v>
      </c>
      <c r="K589" s="5" cm="1">
        <f t="array" ref="K589">_xlfn.STDEV.S(IF($C:$C=C589,$I:$I))</f>
        <v>0.17556416633612926</v>
      </c>
      <c r="L589" s="7">
        <f t="shared" si="111"/>
        <v>-0.57792877125793418</v>
      </c>
      <c r="M589">
        <f t="shared" si="109"/>
        <v>1</v>
      </c>
      <c r="N589" s="9">
        <f t="shared" si="112"/>
        <v>-0.12390213986902332</v>
      </c>
      <c r="O589">
        <f>COUNTIFS($B$2:B589,B589,$C$2:C589,C589,$D$2:D589,"&lt;"&amp;D589,$F$2:F589,1)</f>
        <v>0</v>
      </c>
      <c r="P589">
        <f t="shared" si="110"/>
        <v>0</v>
      </c>
      <c r="Q589" t="str">
        <f t="shared" si="113"/>
        <v>Monitor</v>
      </c>
      <c r="R589">
        <v>0</v>
      </c>
      <c r="S589">
        <f t="shared" si="114"/>
        <v>0</v>
      </c>
      <c r="T589">
        <f t="shared" si="115"/>
        <v>0</v>
      </c>
      <c r="U589" t="str">
        <f t="shared" si="116"/>
        <v>Not Improved Enough</v>
      </c>
      <c r="V589" t="str">
        <f t="shared" si="117"/>
        <v>Close</v>
      </c>
      <c r="W589" t="str">
        <f t="shared" si="118"/>
        <v>Abnormal</v>
      </c>
      <c r="X589" t="str">
        <f t="shared" si="119"/>
        <v>Allowed</v>
      </c>
    </row>
    <row r="590" spans="1:24" x14ac:dyDescent="0.3">
      <c r="A590" t="s">
        <v>10</v>
      </c>
      <c r="B590" t="s">
        <v>30</v>
      </c>
      <c r="C590" t="s">
        <v>14</v>
      </c>
      <c r="D590" s="3">
        <v>45596</v>
      </c>
      <c r="E590" s="6">
        <v>4.1287188828172443E-2</v>
      </c>
      <c r="F590">
        <v>0</v>
      </c>
      <c r="G590" t="s">
        <v>13</v>
      </c>
      <c r="H590" s="6">
        <v>5.3999999999999999E-2</v>
      </c>
      <c r="I590" s="8">
        <v>0.12729204614450501</v>
      </c>
      <c r="J590" s="5">
        <f t="shared" si="108"/>
        <v>1.0109678696460058E-2</v>
      </c>
      <c r="K590" s="5" cm="1">
        <f t="array" ref="K590">_xlfn.STDEV.S(IF($C:$C=C590,$I:$I))</f>
        <v>0.17556416633612926</v>
      </c>
      <c r="L590" s="7">
        <f t="shared" si="111"/>
        <v>0.66746175995670742</v>
      </c>
      <c r="M590">
        <f t="shared" si="109"/>
        <v>-1</v>
      </c>
      <c r="N590" s="9">
        <f t="shared" si="112"/>
        <v>-0.23542242910791772</v>
      </c>
      <c r="O590">
        <f>COUNTIFS($B$2:B590,B590,$C$2:C590,C590,$D$2:D590,"&lt;"&amp;D590,$F$2:F590,1)</f>
        <v>0</v>
      </c>
      <c r="P590">
        <f t="shared" si="110"/>
        <v>0</v>
      </c>
      <c r="Q590" t="str">
        <f t="shared" si="113"/>
        <v>Monitor</v>
      </c>
      <c r="R590">
        <v>0</v>
      </c>
      <c r="S590">
        <f t="shared" si="114"/>
        <v>0</v>
      </c>
      <c r="T590">
        <f t="shared" si="115"/>
        <v>0</v>
      </c>
      <c r="U590" t="str">
        <f t="shared" si="116"/>
        <v>Improved Enough</v>
      </c>
      <c r="V590" t="str">
        <f t="shared" si="117"/>
        <v>Close</v>
      </c>
      <c r="W590" t="str">
        <f t="shared" si="118"/>
        <v>Normal</v>
      </c>
      <c r="X590" t="str">
        <f t="shared" si="119"/>
        <v>Allowed</v>
      </c>
    </row>
    <row r="591" spans="1:24" x14ac:dyDescent="0.3">
      <c r="A591" t="s">
        <v>10</v>
      </c>
      <c r="B591" t="s">
        <v>30</v>
      </c>
      <c r="C591" t="s">
        <v>14</v>
      </c>
      <c r="D591" s="3">
        <v>45626</v>
      </c>
      <c r="E591" s="6">
        <v>4.1717049999999999E-2</v>
      </c>
      <c r="F591">
        <v>0</v>
      </c>
      <c r="G591" t="s">
        <v>13</v>
      </c>
      <c r="H591" s="6">
        <v>5.3999999999999999E-2</v>
      </c>
      <c r="I591" s="8">
        <v>-1.041149044117624E-2</v>
      </c>
      <c r="J591" s="5">
        <f t="shared" si="108"/>
        <v>1.0109678696460058E-2</v>
      </c>
      <c r="K591" s="5" cm="1">
        <f t="array" ref="K591">_xlfn.STDEV.S(IF($C:$C=C591,$I:$I))</f>
        <v>0.17556416633612926</v>
      </c>
      <c r="L591" s="7">
        <f t="shared" si="111"/>
        <v>-0.11688700243275815</v>
      </c>
      <c r="M591">
        <f t="shared" si="109"/>
        <v>0</v>
      </c>
      <c r="N591" s="9">
        <f t="shared" si="112"/>
        <v>-0.22746203703703705</v>
      </c>
      <c r="O591">
        <f>COUNTIFS($B$2:B591,B591,$C$2:C591,C591,$D$2:D591,"&lt;"&amp;D591,$F$2:F591,1)</f>
        <v>0</v>
      </c>
      <c r="P591">
        <f t="shared" si="110"/>
        <v>0</v>
      </c>
      <c r="Q591" t="str">
        <f t="shared" si="113"/>
        <v>Monitor</v>
      </c>
      <c r="R591">
        <v>0</v>
      </c>
      <c r="S591">
        <f t="shared" si="114"/>
        <v>0</v>
      </c>
      <c r="T591">
        <f t="shared" si="115"/>
        <v>0</v>
      </c>
      <c r="U591" t="str">
        <f t="shared" si="116"/>
        <v>Not Improved Enough</v>
      </c>
      <c r="V591" t="str">
        <f t="shared" si="117"/>
        <v>Close</v>
      </c>
      <c r="W591" t="str">
        <f t="shared" si="118"/>
        <v>Normal</v>
      </c>
      <c r="X591" t="str">
        <f t="shared" si="119"/>
        <v>Allowed</v>
      </c>
    </row>
    <row r="592" spans="1:24" x14ac:dyDescent="0.3">
      <c r="A592" t="s">
        <v>10</v>
      </c>
      <c r="B592" t="s">
        <v>30</v>
      </c>
      <c r="C592" t="s">
        <v>14</v>
      </c>
      <c r="D592" s="3">
        <v>45657</v>
      </c>
      <c r="E592" s="6">
        <v>5.4523666866387058E-2</v>
      </c>
      <c r="F592">
        <v>0</v>
      </c>
      <c r="G592" t="s">
        <v>13</v>
      </c>
      <c r="H592" s="6">
        <v>5.3999999999999999E-2</v>
      </c>
      <c r="I592" s="8">
        <v>-0.30698759539294029</v>
      </c>
      <c r="J592" s="5">
        <f t="shared" si="108"/>
        <v>1.0109678696460058E-2</v>
      </c>
      <c r="K592" s="5" cm="1">
        <f t="array" ref="K592">_xlfn.STDEV.S(IF($C:$C=C592,$I:$I))</f>
        <v>0.17556416633612926</v>
      </c>
      <c r="L592" s="7">
        <f t="shared" si="111"/>
        <v>-1.8061617054718135</v>
      </c>
      <c r="M592">
        <f t="shared" si="109"/>
        <v>1</v>
      </c>
      <c r="N592" s="9">
        <f t="shared" si="112"/>
        <v>9.6975345627233027E-3</v>
      </c>
      <c r="O592">
        <f>COUNTIFS($B$2:B592,B592,$C$2:C592,C592,$D$2:D592,"&lt;"&amp;D592,$F$2:F592,1)</f>
        <v>0</v>
      </c>
      <c r="P592">
        <f t="shared" si="110"/>
        <v>0</v>
      </c>
      <c r="Q592" t="str">
        <f t="shared" si="113"/>
        <v>Monitor</v>
      </c>
      <c r="R592">
        <v>0</v>
      </c>
      <c r="S592">
        <f t="shared" si="114"/>
        <v>0</v>
      </c>
      <c r="T592">
        <f t="shared" si="115"/>
        <v>0</v>
      </c>
      <c r="U592" t="str">
        <f t="shared" si="116"/>
        <v>Not Improved Enough</v>
      </c>
      <c r="V592" t="str">
        <f t="shared" si="117"/>
        <v>Close</v>
      </c>
      <c r="W592" t="str">
        <f t="shared" si="118"/>
        <v>Abnormal</v>
      </c>
      <c r="X592" t="str">
        <f t="shared" si="119"/>
        <v>Allowed</v>
      </c>
    </row>
    <row r="593" spans="1:24" x14ac:dyDescent="0.3">
      <c r="A593" t="s">
        <v>10</v>
      </c>
      <c r="B593" t="s">
        <v>30</v>
      </c>
      <c r="C593" t="s">
        <v>14</v>
      </c>
      <c r="D593" s="3">
        <v>45688</v>
      </c>
      <c r="E593" s="6">
        <v>5.1869722557297951E-2</v>
      </c>
      <c r="F593">
        <v>0</v>
      </c>
      <c r="G593" t="s">
        <v>13</v>
      </c>
      <c r="H593" s="6">
        <v>5.3999999999999999E-2</v>
      </c>
      <c r="I593" s="8">
        <v>4.8675088482084829E-2</v>
      </c>
      <c r="J593" s="5">
        <f t="shared" si="108"/>
        <v>1.0109678696460058E-2</v>
      </c>
      <c r="K593" s="5" cm="1">
        <f t="array" ref="K593">_xlfn.STDEV.S(IF($C:$C=C593,$I:$I))</f>
        <v>0.17556416633612926</v>
      </c>
      <c r="L593" s="7">
        <f t="shared" si="111"/>
        <v>0.21966561053118738</v>
      </c>
      <c r="M593">
        <f t="shared" si="109"/>
        <v>0</v>
      </c>
      <c r="N593" s="9">
        <f t="shared" si="112"/>
        <v>-3.9449582272260156E-2</v>
      </c>
      <c r="O593">
        <f>COUNTIFS($B$2:B593,B593,$C$2:C593,C593,$D$2:D593,"&lt;"&amp;D593,$F$2:F593,1)</f>
        <v>0</v>
      </c>
      <c r="P593">
        <f t="shared" si="110"/>
        <v>0</v>
      </c>
      <c r="Q593" t="str">
        <f t="shared" si="113"/>
        <v>Monitor</v>
      </c>
      <c r="R593">
        <v>0</v>
      </c>
      <c r="S593">
        <f t="shared" si="114"/>
        <v>0</v>
      </c>
      <c r="T593">
        <f t="shared" si="115"/>
        <v>0</v>
      </c>
      <c r="U593" t="str">
        <f t="shared" si="116"/>
        <v>Improved Enough</v>
      </c>
      <c r="V593" t="str">
        <f t="shared" si="117"/>
        <v>Close</v>
      </c>
      <c r="W593" t="str">
        <f t="shared" si="118"/>
        <v>Normal</v>
      </c>
      <c r="X593" t="str">
        <f t="shared" si="119"/>
        <v>Allowed</v>
      </c>
    </row>
    <row r="594" spans="1:24" x14ac:dyDescent="0.3">
      <c r="A594" t="s">
        <v>10</v>
      </c>
      <c r="B594" t="s">
        <v>30</v>
      </c>
      <c r="C594" t="s">
        <v>14</v>
      </c>
      <c r="D594" s="3">
        <v>45716</v>
      </c>
      <c r="E594" s="6">
        <v>5.3635280095351609E-2</v>
      </c>
      <c r="F594">
        <v>0</v>
      </c>
      <c r="G594" t="s">
        <v>13</v>
      </c>
      <c r="H594" s="6">
        <v>5.3999999999999999E-2</v>
      </c>
      <c r="I594" s="8">
        <v>-3.4038306954569358E-2</v>
      </c>
      <c r="J594" s="5">
        <f t="shared" si="108"/>
        <v>1.0109678696460058E-2</v>
      </c>
      <c r="K594" s="5" cm="1">
        <f t="array" ref="K594">_xlfn.STDEV.S(IF($C:$C=C594,$I:$I))</f>
        <v>0.17556416633612926</v>
      </c>
      <c r="L594" s="7">
        <f t="shared" si="111"/>
        <v>-0.25146353366042346</v>
      </c>
      <c r="M594">
        <f t="shared" si="109"/>
        <v>0</v>
      </c>
      <c r="N594" s="9">
        <f t="shared" si="112"/>
        <v>-6.7540723083035258E-3</v>
      </c>
      <c r="O594">
        <f>COUNTIFS($B$2:B594,B594,$C$2:C594,C594,$D$2:D594,"&lt;"&amp;D594,$F$2:F594,1)</f>
        <v>0</v>
      </c>
      <c r="P594">
        <f t="shared" si="110"/>
        <v>0</v>
      </c>
      <c r="Q594" t="str">
        <f t="shared" si="113"/>
        <v>Monitor</v>
      </c>
      <c r="R594">
        <v>0</v>
      </c>
      <c r="S594">
        <f t="shared" si="114"/>
        <v>0</v>
      </c>
      <c r="T594">
        <f t="shared" si="115"/>
        <v>0</v>
      </c>
      <c r="U594" t="str">
        <f t="shared" si="116"/>
        <v>Not Improved Enough</v>
      </c>
      <c r="V594" t="str">
        <f t="shared" si="117"/>
        <v>Close</v>
      </c>
      <c r="W594" t="str">
        <f t="shared" si="118"/>
        <v>Normal</v>
      </c>
      <c r="X594" t="str">
        <f t="shared" si="119"/>
        <v>Allowed</v>
      </c>
    </row>
    <row r="595" spans="1:24" x14ac:dyDescent="0.3">
      <c r="A595" t="s">
        <v>10</v>
      </c>
      <c r="B595" t="s">
        <v>30</v>
      </c>
      <c r="C595" t="s">
        <v>14</v>
      </c>
      <c r="D595" s="3">
        <v>45747</v>
      </c>
      <c r="E595" s="6">
        <v>4.1169451073985681E-2</v>
      </c>
      <c r="F595">
        <v>0</v>
      </c>
      <c r="G595" t="s">
        <v>13</v>
      </c>
      <c r="H595" s="6">
        <v>5.3999999999999999E-2</v>
      </c>
      <c r="I595" s="8">
        <v>0.23241845664280031</v>
      </c>
      <c r="J595" s="5">
        <f t="shared" si="108"/>
        <v>1.0109678696460058E-2</v>
      </c>
      <c r="K595" s="5" cm="1">
        <f t="array" ref="K595">_xlfn.STDEV.S(IF($C:$C=C595,$I:$I))</f>
        <v>0.17556416633612926</v>
      </c>
      <c r="L595" s="7">
        <f t="shared" si="111"/>
        <v>1.266253715582913</v>
      </c>
      <c r="M595">
        <f t="shared" si="109"/>
        <v>-1</v>
      </c>
      <c r="N595" s="9">
        <f t="shared" si="112"/>
        <v>-0.23760275788915403</v>
      </c>
      <c r="O595">
        <f>COUNTIFS($B$2:B595,B595,$C$2:C595,C595,$D$2:D595,"&lt;"&amp;D595,$F$2:F595,1)</f>
        <v>0</v>
      </c>
      <c r="P595">
        <f t="shared" si="110"/>
        <v>0</v>
      </c>
      <c r="Q595" t="str">
        <f t="shared" si="113"/>
        <v>Monitor</v>
      </c>
      <c r="R595">
        <v>0</v>
      </c>
      <c r="S595">
        <f t="shared" si="114"/>
        <v>0</v>
      </c>
      <c r="T595">
        <f t="shared" si="115"/>
        <v>0</v>
      </c>
      <c r="U595" t="str">
        <f t="shared" si="116"/>
        <v>Improved Enough</v>
      </c>
      <c r="V595" t="str">
        <f t="shared" si="117"/>
        <v>Close</v>
      </c>
      <c r="W595" t="str">
        <f t="shared" si="118"/>
        <v>Normal</v>
      </c>
      <c r="X595" t="str">
        <f t="shared" si="119"/>
        <v>Allowed</v>
      </c>
    </row>
    <row r="596" spans="1:24" x14ac:dyDescent="0.3">
      <c r="A596" t="s">
        <v>10</v>
      </c>
      <c r="B596" t="s">
        <v>30</v>
      </c>
      <c r="C596" t="s">
        <v>14</v>
      </c>
      <c r="D596" s="3">
        <v>45777</v>
      </c>
      <c r="E596" s="6">
        <v>3.2628398791540787E-2</v>
      </c>
      <c r="F596">
        <v>0</v>
      </c>
      <c r="G596" t="s">
        <v>13</v>
      </c>
      <c r="H596" s="6">
        <v>5.3999999999999999E-2</v>
      </c>
      <c r="I596" s="8">
        <v>0.20746092210692241</v>
      </c>
      <c r="J596" s="5">
        <f t="shared" si="108"/>
        <v>1.0109678696460058E-2</v>
      </c>
      <c r="K596" s="5" cm="1">
        <f t="array" ref="K596">_xlfn.STDEV.S(IF($C:$C=C596,$I:$I))</f>
        <v>0.17556416633612926</v>
      </c>
      <c r="L596" s="7">
        <f t="shared" si="111"/>
        <v>1.1240975167598852</v>
      </c>
      <c r="M596">
        <f t="shared" si="109"/>
        <v>-1</v>
      </c>
      <c r="N596" s="9">
        <f t="shared" si="112"/>
        <v>-0.39577039274924469</v>
      </c>
      <c r="O596">
        <f>COUNTIFS($B$2:B596,B596,$C$2:C596,C596,$D$2:D596,"&lt;"&amp;D596,$F$2:F596,1)</f>
        <v>0</v>
      </c>
      <c r="P596">
        <f t="shared" si="110"/>
        <v>0</v>
      </c>
      <c r="Q596" t="str">
        <f t="shared" si="113"/>
        <v>Monitor</v>
      </c>
      <c r="R596">
        <v>0</v>
      </c>
      <c r="S596">
        <f t="shared" si="114"/>
        <v>0</v>
      </c>
      <c r="T596">
        <f t="shared" si="115"/>
        <v>0</v>
      </c>
      <c r="U596" t="str">
        <f t="shared" si="116"/>
        <v>Improved Enough</v>
      </c>
      <c r="V596" t="str">
        <f t="shared" si="117"/>
        <v>Close</v>
      </c>
      <c r="W596" t="str">
        <f t="shared" si="118"/>
        <v>Normal</v>
      </c>
      <c r="X596" t="str">
        <f t="shared" si="119"/>
        <v>Allowed</v>
      </c>
    </row>
    <row r="597" spans="1:24" x14ac:dyDescent="0.3">
      <c r="A597" t="s">
        <v>10</v>
      </c>
      <c r="B597" t="s">
        <v>30</v>
      </c>
      <c r="C597" t="s">
        <v>14</v>
      </c>
      <c r="D597" s="3">
        <v>45808</v>
      </c>
      <c r="E597" s="6">
        <v>3.7769784172661872E-2</v>
      </c>
      <c r="F597">
        <v>0</v>
      </c>
      <c r="G597" t="s">
        <v>13</v>
      </c>
      <c r="H597" s="6">
        <v>5.3999999999999999E-2</v>
      </c>
      <c r="I597" s="8">
        <v>-0.1575739408473221</v>
      </c>
      <c r="J597" s="5">
        <f t="shared" si="108"/>
        <v>1.0109678696460058E-2</v>
      </c>
      <c r="K597" s="5" cm="1">
        <f t="array" ref="K597">_xlfn.STDEV.S(IF($C:$C=C597,$I:$I))</f>
        <v>0.17556416633612926</v>
      </c>
      <c r="L597" s="7">
        <f t="shared" si="111"/>
        <v>-0.95511301106138446</v>
      </c>
      <c r="M597">
        <f t="shared" si="109"/>
        <v>1</v>
      </c>
      <c r="N597" s="9">
        <f t="shared" si="112"/>
        <v>-0.30055955235811349</v>
      </c>
      <c r="O597">
        <f>COUNTIFS($B$2:B597,B597,$C$2:C597,C597,$D$2:D597,"&lt;"&amp;D597,$F$2:F597,1)</f>
        <v>0</v>
      </c>
      <c r="P597">
        <f t="shared" si="110"/>
        <v>0</v>
      </c>
      <c r="Q597" t="str">
        <f t="shared" si="113"/>
        <v>Monitor</v>
      </c>
      <c r="R597">
        <v>0</v>
      </c>
      <c r="S597">
        <f t="shared" si="114"/>
        <v>0</v>
      </c>
      <c r="T597">
        <f t="shared" si="115"/>
        <v>0</v>
      </c>
      <c r="U597" t="str">
        <f t="shared" si="116"/>
        <v>Not Improved Enough</v>
      </c>
      <c r="V597" t="str">
        <f t="shared" si="117"/>
        <v>Close</v>
      </c>
      <c r="W597" t="str">
        <f t="shared" si="118"/>
        <v>Abnormal</v>
      </c>
      <c r="X597" t="str">
        <f t="shared" si="119"/>
        <v>Allowed</v>
      </c>
    </row>
    <row r="598" spans="1:24" x14ac:dyDescent="0.3">
      <c r="A598" t="s">
        <v>10</v>
      </c>
      <c r="B598" t="s">
        <v>30</v>
      </c>
      <c r="C598" t="s">
        <v>14</v>
      </c>
      <c r="D598" s="3">
        <v>45838</v>
      </c>
      <c r="E598" s="6">
        <v>2.717391304347826E-2</v>
      </c>
      <c r="F598">
        <v>0</v>
      </c>
      <c r="G598" t="s">
        <v>13</v>
      </c>
      <c r="H598" s="6">
        <v>5.3999999999999999E-2</v>
      </c>
      <c r="I598" s="8">
        <v>0.28053830227743282</v>
      </c>
      <c r="J598" s="5">
        <f t="shared" si="108"/>
        <v>1.0109678696460058E-2</v>
      </c>
      <c r="K598" s="5" cm="1">
        <f t="array" ref="K598">_xlfn.STDEV.S(IF($C:$C=C598,$I:$I))</f>
        <v>0.17556416633612926</v>
      </c>
      <c r="L598" s="7">
        <f t="shared" si="111"/>
        <v>1.5403406584873316</v>
      </c>
      <c r="M598">
        <f t="shared" si="109"/>
        <v>-1</v>
      </c>
      <c r="N598" s="9">
        <f t="shared" si="112"/>
        <v>-0.4967793880837359</v>
      </c>
      <c r="O598">
        <f>COUNTIFS($B$2:B598,B598,$C$2:C598,C598,$D$2:D598,"&lt;"&amp;D598,$F$2:F598,1)</f>
        <v>0</v>
      </c>
      <c r="P598">
        <f t="shared" si="110"/>
        <v>0</v>
      </c>
      <c r="Q598" t="str">
        <f t="shared" si="113"/>
        <v>Monitor</v>
      </c>
      <c r="R598">
        <v>0</v>
      </c>
      <c r="S598">
        <f t="shared" si="114"/>
        <v>0</v>
      </c>
      <c r="T598">
        <f t="shared" si="115"/>
        <v>0</v>
      </c>
      <c r="U598" t="str">
        <f t="shared" si="116"/>
        <v>Improved Enough</v>
      </c>
      <c r="V598" t="str">
        <f t="shared" si="117"/>
        <v>Close</v>
      </c>
      <c r="W598" t="str">
        <f t="shared" si="118"/>
        <v>Normal</v>
      </c>
      <c r="X598" t="str">
        <f t="shared" si="119"/>
        <v>Allowed</v>
      </c>
    </row>
    <row r="599" spans="1:24" x14ac:dyDescent="0.3">
      <c r="A599" t="s">
        <v>10</v>
      </c>
      <c r="B599" t="s">
        <v>30</v>
      </c>
      <c r="C599" t="s">
        <v>14</v>
      </c>
      <c r="D599" s="3">
        <v>45869</v>
      </c>
      <c r="E599" s="6">
        <v>2.641056422569028E-2</v>
      </c>
      <c r="F599">
        <v>0</v>
      </c>
      <c r="G599" t="s">
        <v>13</v>
      </c>
      <c r="H599" s="6">
        <v>5.3999999999999999E-2</v>
      </c>
      <c r="I599" s="8">
        <v>2.809123649459767E-2</v>
      </c>
      <c r="J599" s="5">
        <f t="shared" si="108"/>
        <v>1.0109678696460058E-2</v>
      </c>
      <c r="K599" s="5" cm="1">
        <f t="array" ref="K599">_xlfn.STDEV.S(IF($C:$C=C599,$I:$I))</f>
        <v>0.17556416633612926</v>
      </c>
      <c r="L599" s="7">
        <f t="shared" si="111"/>
        <v>0.10242157140262169</v>
      </c>
      <c r="M599">
        <f t="shared" si="109"/>
        <v>0</v>
      </c>
      <c r="N599" s="9">
        <f t="shared" si="112"/>
        <v>-0.5109154773020318</v>
      </c>
      <c r="O599">
        <f>COUNTIFS($B$2:B599,B599,$C$2:C599,C599,$D$2:D599,"&lt;"&amp;D599,$F$2:F599,1)</f>
        <v>0</v>
      </c>
      <c r="P599">
        <f t="shared" si="110"/>
        <v>0</v>
      </c>
      <c r="Q599" t="str">
        <f t="shared" si="113"/>
        <v>Monitor</v>
      </c>
      <c r="R599">
        <v>0</v>
      </c>
      <c r="S599">
        <f t="shared" si="114"/>
        <v>0</v>
      </c>
      <c r="T599">
        <f t="shared" si="115"/>
        <v>0</v>
      </c>
      <c r="U599" t="str">
        <f t="shared" si="116"/>
        <v>Improved Enough</v>
      </c>
      <c r="V599" t="str">
        <f t="shared" si="117"/>
        <v>Close</v>
      </c>
      <c r="W599" t="str">
        <f t="shared" si="118"/>
        <v>Normal</v>
      </c>
      <c r="X599" t="str">
        <f t="shared" si="119"/>
        <v>Allowed</v>
      </c>
    </row>
    <row r="600" spans="1:24" x14ac:dyDescent="0.3">
      <c r="A600" t="s">
        <v>10</v>
      </c>
      <c r="B600" t="s">
        <v>30</v>
      </c>
      <c r="C600" t="s">
        <v>14</v>
      </c>
      <c r="D600" s="3">
        <v>45900</v>
      </c>
      <c r="E600" s="6">
        <v>2.4361259655377301E-2</v>
      </c>
      <c r="F600">
        <v>0</v>
      </c>
      <c r="G600" t="s">
        <v>13</v>
      </c>
      <c r="H600" s="6">
        <v>5.3999999999999999E-2</v>
      </c>
      <c r="I600" s="8">
        <v>7.7594123048668695E-2</v>
      </c>
      <c r="J600" s="5">
        <f t="shared" si="108"/>
        <v>1.0109678696460058E-2</v>
      </c>
      <c r="K600" s="5" cm="1">
        <f t="array" ref="K600">_xlfn.STDEV.S(IF($C:$C=C600,$I:$I))</f>
        <v>0.17556416633612926</v>
      </c>
      <c r="L600" s="7">
        <f t="shared" si="111"/>
        <v>0.38438620910263199</v>
      </c>
      <c r="M600">
        <f t="shared" si="109"/>
        <v>0</v>
      </c>
      <c r="N600" s="9">
        <f t="shared" si="112"/>
        <v>-0.54886556193745739</v>
      </c>
      <c r="O600">
        <f>COUNTIFS($B$2:B600,B600,$C$2:C600,C600,$D$2:D600,"&lt;"&amp;D600,$F$2:F600,1)</f>
        <v>0</v>
      </c>
      <c r="P600">
        <f t="shared" si="110"/>
        <v>0</v>
      </c>
      <c r="Q600" t="str">
        <f t="shared" si="113"/>
        <v>Monitor</v>
      </c>
      <c r="R600">
        <v>0</v>
      </c>
      <c r="S600">
        <f t="shared" si="114"/>
        <v>0</v>
      </c>
      <c r="T600">
        <f t="shared" si="115"/>
        <v>0</v>
      </c>
      <c r="U600" t="str">
        <f t="shared" si="116"/>
        <v>Improved Enough</v>
      </c>
      <c r="V600" t="str">
        <f t="shared" si="117"/>
        <v>Close</v>
      </c>
      <c r="W600" t="str">
        <f t="shared" si="118"/>
        <v>Normal</v>
      </c>
      <c r="X600" t="str">
        <f t="shared" si="119"/>
        <v>Allowed</v>
      </c>
    </row>
    <row r="601" spans="1:24" x14ac:dyDescent="0.3">
      <c r="A601" t="s">
        <v>10</v>
      </c>
      <c r="B601" t="s">
        <v>30</v>
      </c>
      <c r="C601" t="s">
        <v>14</v>
      </c>
      <c r="D601" s="3">
        <v>45930</v>
      </c>
      <c r="E601" s="6">
        <v>2.32419547079857E-2</v>
      </c>
      <c r="F601">
        <v>0</v>
      </c>
      <c r="G601" t="s">
        <v>13</v>
      </c>
      <c r="H601" s="6">
        <v>5.3999999999999999E-2</v>
      </c>
      <c r="I601" s="8">
        <v>4.5946103084391808E-2</v>
      </c>
      <c r="J601" s="5">
        <f t="shared" si="108"/>
        <v>1.0109678696460058E-2</v>
      </c>
      <c r="K601" s="5" cm="1">
        <f t="array" ref="K601">_xlfn.STDEV.S(IF($C:$C=C601,$I:$I))</f>
        <v>0.17556416633612926</v>
      </c>
      <c r="L601" s="7">
        <f t="shared" si="111"/>
        <v>0.2041215194182652</v>
      </c>
      <c r="M601">
        <f t="shared" si="109"/>
        <v>0</v>
      </c>
      <c r="N601" s="9">
        <f t="shared" si="112"/>
        <v>-0.56959343133359819</v>
      </c>
      <c r="O601">
        <f>COUNTIFS($B$2:B601,B601,$C$2:C601,C601,$D$2:D601,"&lt;"&amp;D601,$F$2:F601,1)</f>
        <v>0</v>
      </c>
      <c r="P601">
        <f t="shared" si="110"/>
        <v>0</v>
      </c>
      <c r="Q601" t="str">
        <f t="shared" si="113"/>
        <v>Monitor</v>
      </c>
      <c r="R601">
        <v>0</v>
      </c>
      <c r="S601">
        <f t="shared" si="114"/>
        <v>0</v>
      </c>
      <c r="T601">
        <f t="shared" si="115"/>
        <v>0</v>
      </c>
      <c r="U601" t="str">
        <f t="shared" si="116"/>
        <v>Improved Enough</v>
      </c>
      <c r="V601" t="str">
        <f t="shared" si="117"/>
        <v>Close</v>
      </c>
      <c r="W601" t="str">
        <f t="shared" si="118"/>
        <v>Normal</v>
      </c>
      <c r="X601" t="str">
        <f t="shared" si="119"/>
        <v>Allowed</v>
      </c>
    </row>
    <row r="602" spans="1:24" x14ac:dyDescent="0.3">
      <c r="A602" t="s">
        <v>10</v>
      </c>
      <c r="B602" t="s">
        <v>30</v>
      </c>
      <c r="C602" t="s">
        <v>14</v>
      </c>
      <c r="D602" s="3">
        <v>45961</v>
      </c>
      <c r="E602" s="6">
        <v>2.167369054786273E-2</v>
      </c>
      <c r="F602">
        <v>0</v>
      </c>
      <c r="G602" t="s">
        <v>13</v>
      </c>
      <c r="H602" s="6">
        <v>5.3999999999999999E-2</v>
      </c>
      <c r="I602" s="8">
        <v>6.7475570786829323E-2</v>
      </c>
      <c r="J602" s="5">
        <f t="shared" si="108"/>
        <v>1.0109678696460058E-2</v>
      </c>
      <c r="K602" s="5" cm="1">
        <f t="array" ref="K602">_xlfn.STDEV.S(IF($C:$C=C602,$I:$I))</f>
        <v>0.17556416633612926</v>
      </c>
      <c r="L602" s="7">
        <f t="shared" si="111"/>
        <v>0.32675171299215156</v>
      </c>
      <c r="M602">
        <f t="shared" si="109"/>
        <v>0</v>
      </c>
      <c r="N602" s="9">
        <f t="shared" si="112"/>
        <v>-0.59863536022476427</v>
      </c>
      <c r="O602">
        <f>COUNTIFS($B$2:B602,B602,$C$2:C602,C602,$D$2:D602,"&lt;"&amp;D602,$F$2:F602,1)</f>
        <v>0</v>
      </c>
      <c r="P602">
        <f t="shared" si="110"/>
        <v>0</v>
      </c>
      <c r="Q602" t="str">
        <f t="shared" si="113"/>
        <v>Monitor</v>
      </c>
      <c r="R602">
        <v>0</v>
      </c>
      <c r="S602">
        <f t="shared" si="114"/>
        <v>0</v>
      </c>
      <c r="T602">
        <f t="shared" si="115"/>
        <v>0</v>
      </c>
      <c r="U602" t="str">
        <f t="shared" si="116"/>
        <v>Improved Enough</v>
      </c>
      <c r="V602" t="str">
        <f t="shared" si="117"/>
        <v>Close</v>
      </c>
      <c r="W602" t="str">
        <f t="shared" si="118"/>
        <v>Normal</v>
      </c>
      <c r="X602" t="str">
        <f t="shared" si="119"/>
        <v>Allowed</v>
      </c>
    </row>
    <row r="603" spans="1:24" x14ac:dyDescent="0.3">
      <c r="A603" t="s">
        <v>10</v>
      </c>
      <c r="B603" t="s">
        <v>30</v>
      </c>
      <c r="C603" t="s">
        <v>14</v>
      </c>
      <c r="D603" s="3">
        <v>45991</v>
      </c>
      <c r="E603" s="6">
        <v>2.990430622009569E-2</v>
      </c>
      <c r="F603">
        <v>0</v>
      </c>
      <c r="G603" t="s">
        <v>13</v>
      </c>
      <c r="H603" s="6">
        <v>5.3999999999999999E-2</v>
      </c>
      <c r="I603" s="8">
        <v>-0.37975146198830417</v>
      </c>
      <c r="J603" s="5">
        <f t="shared" si="108"/>
        <v>1.0109678696460058E-2</v>
      </c>
      <c r="K603" s="5" cm="1">
        <f t="array" ref="K603">_xlfn.STDEV.S(IF($C:$C=C603,$I:$I))</f>
        <v>0.17556416633612926</v>
      </c>
      <c r="L603" s="7">
        <f t="shared" si="111"/>
        <v>-2.2206190979675728</v>
      </c>
      <c r="M603">
        <f t="shared" si="109"/>
        <v>1</v>
      </c>
      <c r="N603" s="9">
        <f t="shared" si="112"/>
        <v>-0.44621655147970946</v>
      </c>
      <c r="O603">
        <f>COUNTIFS($B$2:B603,B603,$C$2:C603,C603,$D$2:D603,"&lt;"&amp;D603,$F$2:F603,1)</f>
        <v>0</v>
      </c>
      <c r="P603">
        <f t="shared" si="110"/>
        <v>0</v>
      </c>
      <c r="Q603" t="str">
        <f t="shared" si="113"/>
        <v>Monitor</v>
      </c>
      <c r="R603">
        <v>0</v>
      </c>
      <c r="S603">
        <f t="shared" si="114"/>
        <v>0</v>
      </c>
      <c r="T603">
        <f t="shared" si="115"/>
        <v>0</v>
      </c>
      <c r="U603" t="str">
        <f t="shared" si="116"/>
        <v>Not Improved Enough</v>
      </c>
      <c r="V603" t="str">
        <f t="shared" si="117"/>
        <v>Close</v>
      </c>
      <c r="W603" t="str">
        <f t="shared" si="118"/>
        <v>Abnormal</v>
      </c>
      <c r="X603" t="str">
        <f t="shared" si="119"/>
        <v>Allowed</v>
      </c>
    </row>
    <row r="604" spans="1:24" x14ac:dyDescent="0.3">
      <c r="A604" t="s">
        <v>10</v>
      </c>
      <c r="B604" t="s">
        <v>30</v>
      </c>
      <c r="C604" t="s">
        <v>15</v>
      </c>
      <c r="D604" s="3">
        <v>45535</v>
      </c>
      <c r="E604" s="6">
        <v>5.4151624548736461E-2</v>
      </c>
      <c r="F604">
        <v>0</v>
      </c>
      <c r="G604" t="s">
        <v>13</v>
      </c>
      <c r="H604" s="6">
        <v>6.6000000000000003E-2</v>
      </c>
      <c r="I604" s="8">
        <v>-8.7043722422783812E-2</v>
      </c>
      <c r="J604" s="5">
        <f t="shared" si="108"/>
        <v>-2.475667272801203E-2</v>
      </c>
      <c r="K604" s="5" cm="1">
        <f t="array" ref="K604">_xlfn.STDEV.S(IF($C:$C=C604,$I:$I))</f>
        <v>0.42334565134305008</v>
      </c>
      <c r="L604" s="7">
        <f t="shared" si="111"/>
        <v>-0.1471304819056678</v>
      </c>
      <c r="M604">
        <f t="shared" si="109"/>
        <v>0</v>
      </c>
      <c r="N604" s="9">
        <f t="shared" si="112"/>
        <v>-0.17952084017065972</v>
      </c>
      <c r="O604">
        <f>COUNTIFS($B$2:B604,B604,$C$2:C604,C604,$D$2:D604,"&lt;"&amp;D604,$F$2:F604,1)</f>
        <v>0</v>
      </c>
      <c r="P604">
        <f t="shared" si="110"/>
        <v>0</v>
      </c>
      <c r="Q604" t="str">
        <f t="shared" si="113"/>
        <v>Monitor</v>
      </c>
      <c r="R604">
        <v>0</v>
      </c>
      <c r="S604">
        <f t="shared" si="114"/>
        <v>0</v>
      </c>
      <c r="T604">
        <f t="shared" si="115"/>
        <v>0</v>
      </c>
      <c r="U604" t="str">
        <f t="shared" si="116"/>
        <v>Not Improved Enough</v>
      </c>
      <c r="V604" t="str">
        <f t="shared" si="117"/>
        <v>Close</v>
      </c>
      <c r="W604" t="str">
        <f t="shared" si="118"/>
        <v>Normal</v>
      </c>
      <c r="X604" t="str">
        <f t="shared" si="119"/>
        <v>Allowed</v>
      </c>
    </row>
    <row r="605" spans="1:24" x14ac:dyDescent="0.3">
      <c r="A605" t="s">
        <v>10</v>
      </c>
      <c r="B605" t="s">
        <v>30</v>
      </c>
      <c r="C605" t="s">
        <v>15</v>
      </c>
      <c r="D605" s="3">
        <v>45565</v>
      </c>
      <c r="E605" s="6">
        <v>4.8300536672629693E-2</v>
      </c>
      <c r="F605">
        <v>0</v>
      </c>
      <c r="G605" t="s">
        <v>13</v>
      </c>
      <c r="H605" s="6">
        <v>6.6000000000000003E-2</v>
      </c>
      <c r="I605" s="8">
        <v>0.1080500894454383</v>
      </c>
      <c r="J605" s="5">
        <f t="shared" si="108"/>
        <v>-2.475667272801203E-2</v>
      </c>
      <c r="K605" s="5" cm="1">
        <f t="array" ref="K605">_xlfn.STDEV.S(IF($C:$C=C605,$I:$I))</f>
        <v>0.42334565134305008</v>
      </c>
      <c r="L605" s="7">
        <f t="shared" si="111"/>
        <v>0.31370763288137077</v>
      </c>
      <c r="M605">
        <f t="shared" si="109"/>
        <v>0</v>
      </c>
      <c r="N605" s="9">
        <f t="shared" si="112"/>
        <v>-0.26817368677833803</v>
      </c>
      <c r="O605">
        <f>COUNTIFS($B$2:B605,B605,$C$2:C605,C605,$D$2:D605,"&lt;"&amp;D605,$F$2:F605,1)</f>
        <v>0</v>
      </c>
      <c r="P605">
        <f t="shared" si="110"/>
        <v>0</v>
      </c>
      <c r="Q605" t="str">
        <f t="shared" si="113"/>
        <v>Monitor</v>
      </c>
      <c r="R605">
        <v>0</v>
      </c>
      <c r="S605">
        <f t="shared" si="114"/>
        <v>0</v>
      </c>
      <c r="T605">
        <f t="shared" si="115"/>
        <v>0</v>
      </c>
      <c r="U605" t="str">
        <f t="shared" si="116"/>
        <v>Improved Enough</v>
      </c>
      <c r="V605" t="str">
        <f t="shared" si="117"/>
        <v>Close</v>
      </c>
      <c r="W605" t="str">
        <f t="shared" si="118"/>
        <v>Normal</v>
      </c>
      <c r="X605" t="str">
        <f t="shared" si="119"/>
        <v>Allowed</v>
      </c>
    </row>
    <row r="606" spans="1:24" x14ac:dyDescent="0.3">
      <c r="A606" t="s">
        <v>10</v>
      </c>
      <c r="B606" t="s">
        <v>30</v>
      </c>
      <c r="C606" t="s">
        <v>15</v>
      </c>
      <c r="D606" s="3">
        <v>45596</v>
      </c>
      <c r="E606" s="6">
        <v>4.0219378427787937E-2</v>
      </c>
      <c r="F606">
        <v>0</v>
      </c>
      <c r="G606" t="s">
        <v>13</v>
      </c>
      <c r="H606" s="6">
        <v>6.6000000000000003E-2</v>
      </c>
      <c r="I606" s="8">
        <v>0.16730990588394601</v>
      </c>
      <c r="J606" s="5">
        <f t="shared" si="108"/>
        <v>-2.475667272801203E-2</v>
      </c>
      <c r="K606" s="5" cm="1">
        <f t="array" ref="K606">_xlfn.STDEV.S(IF($C:$C=C606,$I:$I))</f>
        <v>0.42334565134305008</v>
      </c>
      <c r="L606" s="7">
        <f t="shared" si="111"/>
        <v>0.45368737815691068</v>
      </c>
      <c r="M606">
        <f t="shared" si="109"/>
        <v>0</v>
      </c>
      <c r="N606" s="9">
        <f t="shared" si="112"/>
        <v>-0.39061547836684946</v>
      </c>
      <c r="O606">
        <f>COUNTIFS($B$2:B606,B606,$C$2:C606,C606,$D$2:D606,"&lt;"&amp;D606,$F$2:F606,1)</f>
        <v>0</v>
      </c>
      <c r="P606">
        <f t="shared" si="110"/>
        <v>0</v>
      </c>
      <c r="Q606" t="str">
        <f t="shared" si="113"/>
        <v>Monitor</v>
      </c>
      <c r="R606">
        <v>0</v>
      </c>
      <c r="S606">
        <f t="shared" si="114"/>
        <v>0</v>
      </c>
      <c r="T606">
        <f t="shared" si="115"/>
        <v>0</v>
      </c>
      <c r="U606" t="str">
        <f t="shared" si="116"/>
        <v>Improved Enough</v>
      </c>
      <c r="V606" t="str">
        <f t="shared" si="117"/>
        <v>Close</v>
      </c>
      <c r="W606" t="str">
        <f t="shared" si="118"/>
        <v>Normal</v>
      </c>
      <c r="X606" t="str">
        <f t="shared" si="119"/>
        <v>Allowed</v>
      </c>
    </row>
    <row r="607" spans="1:24" x14ac:dyDescent="0.3">
      <c r="A607" t="s">
        <v>10</v>
      </c>
      <c r="B607" t="s">
        <v>30</v>
      </c>
      <c r="C607" t="s">
        <v>15</v>
      </c>
      <c r="D607" s="3">
        <v>45626</v>
      </c>
      <c r="E607" s="6">
        <v>4.2435423999999999E-2</v>
      </c>
      <c r="F607">
        <v>0</v>
      </c>
      <c r="G607" t="s">
        <v>13</v>
      </c>
      <c r="H607" s="6">
        <v>6.6000000000000003E-2</v>
      </c>
      <c r="I607" s="8">
        <v>-5.5098951272727181E-2</v>
      </c>
      <c r="J607" s="5">
        <f t="shared" si="108"/>
        <v>-2.475667272801203E-2</v>
      </c>
      <c r="K607" s="5" cm="1">
        <f t="array" ref="K607">_xlfn.STDEV.S(IF($C:$C=C607,$I:$I))</f>
        <v>0.42334565134305008</v>
      </c>
      <c r="L607" s="7">
        <f t="shared" si="111"/>
        <v>-7.1672588223016531E-2</v>
      </c>
      <c r="M607">
        <f t="shared" si="109"/>
        <v>0</v>
      </c>
      <c r="N607" s="9">
        <f t="shared" si="112"/>
        <v>-0.35703903030303036</v>
      </c>
      <c r="O607">
        <f>COUNTIFS($B$2:B607,B607,$C$2:C607,C607,$D$2:D607,"&lt;"&amp;D607,$F$2:F607,1)</f>
        <v>0</v>
      </c>
      <c r="P607">
        <f t="shared" si="110"/>
        <v>0</v>
      </c>
      <c r="Q607" t="str">
        <f t="shared" si="113"/>
        <v>Monitor</v>
      </c>
      <c r="R607">
        <v>0</v>
      </c>
      <c r="S607">
        <f t="shared" si="114"/>
        <v>0</v>
      </c>
      <c r="T607">
        <f t="shared" si="115"/>
        <v>0</v>
      </c>
      <c r="U607" t="str">
        <f t="shared" si="116"/>
        <v>Not Improved Enough</v>
      </c>
      <c r="V607" t="str">
        <f t="shared" si="117"/>
        <v>Close</v>
      </c>
      <c r="W607" t="str">
        <f t="shared" si="118"/>
        <v>Normal</v>
      </c>
      <c r="X607" t="str">
        <f t="shared" si="119"/>
        <v>Allowed</v>
      </c>
    </row>
    <row r="608" spans="1:24" x14ac:dyDescent="0.3">
      <c r="A608" t="s">
        <v>10</v>
      </c>
      <c r="B608" t="s">
        <v>30</v>
      </c>
      <c r="C608" t="s">
        <v>15</v>
      </c>
      <c r="D608" s="3">
        <v>45657</v>
      </c>
      <c r="E608" s="6">
        <v>6.363636363636363E-2</v>
      </c>
      <c r="F608">
        <v>0</v>
      </c>
      <c r="G608" t="s">
        <v>13</v>
      </c>
      <c r="H608" s="6">
        <v>6.6000000000000003E-2</v>
      </c>
      <c r="I608" s="8">
        <v>-0.49960475560144352</v>
      </c>
      <c r="J608" s="5">
        <f t="shared" si="108"/>
        <v>-2.475667272801203E-2</v>
      </c>
      <c r="K608" s="5" cm="1">
        <f t="array" ref="K608">_xlfn.STDEV.S(IF($C:$C=C608,$I:$I))</f>
        <v>0.42334565134305008</v>
      </c>
      <c r="L608" s="7">
        <f t="shared" si="111"/>
        <v>-1.1216557471819817</v>
      </c>
      <c r="M608">
        <f t="shared" si="109"/>
        <v>1</v>
      </c>
      <c r="N608" s="9">
        <f t="shared" si="112"/>
        <v>-3.5812672176308687E-2</v>
      </c>
      <c r="O608">
        <f>COUNTIFS($B$2:B608,B608,$C$2:C608,C608,$D$2:D608,"&lt;"&amp;D608,$F$2:F608,1)</f>
        <v>0</v>
      </c>
      <c r="P608">
        <f t="shared" si="110"/>
        <v>0</v>
      </c>
      <c r="Q608" t="str">
        <f t="shared" si="113"/>
        <v>Monitor</v>
      </c>
      <c r="R608">
        <v>0</v>
      </c>
      <c r="S608">
        <f t="shared" si="114"/>
        <v>0</v>
      </c>
      <c r="T608">
        <f t="shared" si="115"/>
        <v>0</v>
      </c>
      <c r="U608" t="str">
        <f t="shared" si="116"/>
        <v>Not Improved Enough</v>
      </c>
      <c r="V608" t="str">
        <f t="shared" si="117"/>
        <v>Close</v>
      </c>
      <c r="W608" t="str">
        <f t="shared" si="118"/>
        <v>Abnormal</v>
      </c>
      <c r="X608" t="str">
        <f t="shared" si="119"/>
        <v>Allowed</v>
      </c>
    </row>
    <row r="609" spans="1:24" x14ac:dyDescent="0.3">
      <c r="A609" t="s">
        <v>10</v>
      </c>
      <c r="B609" t="s">
        <v>30</v>
      </c>
      <c r="C609" t="s">
        <v>15</v>
      </c>
      <c r="D609" s="3">
        <v>45688</v>
      </c>
      <c r="E609" s="6">
        <v>6.545454545454546E-2</v>
      </c>
      <c r="F609">
        <v>0</v>
      </c>
      <c r="G609" t="s">
        <v>13</v>
      </c>
      <c r="H609" s="6">
        <v>6.6000000000000003E-2</v>
      </c>
      <c r="I609" s="8">
        <v>-2.8571428571428761E-2</v>
      </c>
      <c r="J609" s="5">
        <f t="shared" si="108"/>
        <v>-2.475667272801203E-2</v>
      </c>
      <c r="K609" s="5" cm="1">
        <f t="array" ref="K609">_xlfn.STDEV.S(IF($C:$C=C609,$I:$I))</f>
        <v>0.42334565134305008</v>
      </c>
      <c r="L609" s="7">
        <f t="shared" si="111"/>
        <v>-9.0109720775790308E-3</v>
      </c>
      <c r="M609">
        <f t="shared" si="109"/>
        <v>0</v>
      </c>
      <c r="N609" s="9">
        <f t="shared" si="112"/>
        <v>-8.2644628099173244E-3</v>
      </c>
      <c r="O609">
        <f>COUNTIFS($B$2:B609,B609,$C$2:C609,C609,$D$2:D609,"&lt;"&amp;D609,$F$2:F609,1)</f>
        <v>0</v>
      </c>
      <c r="P609">
        <f t="shared" si="110"/>
        <v>0</v>
      </c>
      <c r="Q609" t="str">
        <f t="shared" si="113"/>
        <v>Monitor</v>
      </c>
      <c r="R609">
        <v>0</v>
      </c>
      <c r="S609">
        <f t="shared" si="114"/>
        <v>0</v>
      </c>
      <c r="T609">
        <f t="shared" si="115"/>
        <v>0</v>
      </c>
      <c r="U609" t="str">
        <f t="shared" si="116"/>
        <v>Not Improved Enough</v>
      </c>
      <c r="V609" t="str">
        <f t="shared" si="117"/>
        <v>Close</v>
      </c>
      <c r="W609" t="str">
        <f t="shared" si="118"/>
        <v>Normal</v>
      </c>
      <c r="X609" t="str">
        <f t="shared" si="119"/>
        <v>Allowed</v>
      </c>
    </row>
    <row r="610" spans="1:24" x14ac:dyDescent="0.3">
      <c r="A610" t="s">
        <v>10</v>
      </c>
      <c r="B610" t="s">
        <v>30</v>
      </c>
      <c r="C610" t="s">
        <v>15</v>
      </c>
      <c r="D610" s="3">
        <v>45716</v>
      </c>
      <c r="E610" s="6">
        <v>5.6363636363636373E-2</v>
      </c>
      <c r="F610">
        <v>0</v>
      </c>
      <c r="G610" t="s">
        <v>13</v>
      </c>
      <c r="H610" s="6">
        <v>6.6000000000000003E-2</v>
      </c>
      <c r="I610" s="8">
        <v>0.13888888888888881</v>
      </c>
      <c r="J610" s="5">
        <f t="shared" si="108"/>
        <v>-2.475667272801203E-2</v>
      </c>
      <c r="K610" s="5" cm="1">
        <f t="array" ref="K610">_xlfn.STDEV.S(IF($C:$C=C610,$I:$I))</f>
        <v>0.42334565134305008</v>
      </c>
      <c r="L610" s="7">
        <f t="shared" si="111"/>
        <v>0.38655307098995983</v>
      </c>
      <c r="M610">
        <f t="shared" si="109"/>
        <v>0</v>
      </c>
      <c r="N610" s="9">
        <f t="shared" si="112"/>
        <v>-0.14600550964187317</v>
      </c>
      <c r="O610">
        <f>COUNTIFS($B$2:B610,B610,$C$2:C610,C610,$D$2:D610,"&lt;"&amp;D610,$F$2:F610,1)</f>
        <v>0</v>
      </c>
      <c r="P610">
        <f t="shared" si="110"/>
        <v>0</v>
      </c>
      <c r="Q610" t="str">
        <f t="shared" si="113"/>
        <v>Monitor</v>
      </c>
      <c r="R610">
        <v>0</v>
      </c>
      <c r="S610">
        <f t="shared" si="114"/>
        <v>0</v>
      </c>
      <c r="T610">
        <f t="shared" si="115"/>
        <v>0</v>
      </c>
      <c r="U610" t="str">
        <f t="shared" si="116"/>
        <v>Improved Enough</v>
      </c>
      <c r="V610" t="str">
        <f t="shared" si="117"/>
        <v>Close</v>
      </c>
      <c r="W610" t="str">
        <f t="shared" si="118"/>
        <v>Normal</v>
      </c>
      <c r="X610" t="str">
        <f t="shared" si="119"/>
        <v>Allowed</v>
      </c>
    </row>
    <row r="611" spans="1:24" x14ac:dyDescent="0.3">
      <c r="A611" t="s">
        <v>10</v>
      </c>
      <c r="B611" t="s">
        <v>30</v>
      </c>
      <c r="C611" t="s">
        <v>15</v>
      </c>
      <c r="D611" s="3">
        <v>45747</v>
      </c>
      <c r="E611" s="6">
        <v>4.5454545454545463E-2</v>
      </c>
      <c r="F611">
        <v>0</v>
      </c>
      <c r="G611" t="s">
        <v>13</v>
      </c>
      <c r="H611" s="6">
        <v>6.6000000000000003E-2</v>
      </c>
      <c r="I611" s="8">
        <v>0.19354838709677419</v>
      </c>
      <c r="J611" s="5">
        <f t="shared" si="108"/>
        <v>-2.475667272801203E-2</v>
      </c>
      <c r="K611" s="5" cm="1">
        <f t="array" ref="K611">_xlfn.STDEV.S(IF($C:$C=C611,$I:$I))</f>
        <v>0.42334565134305008</v>
      </c>
      <c r="L611" s="7">
        <f t="shared" si="111"/>
        <v>0.51566623899931563</v>
      </c>
      <c r="M611">
        <f t="shared" si="109"/>
        <v>-1</v>
      </c>
      <c r="N611" s="9">
        <f t="shared" si="112"/>
        <v>-0.31129476584022031</v>
      </c>
      <c r="O611">
        <f>COUNTIFS($B$2:B611,B611,$C$2:C611,C611,$D$2:D611,"&lt;"&amp;D611,$F$2:F611,1)</f>
        <v>0</v>
      </c>
      <c r="P611">
        <f t="shared" si="110"/>
        <v>0</v>
      </c>
      <c r="Q611" t="str">
        <f t="shared" si="113"/>
        <v>Monitor</v>
      </c>
      <c r="R611">
        <v>0</v>
      </c>
      <c r="S611">
        <f t="shared" si="114"/>
        <v>0</v>
      </c>
      <c r="T611">
        <f t="shared" si="115"/>
        <v>0</v>
      </c>
      <c r="U611" t="str">
        <f t="shared" si="116"/>
        <v>Improved Enough</v>
      </c>
      <c r="V611" t="str">
        <f t="shared" si="117"/>
        <v>Close</v>
      </c>
      <c r="W611" t="str">
        <f t="shared" si="118"/>
        <v>Normal</v>
      </c>
      <c r="X611" t="str">
        <f t="shared" si="119"/>
        <v>Allowed</v>
      </c>
    </row>
    <row r="612" spans="1:24" x14ac:dyDescent="0.3">
      <c r="A612" t="s">
        <v>10</v>
      </c>
      <c r="B612" t="s">
        <v>30</v>
      </c>
      <c r="C612" t="s">
        <v>15</v>
      </c>
      <c r="D612" s="3">
        <v>45777</v>
      </c>
      <c r="E612" s="6">
        <v>1.6885553470919329E-2</v>
      </c>
      <c r="F612">
        <v>0</v>
      </c>
      <c r="G612" t="s">
        <v>13</v>
      </c>
      <c r="H612" s="6">
        <v>6.6000000000000003E-2</v>
      </c>
      <c r="I612" s="8">
        <v>0.62851782363977482</v>
      </c>
      <c r="J612" s="5">
        <f t="shared" si="108"/>
        <v>-2.475667272801203E-2</v>
      </c>
      <c r="K612" s="5" cm="1">
        <f t="array" ref="K612">_xlfn.STDEV.S(IF($C:$C=C612,$I:$I))</f>
        <v>0.42334565134305008</v>
      </c>
      <c r="L612" s="7">
        <f t="shared" si="111"/>
        <v>1.5431232003808122</v>
      </c>
      <c r="M612">
        <f t="shared" si="109"/>
        <v>-1</v>
      </c>
      <c r="N612" s="9">
        <f t="shared" si="112"/>
        <v>-0.74415828074364654</v>
      </c>
      <c r="O612">
        <f>COUNTIFS($B$2:B612,B612,$C$2:C612,C612,$D$2:D612,"&lt;"&amp;D612,$F$2:F612,1)</f>
        <v>0</v>
      </c>
      <c r="P612">
        <f t="shared" si="110"/>
        <v>0</v>
      </c>
      <c r="Q612" t="str">
        <f t="shared" si="113"/>
        <v>Monitor</v>
      </c>
      <c r="R612">
        <v>0</v>
      </c>
      <c r="S612">
        <f t="shared" si="114"/>
        <v>0</v>
      </c>
      <c r="T612">
        <f t="shared" si="115"/>
        <v>0</v>
      </c>
      <c r="U612" t="str">
        <f t="shared" si="116"/>
        <v>Improved Enough</v>
      </c>
      <c r="V612" t="str">
        <f t="shared" si="117"/>
        <v>Close</v>
      </c>
      <c r="W612" t="str">
        <f t="shared" si="118"/>
        <v>Normal</v>
      </c>
      <c r="X612" t="str">
        <f t="shared" si="119"/>
        <v>Allowed</v>
      </c>
    </row>
    <row r="613" spans="1:24" x14ac:dyDescent="0.3">
      <c r="A613" t="s">
        <v>10</v>
      </c>
      <c r="B613" t="s">
        <v>30</v>
      </c>
      <c r="C613" t="s">
        <v>15</v>
      </c>
      <c r="D613" s="3">
        <v>45808</v>
      </c>
      <c r="E613" s="6">
        <v>3.8321167883211681E-2</v>
      </c>
      <c r="F613">
        <v>0</v>
      </c>
      <c r="G613" t="s">
        <v>13</v>
      </c>
      <c r="H613" s="6">
        <v>6.6000000000000003E-2</v>
      </c>
      <c r="I613" s="8">
        <v>-1.269464720194647</v>
      </c>
      <c r="J613" s="5">
        <f t="shared" si="108"/>
        <v>-2.475667272801203E-2</v>
      </c>
      <c r="K613" s="5" cm="1">
        <f t="array" ref="K613">_xlfn.STDEV.S(IF($C:$C=C613,$I:$I))</f>
        <v>0.42334565134305008</v>
      </c>
      <c r="L613" s="7">
        <f t="shared" si="111"/>
        <v>-2.940169678176308</v>
      </c>
      <c r="M613">
        <f t="shared" si="109"/>
        <v>1</v>
      </c>
      <c r="N613" s="9">
        <f t="shared" si="112"/>
        <v>-0.41937624419376246</v>
      </c>
      <c r="O613">
        <f>COUNTIFS($B$2:B613,B613,$C$2:C613,C613,$D$2:D613,"&lt;"&amp;D613,$F$2:F613,1)</f>
        <v>0</v>
      </c>
      <c r="P613">
        <f t="shared" si="110"/>
        <v>0</v>
      </c>
      <c r="Q613" t="str">
        <f t="shared" si="113"/>
        <v>Monitor</v>
      </c>
      <c r="R613">
        <v>0</v>
      </c>
      <c r="S613">
        <f t="shared" si="114"/>
        <v>0</v>
      </c>
      <c r="T613">
        <f t="shared" si="115"/>
        <v>0</v>
      </c>
      <c r="U613" t="str">
        <f t="shared" si="116"/>
        <v>Not Improved Enough</v>
      </c>
      <c r="V613" t="str">
        <f t="shared" si="117"/>
        <v>Close</v>
      </c>
      <c r="W613" t="str">
        <f t="shared" si="118"/>
        <v>Abnormal</v>
      </c>
      <c r="X613" t="str">
        <f t="shared" si="119"/>
        <v>Allowed</v>
      </c>
    </row>
    <row r="614" spans="1:24" x14ac:dyDescent="0.3">
      <c r="A614" t="s">
        <v>10</v>
      </c>
      <c r="B614" t="s">
        <v>30</v>
      </c>
      <c r="C614" t="s">
        <v>15</v>
      </c>
      <c r="D614" s="3">
        <v>45838</v>
      </c>
      <c r="E614" s="6">
        <v>2.367941712204007E-2</v>
      </c>
      <c r="F614">
        <v>0</v>
      </c>
      <c r="G614" t="s">
        <v>13</v>
      </c>
      <c r="H614" s="6">
        <v>6.6000000000000003E-2</v>
      </c>
      <c r="I614" s="8">
        <v>0.38207997224390677</v>
      </c>
      <c r="J614" s="5">
        <f t="shared" si="108"/>
        <v>-2.475667272801203E-2</v>
      </c>
      <c r="K614" s="5" cm="1">
        <f t="array" ref="K614">_xlfn.STDEV.S(IF($C:$C=C614,$I:$I))</f>
        <v>0.42334565134305008</v>
      </c>
      <c r="L614" s="7">
        <f t="shared" si="111"/>
        <v>0.96100348186226314</v>
      </c>
      <c r="M614">
        <f t="shared" si="109"/>
        <v>-1</v>
      </c>
      <c r="N614" s="9">
        <f t="shared" si="112"/>
        <v>-0.64122095269636259</v>
      </c>
      <c r="O614">
        <f>COUNTIFS($B$2:B614,B614,$C$2:C614,C614,$D$2:D614,"&lt;"&amp;D614,$F$2:F614,1)</f>
        <v>0</v>
      </c>
      <c r="P614">
        <f t="shared" si="110"/>
        <v>0</v>
      </c>
      <c r="Q614" t="str">
        <f t="shared" si="113"/>
        <v>Monitor</v>
      </c>
      <c r="R614">
        <v>0</v>
      </c>
      <c r="S614">
        <f t="shared" si="114"/>
        <v>0</v>
      </c>
      <c r="T614">
        <f t="shared" si="115"/>
        <v>0</v>
      </c>
      <c r="U614" t="str">
        <f t="shared" si="116"/>
        <v>Improved Enough</v>
      </c>
      <c r="V614" t="str">
        <f t="shared" si="117"/>
        <v>Close</v>
      </c>
      <c r="W614" t="str">
        <f t="shared" si="118"/>
        <v>Normal</v>
      </c>
      <c r="X614" t="str">
        <f t="shared" si="119"/>
        <v>Allowed</v>
      </c>
    </row>
    <row r="615" spans="1:24" x14ac:dyDescent="0.3">
      <c r="A615" t="s">
        <v>10</v>
      </c>
      <c r="B615" t="s">
        <v>30</v>
      </c>
      <c r="C615" t="s">
        <v>15</v>
      </c>
      <c r="D615" s="3">
        <v>45869</v>
      </c>
      <c r="E615" s="6">
        <v>1.6129032258064519E-2</v>
      </c>
      <c r="F615">
        <v>0</v>
      </c>
      <c r="G615" t="s">
        <v>13</v>
      </c>
      <c r="H615" s="6">
        <v>6.6000000000000003E-2</v>
      </c>
      <c r="I615" s="8">
        <v>0.31885856079404451</v>
      </c>
      <c r="J615" s="5">
        <f t="shared" si="108"/>
        <v>-2.475667272801203E-2</v>
      </c>
      <c r="K615" s="5" cm="1">
        <f t="array" ref="K615">_xlfn.STDEV.S(IF($C:$C=C615,$I:$I))</f>
        <v>0.42334565134305008</v>
      </c>
      <c r="L615" s="7">
        <f t="shared" si="111"/>
        <v>0.81166591042555547</v>
      </c>
      <c r="M615">
        <f t="shared" si="109"/>
        <v>-1</v>
      </c>
      <c r="N615" s="9">
        <f t="shared" si="112"/>
        <v>-0.75562072336265884</v>
      </c>
      <c r="O615">
        <f>COUNTIFS($B$2:B615,B615,$C$2:C615,C615,$D$2:D615,"&lt;"&amp;D615,$F$2:F615,1)</f>
        <v>0</v>
      </c>
      <c r="P615">
        <f t="shared" si="110"/>
        <v>0</v>
      </c>
      <c r="Q615" t="str">
        <f t="shared" si="113"/>
        <v>Monitor</v>
      </c>
      <c r="R615">
        <v>0</v>
      </c>
      <c r="S615">
        <f t="shared" si="114"/>
        <v>0</v>
      </c>
      <c r="T615">
        <f t="shared" si="115"/>
        <v>0</v>
      </c>
      <c r="U615" t="str">
        <f t="shared" si="116"/>
        <v>Improved Enough</v>
      </c>
      <c r="V615" t="str">
        <f t="shared" si="117"/>
        <v>Close</v>
      </c>
      <c r="W615" t="str">
        <f t="shared" si="118"/>
        <v>Normal</v>
      </c>
      <c r="X615" t="str">
        <f t="shared" si="119"/>
        <v>Allowed</v>
      </c>
    </row>
    <row r="616" spans="1:24" x14ac:dyDescent="0.3">
      <c r="A616" t="s">
        <v>10</v>
      </c>
      <c r="B616" t="s">
        <v>30</v>
      </c>
      <c r="C616" t="s">
        <v>15</v>
      </c>
      <c r="D616" s="3">
        <v>45900</v>
      </c>
      <c r="E616" s="6">
        <v>1.5929203539823009E-2</v>
      </c>
      <c r="F616">
        <v>0</v>
      </c>
      <c r="G616" t="s">
        <v>13</v>
      </c>
      <c r="H616" s="6">
        <v>6.6000000000000003E-2</v>
      </c>
      <c r="I616" s="8">
        <v>1.2389380530973651E-2</v>
      </c>
      <c r="J616" s="5">
        <f t="shared" si="108"/>
        <v>-2.475667272801203E-2</v>
      </c>
      <c r="K616" s="5" cm="1">
        <f t="array" ref="K616">_xlfn.STDEV.S(IF($C:$C=C616,$I:$I))</f>
        <v>0.42334565134305008</v>
      </c>
      <c r="L616" s="7">
        <f t="shared" si="111"/>
        <v>8.7744029355542097E-2</v>
      </c>
      <c r="M616">
        <f t="shared" si="109"/>
        <v>0</v>
      </c>
      <c r="N616" s="9">
        <f t="shared" si="112"/>
        <v>-0.75864843121480297</v>
      </c>
      <c r="O616">
        <f>COUNTIFS($B$2:B616,B616,$C$2:C616,C616,$D$2:D616,"&lt;"&amp;D616,$F$2:F616,1)</f>
        <v>0</v>
      </c>
      <c r="P616">
        <f t="shared" si="110"/>
        <v>0</v>
      </c>
      <c r="Q616" t="str">
        <f t="shared" si="113"/>
        <v>Monitor</v>
      </c>
      <c r="R616">
        <v>0</v>
      </c>
      <c r="S616">
        <f t="shared" si="114"/>
        <v>0</v>
      </c>
      <c r="T616">
        <f t="shared" si="115"/>
        <v>0</v>
      </c>
      <c r="U616" t="str">
        <f t="shared" si="116"/>
        <v>Improved Enough</v>
      </c>
      <c r="V616" t="str">
        <f t="shared" si="117"/>
        <v>Close</v>
      </c>
      <c r="W616" t="str">
        <f t="shared" si="118"/>
        <v>Normal</v>
      </c>
      <c r="X616" t="str">
        <f t="shared" si="119"/>
        <v>Allowed</v>
      </c>
    </row>
    <row r="617" spans="1:24" x14ac:dyDescent="0.3">
      <c r="A617" t="s">
        <v>10</v>
      </c>
      <c r="B617" t="s">
        <v>30</v>
      </c>
      <c r="C617" t="s">
        <v>15</v>
      </c>
      <c r="D617" s="3">
        <v>45930</v>
      </c>
      <c r="E617" s="6">
        <v>1.063829787234043E-2</v>
      </c>
      <c r="F617">
        <v>0</v>
      </c>
      <c r="G617" t="s">
        <v>13</v>
      </c>
      <c r="H617" s="6">
        <v>6.6000000000000003E-2</v>
      </c>
      <c r="I617" s="8">
        <v>0.33215130023640632</v>
      </c>
      <c r="J617" s="5">
        <f t="shared" si="108"/>
        <v>-2.475667272801203E-2</v>
      </c>
      <c r="K617" s="5" cm="1">
        <f t="array" ref="K617">_xlfn.STDEV.S(IF($C:$C=C617,$I:$I))</f>
        <v>0.42334565134305008</v>
      </c>
      <c r="L617" s="7">
        <f t="shared" si="111"/>
        <v>0.84306516869168158</v>
      </c>
      <c r="M617">
        <f t="shared" si="109"/>
        <v>-1</v>
      </c>
      <c r="N617" s="9">
        <f t="shared" si="112"/>
        <v>-0.83881366860090267</v>
      </c>
      <c r="O617">
        <f>COUNTIFS($B$2:B617,B617,$C$2:C617,C617,$D$2:D617,"&lt;"&amp;D617,$F$2:F617,1)</f>
        <v>0</v>
      </c>
      <c r="P617">
        <f t="shared" si="110"/>
        <v>0</v>
      </c>
      <c r="Q617" t="str">
        <f t="shared" si="113"/>
        <v>Monitor</v>
      </c>
      <c r="R617">
        <v>0</v>
      </c>
      <c r="S617">
        <f t="shared" si="114"/>
        <v>0</v>
      </c>
      <c r="T617">
        <f t="shared" si="115"/>
        <v>0</v>
      </c>
      <c r="U617" t="str">
        <f t="shared" si="116"/>
        <v>Improved Enough</v>
      </c>
      <c r="V617" t="str">
        <f t="shared" si="117"/>
        <v>Close</v>
      </c>
      <c r="W617" t="str">
        <f t="shared" si="118"/>
        <v>Normal</v>
      </c>
      <c r="X617" t="str">
        <f t="shared" si="119"/>
        <v>Allowed</v>
      </c>
    </row>
    <row r="618" spans="1:24" x14ac:dyDescent="0.3">
      <c r="A618" t="s">
        <v>10</v>
      </c>
      <c r="B618" t="s">
        <v>30</v>
      </c>
      <c r="C618" t="s">
        <v>15</v>
      </c>
      <c r="D618" s="3">
        <v>45961</v>
      </c>
      <c r="E618" s="6">
        <v>1.423487544483986E-2</v>
      </c>
      <c r="F618">
        <v>0</v>
      </c>
      <c r="G618" t="s">
        <v>13</v>
      </c>
      <c r="H618" s="6">
        <v>6.6000000000000003E-2</v>
      </c>
      <c r="I618" s="8">
        <v>-0.33807829181494631</v>
      </c>
      <c r="J618" s="5">
        <f t="shared" si="108"/>
        <v>-2.475667272801203E-2</v>
      </c>
      <c r="K618" s="5" cm="1">
        <f t="array" ref="K618">_xlfn.STDEV.S(IF($C:$C=C618,$I:$I))</f>
        <v>0.42334565134305008</v>
      </c>
      <c r="L618" s="7">
        <f t="shared" si="111"/>
        <v>-0.74010827344731622</v>
      </c>
      <c r="M618">
        <f t="shared" si="109"/>
        <v>1</v>
      </c>
      <c r="N618" s="9">
        <f t="shared" si="112"/>
        <v>-0.78432006901757789</v>
      </c>
      <c r="O618">
        <f>COUNTIFS($B$2:B618,B618,$C$2:C618,C618,$D$2:D618,"&lt;"&amp;D618,$F$2:F618,1)</f>
        <v>0</v>
      </c>
      <c r="P618">
        <f t="shared" si="110"/>
        <v>0</v>
      </c>
      <c r="Q618" t="str">
        <f t="shared" si="113"/>
        <v>Monitor</v>
      </c>
      <c r="R618">
        <v>0</v>
      </c>
      <c r="S618">
        <f t="shared" si="114"/>
        <v>0</v>
      </c>
      <c r="T618">
        <f t="shared" si="115"/>
        <v>0</v>
      </c>
      <c r="U618" t="str">
        <f t="shared" si="116"/>
        <v>Not Improved Enough</v>
      </c>
      <c r="V618" t="str">
        <f t="shared" si="117"/>
        <v>Close</v>
      </c>
      <c r="W618" t="str">
        <f t="shared" si="118"/>
        <v>Abnormal</v>
      </c>
      <c r="X618" t="str">
        <f t="shared" si="119"/>
        <v>Allowed</v>
      </c>
    </row>
    <row r="619" spans="1:24" x14ac:dyDescent="0.3">
      <c r="A619" t="s">
        <v>10</v>
      </c>
      <c r="B619" t="s">
        <v>30</v>
      </c>
      <c r="C619" t="s">
        <v>15</v>
      </c>
      <c r="D619" s="3">
        <v>45991</v>
      </c>
      <c r="E619" s="6">
        <v>2.669039145907473E-2</v>
      </c>
      <c r="F619">
        <v>0</v>
      </c>
      <c r="G619" t="s">
        <v>13</v>
      </c>
      <c r="H619" s="6">
        <v>6.6000000000000003E-2</v>
      </c>
      <c r="I619" s="8">
        <v>-0.87499999999999944</v>
      </c>
      <c r="J619" s="5">
        <f t="shared" si="108"/>
        <v>-2.475667272801203E-2</v>
      </c>
      <c r="K619" s="5" cm="1">
        <f t="array" ref="K619">_xlfn.STDEV.S(IF($C:$C=C619,$I:$I))</f>
        <v>0.42334565134305008</v>
      </c>
      <c r="L619" s="7">
        <f t="shared" si="111"/>
        <v>-2.0083903651180037</v>
      </c>
      <c r="M619">
        <f t="shared" si="109"/>
        <v>1</v>
      </c>
      <c r="N619" s="9">
        <f t="shared" si="112"/>
        <v>-0.5956001294079587</v>
      </c>
      <c r="O619">
        <f>COUNTIFS($B$2:B619,B619,$C$2:C619,C619,$D$2:D619,"&lt;"&amp;D619,$F$2:F619,1)</f>
        <v>0</v>
      </c>
      <c r="P619">
        <f t="shared" si="110"/>
        <v>0</v>
      </c>
      <c r="Q619" t="str">
        <f t="shared" si="113"/>
        <v>Monitor</v>
      </c>
      <c r="R619">
        <v>0</v>
      </c>
      <c r="S619">
        <f t="shared" si="114"/>
        <v>0</v>
      </c>
      <c r="T619">
        <f t="shared" si="115"/>
        <v>0</v>
      </c>
      <c r="U619" t="str">
        <f t="shared" si="116"/>
        <v>Not Improved Enough</v>
      </c>
      <c r="V619" t="str">
        <f t="shared" si="117"/>
        <v>Close</v>
      </c>
      <c r="W619" t="str">
        <f t="shared" si="118"/>
        <v>Abnormal</v>
      </c>
      <c r="X619" t="str">
        <f t="shared" si="119"/>
        <v>Allowed</v>
      </c>
    </row>
    <row r="620" spans="1:24" x14ac:dyDescent="0.3">
      <c r="A620" t="s">
        <v>10</v>
      </c>
      <c r="B620" t="s">
        <v>30</v>
      </c>
      <c r="C620" t="s">
        <v>16</v>
      </c>
      <c r="D620" s="3">
        <v>45535</v>
      </c>
      <c r="E620" s="6">
        <v>9.3333333333333338E-2</v>
      </c>
      <c r="F620">
        <v>0</v>
      </c>
      <c r="G620" t="s">
        <v>17</v>
      </c>
      <c r="H620" s="6">
        <v>0.16400000000000001</v>
      </c>
      <c r="I620" s="8">
        <v>2.6666666666666689E-2</v>
      </c>
      <c r="J620" s="5">
        <f t="shared" si="108"/>
        <v>2.6472445732452773E-2</v>
      </c>
      <c r="K620" s="5" cm="1">
        <f t="array" ref="K620">_xlfn.STDEV.S(IF($C:$C=C620,$I:$I))</f>
        <v>0.13493378643970674</v>
      </c>
      <c r="L620" s="7">
        <f t="shared" si="111"/>
        <v>1.4393795604387143E-3</v>
      </c>
      <c r="M620">
        <f t="shared" si="109"/>
        <v>0</v>
      </c>
      <c r="N620" s="9">
        <f t="shared" si="112"/>
        <v>0.43089430894308944</v>
      </c>
      <c r="O620">
        <f>COUNTIFS($B$2:B620,B620,$C$2:C620,C620,$D$2:D620,"&lt;"&amp;D620,$F$2:F620,1)</f>
        <v>0</v>
      </c>
      <c r="P620">
        <f t="shared" si="110"/>
        <v>0</v>
      </c>
      <c r="Q620" t="str">
        <f t="shared" si="113"/>
        <v>Monitor</v>
      </c>
      <c r="R620">
        <v>0</v>
      </c>
      <c r="S620">
        <f t="shared" si="114"/>
        <v>0</v>
      </c>
      <c r="T620">
        <f t="shared" si="115"/>
        <v>0</v>
      </c>
      <c r="U620" t="str">
        <f t="shared" si="116"/>
        <v>Improved Enough</v>
      </c>
      <c r="V620" t="str">
        <f t="shared" si="117"/>
        <v>Far</v>
      </c>
      <c r="W620" t="str">
        <f t="shared" si="118"/>
        <v>Normal</v>
      </c>
      <c r="X620" t="str">
        <f t="shared" si="119"/>
        <v>Allowed</v>
      </c>
    </row>
    <row r="621" spans="1:24" x14ac:dyDescent="0.3">
      <c r="A621" t="s">
        <v>10</v>
      </c>
      <c r="B621" t="s">
        <v>30</v>
      </c>
      <c r="C621" t="s">
        <v>16</v>
      </c>
      <c r="D621" s="3">
        <v>45565</v>
      </c>
      <c r="E621" s="6">
        <v>8.1081081081081086E-2</v>
      </c>
      <c r="F621">
        <v>1</v>
      </c>
      <c r="G621" t="s">
        <v>17</v>
      </c>
      <c r="H621" s="6">
        <v>0.16400000000000001</v>
      </c>
      <c r="I621" s="8">
        <v>-0.13127413127413129</v>
      </c>
      <c r="J621" s="5">
        <f t="shared" si="108"/>
        <v>2.6472445732452773E-2</v>
      </c>
      <c r="K621" s="5" cm="1">
        <f t="array" ref="K621">_xlfn.STDEV.S(IF($C:$C=C621,$I:$I))</f>
        <v>0.13493378643970674</v>
      </c>
      <c r="L621" s="7">
        <f t="shared" si="111"/>
        <v>-1.1690665560405873</v>
      </c>
      <c r="M621">
        <f t="shared" si="109"/>
        <v>1</v>
      </c>
      <c r="N621" s="9">
        <f t="shared" si="112"/>
        <v>0.50560316413974948</v>
      </c>
      <c r="O621">
        <f>COUNTIFS($B$2:B621,B621,$C$2:C621,C621,$D$2:D621,"&lt;"&amp;D621,$F$2:F621,1)</f>
        <v>0</v>
      </c>
      <c r="P621">
        <f t="shared" si="110"/>
        <v>0</v>
      </c>
      <c r="Q621" t="str">
        <f t="shared" si="113"/>
        <v>Intervene</v>
      </c>
      <c r="R621">
        <v>0</v>
      </c>
      <c r="S621">
        <f t="shared" si="114"/>
        <v>1</v>
      </c>
      <c r="T621">
        <f t="shared" si="115"/>
        <v>1</v>
      </c>
      <c r="U621" t="str">
        <f t="shared" si="116"/>
        <v>Not Improved Enough</v>
      </c>
      <c r="V621" t="str">
        <f t="shared" si="117"/>
        <v>Far</v>
      </c>
      <c r="W621" t="str">
        <f t="shared" si="118"/>
        <v>Abnormal</v>
      </c>
      <c r="X621" t="str">
        <f t="shared" si="119"/>
        <v>Allowed</v>
      </c>
    </row>
    <row r="622" spans="1:24" x14ac:dyDescent="0.3">
      <c r="A622" t="s">
        <v>10</v>
      </c>
      <c r="B622" t="s">
        <v>30</v>
      </c>
      <c r="C622" t="s">
        <v>16</v>
      </c>
      <c r="D622" s="3">
        <v>45596</v>
      </c>
      <c r="E622" s="6">
        <v>9.3333333333333338E-2</v>
      </c>
      <c r="F622">
        <v>0</v>
      </c>
      <c r="G622" t="s">
        <v>17</v>
      </c>
      <c r="H622" s="6">
        <v>0.16400000000000001</v>
      </c>
      <c r="I622" s="8">
        <v>0.15111111111111111</v>
      </c>
      <c r="J622" s="5">
        <f t="shared" si="108"/>
        <v>2.6472445732452773E-2</v>
      </c>
      <c r="K622" s="5" cm="1">
        <f t="array" ref="K622">_xlfn.STDEV.S(IF($C:$C=C622,$I:$I))</f>
        <v>0.13493378643970674</v>
      </c>
      <c r="L622" s="7">
        <f t="shared" si="111"/>
        <v>0.92370242225694421</v>
      </c>
      <c r="M622">
        <f t="shared" si="109"/>
        <v>-1</v>
      </c>
      <c r="N622" s="9">
        <f t="shared" si="112"/>
        <v>0.43089430894308944</v>
      </c>
      <c r="O622">
        <f>COUNTIFS($B$2:B622,B622,$C$2:C622,C622,$D$2:D622,"&lt;"&amp;D622,$F$2:F622,1)</f>
        <v>1</v>
      </c>
      <c r="P622">
        <f t="shared" si="110"/>
        <v>1</v>
      </c>
      <c r="Q622" t="str">
        <f t="shared" si="113"/>
        <v>Monitor</v>
      </c>
      <c r="R622">
        <v>1</v>
      </c>
      <c r="S622">
        <f t="shared" si="114"/>
        <v>0</v>
      </c>
      <c r="T622">
        <f t="shared" si="115"/>
        <v>0</v>
      </c>
      <c r="U622" t="str">
        <f t="shared" si="116"/>
        <v>Improved Enough</v>
      </c>
      <c r="V622" t="str">
        <f t="shared" si="117"/>
        <v>Far</v>
      </c>
      <c r="W622" t="str">
        <f t="shared" si="118"/>
        <v>Normal</v>
      </c>
      <c r="X622" t="str">
        <f t="shared" si="119"/>
        <v>Allowed</v>
      </c>
    </row>
    <row r="623" spans="1:24" x14ac:dyDescent="0.3">
      <c r="A623" t="s">
        <v>10</v>
      </c>
      <c r="B623" t="s">
        <v>30</v>
      </c>
      <c r="C623" t="s">
        <v>16</v>
      </c>
      <c r="D623" s="3">
        <v>45626</v>
      </c>
      <c r="E623" s="6">
        <v>9.5890410999999995E-2</v>
      </c>
      <c r="F623">
        <v>0</v>
      </c>
      <c r="G623" t="s">
        <v>17</v>
      </c>
      <c r="H623" s="6">
        <v>0.16400000000000001</v>
      </c>
      <c r="I623" s="8">
        <v>2.7397260714285609E-2</v>
      </c>
      <c r="J623" s="5">
        <f t="shared" si="108"/>
        <v>2.6472445732452773E-2</v>
      </c>
      <c r="K623" s="5" cm="1">
        <f t="array" ref="K623">_xlfn.STDEV.S(IF($C:$C=C623,$I:$I))</f>
        <v>0.13493378643970674</v>
      </c>
      <c r="L623" s="7">
        <f t="shared" si="111"/>
        <v>6.8538429568644563E-3</v>
      </c>
      <c r="M623">
        <f t="shared" si="109"/>
        <v>0</v>
      </c>
      <c r="N623" s="9">
        <f t="shared" si="112"/>
        <v>0.41530237195121955</v>
      </c>
      <c r="O623">
        <f>COUNTIFS($B$2:B623,B623,$C$2:C623,C623,$D$2:D623,"&lt;"&amp;D623,$F$2:F623,1)</f>
        <v>1</v>
      </c>
      <c r="P623">
        <f t="shared" si="110"/>
        <v>0</v>
      </c>
      <c r="Q623" t="str">
        <f t="shared" si="113"/>
        <v>Monitor</v>
      </c>
      <c r="R623">
        <v>0</v>
      </c>
      <c r="S623">
        <f t="shared" si="114"/>
        <v>0</v>
      </c>
      <c r="T623">
        <f t="shared" si="115"/>
        <v>0</v>
      </c>
      <c r="U623" t="str">
        <f t="shared" si="116"/>
        <v>Improved Enough</v>
      </c>
      <c r="V623" t="str">
        <f t="shared" si="117"/>
        <v>Far</v>
      </c>
      <c r="W623" t="str">
        <f t="shared" si="118"/>
        <v>Normal</v>
      </c>
      <c r="X623" t="str">
        <f t="shared" si="119"/>
        <v>Allowed</v>
      </c>
    </row>
    <row r="624" spans="1:24" x14ac:dyDescent="0.3">
      <c r="A624" t="s">
        <v>10</v>
      </c>
      <c r="B624" t="s">
        <v>30</v>
      </c>
      <c r="C624" t="s">
        <v>16</v>
      </c>
      <c r="D624" s="3">
        <v>45657</v>
      </c>
      <c r="E624" s="6">
        <v>0.1081081081081081</v>
      </c>
      <c r="F624">
        <v>1</v>
      </c>
      <c r="G624" t="s">
        <v>17</v>
      </c>
      <c r="H624" s="6">
        <v>0.16400000000000001</v>
      </c>
      <c r="I624" s="8">
        <v>0.1274131269299503</v>
      </c>
      <c r="J624" s="5">
        <f t="shared" si="108"/>
        <v>2.6472445732452773E-2</v>
      </c>
      <c r="K624" s="5" cm="1">
        <f t="array" ref="K624">_xlfn.STDEV.S(IF($C:$C=C624,$I:$I))</f>
        <v>0.13493378643970674</v>
      </c>
      <c r="L624" s="7">
        <f t="shared" si="111"/>
        <v>0.74807565889067706</v>
      </c>
      <c r="M624">
        <f t="shared" si="109"/>
        <v>-1</v>
      </c>
      <c r="N624" s="9">
        <f t="shared" si="112"/>
        <v>0.34080421885299944</v>
      </c>
      <c r="O624">
        <f>COUNTIFS($B$2:B624,B624,$C$2:C624,C624,$D$2:D624,"&lt;"&amp;D624,$F$2:F624,1)</f>
        <v>1</v>
      </c>
      <c r="P624">
        <f t="shared" si="110"/>
        <v>0</v>
      </c>
      <c r="Q624" t="str">
        <f t="shared" si="113"/>
        <v>Monitor</v>
      </c>
      <c r="R624">
        <v>0</v>
      </c>
      <c r="S624">
        <f t="shared" si="114"/>
        <v>0</v>
      </c>
      <c r="T624">
        <f t="shared" si="115"/>
        <v>0</v>
      </c>
      <c r="U624" t="str">
        <f t="shared" si="116"/>
        <v>Improved Enough</v>
      </c>
      <c r="V624" t="str">
        <f t="shared" si="117"/>
        <v>Far</v>
      </c>
      <c r="W624" t="str">
        <f t="shared" si="118"/>
        <v>Normal</v>
      </c>
      <c r="X624" t="str">
        <f t="shared" si="119"/>
        <v>Allowed</v>
      </c>
    </row>
    <row r="625" spans="1:24" x14ac:dyDescent="0.3">
      <c r="A625" t="s">
        <v>10</v>
      </c>
      <c r="B625" t="s">
        <v>30</v>
      </c>
      <c r="C625" t="s">
        <v>16</v>
      </c>
      <c r="D625" s="3">
        <v>45688</v>
      </c>
      <c r="E625" s="6">
        <v>0.10526315789473679</v>
      </c>
      <c r="F625">
        <v>0</v>
      </c>
      <c r="G625" t="s">
        <v>17</v>
      </c>
      <c r="H625" s="6">
        <v>0.16400000000000001</v>
      </c>
      <c r="I625" s="8">
        <v>-2.631578947368458E-2</v>
      </c>
      <c r="J625" s="5">
        <f t="shared" si="108"/>
        <v>2.6472445732452773E-2</v>
      </c>
      <c r="K625" s="5" cm="1">
        <f t="array" ref="K625">_xlfn.STDEV.S(IF($C:$C=C625,$I:$I))</f>
        <v>0.13493378643970674</v>
      </c>
      <c r="L625" s="7">
        <f t="shared" si="111"/>
        <v>-0.39121584444474944</v>
      </c>
      <c r="M625">
        <f t="shared" si="109"/>
        <v>0</v>
      </c>
      <c r="N625" s="9">
        <f t="shared" si="112"/>
        <v>0.35815147625160493</v>
      </c>
      <c r="O625">
        <f>COUNTIFS($B$2:B625,B625,$C$2:C625,C625,$D$2:D625,"&lt;"&amp;D625,$F$2:F625,1)</f>
        <v>2</v>
      </c>
      <c r="P625">
        <f t="shared" si="110"/>
        <v>-1</v>
      </c>
      <c r="Q625" t="str">
        <f t="shared" si="113"/>
        <v>Monitor</v>
      </c>
      <c r="R625">
        <v>1</v>
      </c>
      <c r="S625">
        <f t="shared" si="114"/>
        <v>0</v>
      </c>
      <c r="T625">
        <f t="shared" si="115"/>
        <v>0</v>
      </c>
      <c r="U625" t="str">
        <f t="shared" si="116"/>
        <v>Not Improved Enough</v>
      </c>
      <c r="V625" t="str">
        <f t="shared" si="117"/>
        <v>Far</v>
      </c>
      <c r="W625" t="str">
        <f t="shared" si="118"/>
        <v>Normal</v>
      </c>
      <c r="X625" t="str">
        <f t="shared" si="119"/>
        <v>Allowed</v>
      </c>
    </row>
    <row r="626" spans="1:24" x14ac:dyDescent="0.3">
      <c r="A626" t="s">
        <v>10</v>
      </c>
      <c r="B626" t="s">
        <v>30</v>
      </c>
      <c r="C626" t="s">
        <v>16</v>
      </c>
      <c r="D626" s="3">
        <v>45716</v>
      </c>
      <c r="E626" s="6">
        <v>0.11688311688311689</v>
      </c>
      <c r="F626">
        <v>0</v>
      </c>
      <c r="G626" t="s">
        <v>17</v>
      </c>
      <c r="H626" s="6">
        <v>0.16400000000000001</v>
      </c>
      <c r="I626" s="8">
        <v>0.110389610389611</v>
      </c>
      <c r="J626" s="5">
        <f t="shared" si="108"/>
        <v>2.6472445732452773E-2</v>
      </c>
      <c r="K626" s="5" cm="1">
        <f t="array" ref="K626">_xlfn.STDEV.S(IF($C:$C=C626,$I:$I))</f>
        <v>0.13493378643970674</v>
      </c>
      <c r="L626" s="7">
        <f t="shared" si="111"/>
        <v>0.62191365758979433</v>
      </c>
      <c r="M626">
        <f t="shared" si="109"/>
        <v>-1</v>
      </c>
      <c r="N626" s="9">
        <f t="shared" si="112"/>
        <v>0.28729806778587264</v>
      </c>
      <c r="O626">
        <f>COUNTIFS($B$2:B626,B626,$C$2:C626,C626,$D$2:D626,"&lt;"&amp;D626,$F$2:F626,1)</f>
        <v>2</v>
      </c>
      <c r="P626">
        <f t="shared" si="110"/>
        <v>0</v>
      </c>
      <c r="Q626" t="str">
        <f t="shared" si="113"/>
        <v>Monitor</v>
      </c>
      <c r="R626">
        <v>0</v>
      </c>
      <c r="S626">
        <f t="shared" si="114"/>
        <v>0</v>
      </c>
      <c r="T626">
        <f t="shared" si="115"/>
        <v>0</v>
      </c>
      <c r="U626" t="str">
        <f t="shared" si="116"/>
        <v>Improved Enough</v>
      </c>
      <c r="V626" t="str">
        <f t="shared" si="117"/>
        <v>Far</v>
      </c>
      <c r="W626" t="str">
        <f t="shared" si="118"/>
        <v>Normal</v>
      </c>
      <c r="X626" t="str">
        <f t="shared" si="119"/>
        <v>Allowed</v>
      </c>
    </row>
    <row r="627" spans="1:24" x14ac:dyDescent="0.3">
      <c r="A627" t="s">
        <v>10</v>
      </c>
      <c r="B627" t="s">
        <v>30</v>
      </c>
      <c r="C627" t="s">
        <v>16</v>
      </c>
      <c r="D627" s="3">
        <v>45747</v>
      </c>
      <c r="E627" s="6">
        <v>0.1139240506329114</v>
      </c>
      <c r="F627">
        <v>0</v>
      </c>
      <c r="G627" t="s">
        <v>17</v>
      </c>
      <c r="H627" s="6">
        <v>0.16400000000000001</v>
      </c>
      <c r="I627" s="8">
        <v>-2.5316455696202531E-2</v>
      </c>
      <c r="J627" s="5">
        <f t="shared" si="108"/>
        <v>2.6472445732452773E-2</v>
      </c>
      <c r="K627" s="5" cm="1">
        <f t="array" ref="K627">_xlfn.STDEV.S(IF($C:$C=C627,$I:$I))</f>
        <v>0.13493378643970674</v>
      </c>
      <c r="L627" s="7">
        <f t="shared" si="111"/>
        <v>-0.38380973954063347</v>
      </c>
      <c r="M627">
        <f t="shared" si="109"/>
        <v>0</v>
      </c>
      <c r="N627" s="9">
        <f t="shared" si="112"/>
        <v>0.3053411546773695</v>
      </c>
      <c r="O627">
        <f>COUNTIFS($B$2:B627,B627,$C$2:C627,C627,$D$2:D627,"&lt;"&amp;D627,$F$2:F627,1)</f>
        <v>2</v>
      </c>
      <c r="P627">
        <f t="shared" si="110"/>
        <v>0</v>
      </c>
      <c r="Q627" t="str">
        <f t="shared" si="113"/>
        <v>Monitor</v>
      </c>
      <c r="R627">
        <v>0</v>
      </c>
      <c r="S627">
        <f t="shared" si="114"/>
        <v>0</v>
      </c>
      <c r="T627">
        <f t="shared" si="115"/>
        <v>0</v>
      </c>
      <c r="U627" t="str">
        <f t="shared" si="116"/>
        <v>Not Improved Enough</v>
      </c>
      <c r="V627" t="str">
        <f t="shared" si="117"/>
        <v>Far</v>
      </c>
      <c r="W627" t="str">
        <f t="shared" si="118"/>
        <v>Normal</v>
      </c>
      <c r="X627" t="str">
        <f t="shared" si="119"/>
        <v>Allowed</v>
      </c>
    </row>
    <row r="628" spans="1:24" x14ac:dyDescent="0.3">
      <c r="A628" t="s">
        <v>10</v>
      </c>
      <c r="B628" t="s">
        <v>30</v>
      </c>
      <c r="C628" t="s">
        <v>16</v>
      </c>
      <c r="D628" s="3">
        <v>45777</v>
      </c>
      <c r="E628" s="6">
        <v>0.1139240506329114</v>
      </c>
      <c r="F628">
        <v>0</v>
      </c>
      <c r="G628" t="s">
        <v>17</v>
      </c>
      <c r="H628" s="6">
        <v>0.16400000000000001</v>
      </c>
      <c r="I628" s="8">
        <v>0</v>
      </c>
      <c r="J628" s="5">
        <f t="shared" si="108"/>
        <v>2.6472445732452773E-2</v>
      </c>
      <c r="K628" s="5" cm="1">
        <f t="array" ref="K628">_xlfn.STDEV.S(IF($C:$C=C628,$I:$I))</f>
        <v>0.13493378643970674</v>
      </c>
      <c r="L628" s="7">
        <f t="shared" si="111"/>
        <v>-0.19618841530309838</v>
      </c>
      <c r="M628">
        <f t="shared" si="109"/>
        <v>0</v>
      </c>
      <c r="N628" s="9">
        <f t="shared" si="112"/>
        <v>0.3053411546773695</v>
      </c>
      <c r="O628">
        <f>COUNTIFS($B$2:B628,B628,$C$2:C628,C628,$D$2:D628,"&lt;"&amp;D628,$F$2:F628,1)</f>
        <v>2</v>
      </c>
      <c r="P628">
        <f t="shared" si="110"/>
        <v>0</v>
      </c>
      <c r="Q628" t="str">
        <f t="shared" si="113"/>
        <v>Monitor</v>
      </c>
      <c r="R628">
        <v>0</v>
      </c>
      <c r="S628">
        <f t="shared" si="114"/>
        <v>0</v>
      </c>
      <c r="T628">
        <f t="shared" si="115"/>
        <v>0</v>
      </c>
      <c r="U628" t="str">
        <f t="shared" si="116"/>
        <v>Not Improved Enough</v>
      </c>
      <c r="V628" t="str">
        <f t="shared" si="117"/>
        <v>Far</v>
      </c>
      <c r="W628" t="str">
        <f t="shared" si="118"/>
        <v>Normal</v>
      </c>
      <c r="X628" t="str">
        <f t="shared" si="119"/>
        <v>Allowed</v>
      </c>
    </row>
    <row r="629" spans="1:24" x14ac:dyDescent="0.3">
      <c r="A629" t="s">
        <v>10</v>
      </c>
      <c r="B629" t="s">
        <v>30</v>
      </c>
      <c r="C629" t="s">
        <v>16</v>
      </c>
      <c r="D629" s="3">
        <v>45808</v>
      </c>
      <c r="E629" s="6">
        <v>0.1125</v>
      </c>
      <c r="F629">
        <v>0</v>
      </c>
      <c r="G629" t="s">
        <v>17</v>
      </c>
      <c r="H629" s="6">
        <v>0.16400000000000001</v>
      </c>
      <c r="I629" s="8">
        <v>-1.250000000000006E-2</v>
      </c>
      <c r="J629" s="5">
        <f t="shared" si="108"/>
        <v>2.6472445732452773E-2</v>
      </c>
      <c r="K629" s="5" cm="1">
        <f t="array" ref="K629">_xlfn.STDEV.S(IF($C:$C=C629,$I:$I))</f>
        <v>0.13493378643970674</v>
      </c>
      <c r="L629" s="7">
        <f t="shared" si="111"/>
        <v>-0.28882644414538172</v>
      </c>
      <c r="M629">
        <f t="shared" si="109"/>
        <v>0</v>
      </c>
      <c r="N629" s="9">
        <f t="shared" si="112"/>
        <v>0.31402439024390244</v>
      </c>
      <c r="O629">
        <f>COUNTIFS($B$2:B629,B629,$C$2:C629,C629,$D$2:D629,"&lt;"&amp;D629,$F$2:F629,1)</f>
        <v>2</v>
      </c>
      <c r="P629">
        <f t="shared" si="110"/>
        <v>0</v>
      </c>
      <c r="Q629" t="str">
        <f t="shared" si="113"/>
        <v>Monitor</v>
      </c>
      <c r="R629">
        <v>0</v>
      </c>
      <c r="S629">
        <f t="shared" si="114"/>
        <v>0</v>
      </c>
      <c r="T629">
        <f t="shared" si="115"/>
        <v>0</v>
      </c>
      <c r="U629" t="str">
        <f t="shared" si="116"/>
        <v>Not Improved Enough</v>
      </c>
      <c r="V629" t="str">
        <f t="shared" si="117"/>
        <v>Far</v>
      </c>
      <c r="W629" t="str">
        <f t="shared" si="118"/>
        <v>Normal</v>
      </c>
      <c r="X629" t="str">
        <f t="shared" si="119"/>
        <v>Allowed</v>
      </c>
    </row>
    <row r="630" spans="1:24" x14ac:dyDescent="0.3">
      <c r="A630" t="s">
        <v>10</v>
      </c>
      <c r="B630" t="s">
        <v>30</v>
      </c>
      <c r="C630" t="s">
        <v>16</v>
      </c>
      <c r="D630" s="3">
        <v>45838</v>
      </c>
      <c r="E630" s="6">
        <v>0.1111111111111111</v>
      </c>
      <c r="F630">
        <v>0</v>
      </c>
      <c r="G630" t="s">
        <v>17</v>
      </c>
      <c r="H630" s="6">
        <v>0.16400000000000001</v>
      </c>
      <c r="I630" s="8">
        <v>-1.234567901234576E-2</v>
      </c>
      <c r="J630" s="5">
        <f t="shared" si="108"/>
        <v>2.6472445732452773E-2</v>
      </c>
      <c r="K630" s="5" cm="1">
        <f t="array" ref="K630">_xlfn.STDEV.S(IF($C:$C=C630,$I:$I))</f>
        <v>0.13493378643970674</v>
      </c>
      <c r="L630" s="7">
        <f t="shared" si="111"/>
        <v>-0.2876827647769587</v>
      </c>
      <c r="M630">
        <f t="shared" si="109"/>
        <v>0</v>
      </c>
      <c r="N630" s="9">
        <f t="shared" si="112"/>
        <v>0.32249322493224941</v>
      </c>
      <c r="O630">
        <f>COUNTIFS($B$2:B630,B630,$C$2:C630,C630,$D$2:D630,"&lt;"&amp;D630,$F$2:F630,1)</f>
        <v>2</v>
      </c>
      <c r="P630">
        <f t="shared" si="110"/>
        <v>0</v>
      </c>
      <c r="Q630" t="str">
        <f t="shared" si="113"/>
        <v>Monitor</v>
      </c>
      <c r="R630">
        <v>0</v>
      </c>
      <c r="S630">
        <f t="shared" si="114"/>
        <v>0</v>
      </c>
      <c r="T630">
        <f t="shared" si="115"/>
        <v>0</v>
      </c>
      <c r="U630" t="str">
        <f t="shared" si="116"/>
        <v>Not Improved Enough</v>
      </c>
      <c r="V630" t="str">
        <f t="shared" si="117"/>
        <v>Far</v>
      </c>
      <c r="W630" t="str">
        <f t="shared" si="118"/>
        <v>Normal</v>
      </c>
      <c r="X630" t="str">
        <f t="shared" si="119"/>
        <v>Allowed</v>
      </c>
    </row>
    <row r="631" spans="1:24" x14ac:dyDescent="0.3">
      <c r="A631" t="s">
        <v>10</v>
      </c>
      <c r="B631" t="s">
        <v>30</v>
      </c>
      <c r="C631" t="s">
        <v>16</v>
      </c>
      <c r="D631" s="3">
        <v>45869</v>
      </c>
      <c r="E631" s="6">
        <v>0.1097560975609756</v>
      </c>
      <c r="F631">
        <v>0</v>
      </c>
      <c r="G631" t="s">
        <v>17</v>
      </c>
      <c r="H631" s="6">
        <v>0.16400000000000001</v>
      </c>
      <c r="I631" s="8">
        <v>-1.219512195121958E-2</v>
      </c>
      <c r="J631" s="5">
        <f t="shared" si="108"/>
        <v>2.6472445732452773E-2</v>
      </c>
      <c r="K631" s="5" cm="1">
        <f t="array" ref="K631">_xlfn.STDEV.S(IF($C:$C=C631,$I:$I))</f>
        <v>0.13493378643970674</v>
      </c>
      <c r="L631" s="7">
        <f t="shared" si="111"/>
        <v>-0.28656698002727737</v>
      </c>
      <c r="M631">
        <f t="shared" si="109"/>
        <v>0</v>
      </c>
      <c r="N631" s="9">
        <f t="shared" si="112"/>
        <v>0.33075550267697812</v>
      </c>
      <c r="O631">
        <f>COUNTIFS($B$2:B631,B631,$C$2:C631,C631,$D$2:D631,"&lt;"&amp;D631,$F$2:F631,1)</f>
        <v>2</v>
      </c>
      <c r="P631">
        <f t="shared" si="110"/>
        <v>0</v>
      </c>
      <c r="Q631" t="str">
        <f t="shared" si="113"/>
        <v>Monitor</v>
      </c>
      <c r="R631">
        <v>0</v>
      </c>
      <c r="S631">
        <f t="shared" si="114"/>
        <v>0</v>
      </c>
      <c r="T631">
        <f t="shared" si="115"/>
        <v>0</v>
      </c>
      <c r="U631" t="str">
        <f t="shared" si="116"/>
        <v>Not Improved Enough</v>
      </c>
      <c r="V631" t="str">
        <f t="shared" si="117"/>
        <v>Far</v>
      </c>
      <c r="W631" t="str">
        <f t="shared" si="118"/>
        <v>Normal</v>
      </c>
      <c r="X631" t="str">
        <f t="shared" si="119"/>
        <v>Allowed</v>
      </c>
    </row>
    <row r="632" spans="1:24" x14ac:dyDescent="0.3">
      <c r="A632" t="s">
        <v>10</v>
      </c>
      <c r="B632" t="s">
        <v>30</v>
      </c>
      <c r="C632" t="s">
        <v>16</v>
      </c>
      <c r="D632" s="3">
        <v>45900</v>
      </c>
      <c r="E632" s="6">
        <v>0.1097560975609756</v>
      </c>
      <c r="F632">
        <v>0</v>
      </c>
      <c r="G632" t="s">
        <v>17</v>
      </c>
      <c r="H632" s="6">
        <v>0.16400000000000001</v>
      </c>
      <c r="I632" s="8">
        <v>0</v>
      </c>
      <c r="J632" s="5">
        <f t="shared" si="108"/>
        <v>2.6472445732452773E-2</v>
      </c>
      <c r="K632" s="5" cm="1">
        <f t="array" ref="K632">_xlfn.STDEV.S(IF($C:$C=C632,$I:$I))</f>
        <v>0.13493378643970674</v>
      </c>
      <c r="L632" s="7">
        <f t="shared" si="111"/>
        <v>-0.19618841530309838</v>
      </c>
      <c r="M632">
        <f t="shared" si="109"/>
        <v>0</v>
      </c>
      <c r="N632" s="9">
        <f t="shared" si="112"/>
        <v>0.33075550267697812</v>
      </c>
      <c r="O632">
        <f>COUNTIFS($B$2:B632,B632,$C$2:C632,C632,$D$2:D632,"&lt;"&amp;D632,$F$2:F632,1)</f>
        <v>2</v>
      </c>
      <c r="P632">
        <f t="shared" si="110"/>
        <v>0</v>
      </c>
      <c r="Q632" t="str">
        <f t="shared" si="113"/>
        <v>Monitor</v>
      </c>
      <c r="R632">
        <v>0</v>
      </c>
      <c r="S632">
        <f t="shared" si="114"/>
        <v>0</v>
      </c>
      <c r="T632">
        <f t="shared" si="115"/>
        <v>0</v>
      </c>
      <c r="U632" t="str">
        <f t="shared" si="116"/>
        <v>Not Improved Enough</v>
      </c>
      <c r="V632" t="str">
        <f t="shared" si="117"/>
        <v>Far</v>
      </c>
      <c r="W632" t="str">
        <f t="shared" si="118"/>
        <v>Normal</v>
      </c>
      <c r="X632" t="str">
        <f t="shared" si="119"/>
        <v>Allowed</v>
      </c>
    </row>
    <row r="633" spans="1:24" x14ac:dyDescent="0.3">
      <c r="A633" t="s">
        <v>10</v>
      </c>
      <c r="B633" t="s">
        <v>30</v>
      </c>
      <c r="C633" t="s">
        <v>16</v>
      </c>
      <c r="D633" s="3">
        <v>45930</v>
      </c>
      <c r="E633" s="6">
        <v>0.1097560975609756</v>
      </c>
      <c r="F633">
        <v>0</v>
      </c>
      <c r="G633" t="s">
        <v>17</v>
      </c>
      <c r="H633" s="6">
        <v>0.16400000000000001</v>
      </c>
      <c r="I633" s="8">
        <v>0</v>
      </c>
      <c r="J633" s="5">
        <f t="shared" si="108"/>
        <v>2.6472445732452773E-2</v>
      </c>
      <c r="K633" s="5" cm="1">
        <f t="array" ref="K633">_xlfn.STDEV.S(IF($C:$C=C633,$I:$I))</f>
        <v>0.13493378643970674</v>
      </c>
      <c r="L633" s="7">
        <f t="shared" si="111"/>
        <v>-0.19618841530309838</v>
      </c>
      <c r="M633">
        <f t="shared" si="109"/>
        <v>0</v>
      </c>
      <c r="N633" s="9">
        <f t="shared" si="112"/>
        <v>0.33075550267697812</v>
      </c>
      <c r="O633">
        <f>COUNTIFS($B$2:B633,B633,$C$2:C633,C633,$D$2:D633,"&lt;"&amp;D633,$F$2:F633,1)</f>
        <v>2</v>
      </c>
      <c r="P633">
        <f t="shared" si="110"/>
        <v>0</v>
      </c>
      <c r="Q633" t="str">
        <f t="shared" si="113"/>
        <v>Monitor</v>
      </c>
      <c r="R633">
        <v>0</v>
      </c>
      <c r="S633">
        <f t="shared" si="114"/>
        <v>0</v>
      </c>
      <c r="T633">
        <f t="shared" si="115"/>
        <v>0</v>
      </c>
      <c r="U633" t="str">
        <f t="shared" si="116"/>
        <v>Not Improved Enough</v>
      </c>
      <c r="V633" t="str">
        <f t="shared" si="117"/>
        <v>Far</v>
      </c>
      <c r="W633" t="str">
        <f t="shared" si="118"/>
        <v>Normal</v>
      </c>
      <c r="X633" t="str">
        <f t="shared" si="119"/>
        <v>Allowed</v>
      </c>
    </row>
    <row r="634" spans="1:24" x14ac:dyDescent="0.3">
      <c r="A634" t="s">
        <v>10</v>
      </c>
      <c r="B634" t="s">
        <v>30</v>
      </c>
      <c r="C634" t="s">
        <v>16</v>
      </c>
      <c r="D634" s="3">
        <v>45961</v>
      </c>
      <c r="E634" s="6">
        <v>0.1153846153846154</v>
      </c>
      <c r="F634">
        <v>0</v>
      </c>
      <c r="G634" t="s">
        <v>17</v>
      </c>
      <c r="H634" s="6">
        <v>0.16400000000000001</v>
      </c>
      <c r="I634" s="8">
        <v>5.1282051282051599E-2</v>
      </c>
      <c r="J634" s="5">
        <f t="shared" si="108"/>
        <v>2.6472445732452773E-2</v>
      </c>
      <c r="K634" s="5" cm="1">
        <f t="array" ref="K634">_xlfn.STDEV.S(IF($C:$C=C634,$I:$I))</f>
        <v>0.13493378643970674</v>
      </c>
      <c r="L634" s="7">
        <f t="shared" si="111"/>
        <v>0.18386503635755191</v>
      </c>
      <c r="M634">
        <f t="shared" si="109"/>
        <v>0</v>
      </c>
      <c r="N634" s="9">
        <f t="shared" si="112"/>
        <v>0.29643527204502806</v>
      </c>
      <c r="O634">
        <f>COUNTIFS($B$2:B634,B634,$C$2:C634,C634,$D$2:D634,"&lt;"&amp;D634,$F$2:F634,1)</f>
        <v>2</v>
      </c>
      <c r="P634">
        <f t="shared" si="110"/>
        <v>0</v>
      </c>
      <c r="Q634" t="str">
        <f t="shared" si="113"/>
        <v>Monitor</v>
      </c>
      <c r="R634">
        <v>0</v>
      </c>
      <c r="S634">
        <f t="shared" si="114"/>
        <v>0</v>
      </c>
      <c r="T634">
        <f t="shared" si="115"/>
        <v>0</v>
      </c>
      <c r="U634" t="str">
        <f t="shared" si="116"/>
        <v>Improved Enough</v>
      </c>
      <c r="V634" t="str">
        <f t="shared" si="117"/>
        <v>Far</v>
      </c>
      <c r="W634" t="str">
        <f t="shared" si="118"/>
        <v>Normal</v>
      </c>
      <c r="X634" t="str">
        <f t="shared" si="119"/>
        <v>Allowed</v>
      </c>
    </row>
    <row r="635" spans="1:24" x14ac:dyDescent="0.3">
      <c r="A635" t="s">
        <v>10</v>
      </c>
      <c r="B635" t="s">
        <v>30</v>
      </c>
      <c r="C635" t="s">
        <v>16</v>
      </c>
      <c r="D635" s="3">
        <v>45991</v>
      </c>
      <c r="E635" s="6">
        <v>0.1139240506329114</v>
      </c>
      <c r="F635">
        <v>0</v>
      </c>
      <c r="G635" t="s">
        <v>17</v>
      </c>
      <c r="H635" s="6">
        <v>0.16400000000000001</v>
      </c>
      <c r="I635" s="8">
        <v>-1.2658227848101351E-2</v>
      </c>
      <c r="J635" s="5">
        <f t="shared" si="108"/>
        <v>2.6472445732452773E-2</v>
      </c>
      <c r="K635" s="5" cm="1">
        <f t="array" ref="K635">_xlfn.STDEV.S(IF($C:$C=C635,$I:$I))</f>
        <v>0.13493378643970674</v>
      </c>
      <c r="L635" s="7">
        <f t="shared" si="111"/>
        <v>-0.28999907742186654</v>
      </c>
      <c r="M635">
        <f t="shared" si="109"/>
        <v>0</v>
      </c>
      <c r="N635" s="9">
        <f t="shared" si="112"/>
        <v>0.3053411546773695</v>
      </c>
      <c r="O635">
        <f>COUNTIFS($B$2:B635,B635,$C$2:C635,C635,$D$2:D635,"&lt;"&amp;D635,$F$2:F635,1)</f>
        <v>2</v>
      </c>
      <c r="P635">
        <f t="shared" si="110"/>
        <v>0</v>
      </c>
      <c r="Q635" t="str">
        <f t="shared" si="113"/>
        <v>Monitor</v>
      </c>
      <c r="R635">
        <v>0</v>
      </c>
      <c r="S635">
        <f t="shared" si="114"/>
        <v>0</v>
      </c>
      <c r="T635">
        <f t="shared" si="115"/>
        <v>0</v>
      </c>
      <c r="U635" t="str">
        <f t="shared" si="116"/>
        <v>Not Improved Enough</v>
      </c>
      <c r="V635" t="str">
        <f t="shared" si="117"/>
        <v>Far</v>
      </c>
      <c r="W635" t="str">
        <f t="shared" si="118"/>
        <v>Normal</v>
      </c>
      <c r="X635" t="str">
        <f t="shared" si="119"/>
        <v>Allowed</v>
      </c>
    </row>
    <row r="636" spans="1:24" x14ac:dyDescent="0.3">
      <c r="A636" t="s">
        <v>10</v>
      </c>
      <c r="B636" t="s">
        <v>30</v>
      </c>
      <c r="C636" t="s">
        <v>18</v>
      </c>
      <c r="D636" s="3">
        <v>45535</v>
      </c>
      <c r="E636" s="6">
        <v>8.8014881743289919E-2</v>
      </c>
      <c r="F636">
        <v>0</v>
      </c>
      <c r="G636" t="s">
        <v>13</v>
      </c>
      <c r="H636" s="6">
        <v>0.104</v>
      </c>
      <c r="I636" s="8">
        <v>5.8964175333729052E-2</v>
      </c>
      <c r="J636" s="5">
        <f t="shared" si="108"/>
        <v>1.7244519882342341E-3</v>
      </c>
      <c r="K636" s="5" cm="1">
        <f t="array" ref="K636">_xlfn.STDEV.S(IF($C:$C=C636,$I:$I))</f>
        <v>8.3117651155014696E-2</v>
      </c>
      <c r="L636" s="7">
        <f t="shared" si="111"/>
        <v>0.68865905797485238</v>
      </c>
      <c r="M636">
        <f t="shared" si="109"/>
        <v>-1</v>
      </c>
      <c r="N636" s="9">
        <f t="shared" si="112"/>
        <v>-0.15370306016067381</v>
      </c>
      <c r="O636">
        <f>COUNTIFS($B$2:B636,B636,$C$2:C636,C636,$D$2:D636,"&lt;"&amp;D636,$F$2:F636,1)</f>
        <v>0</v>
      </c>
      <c r="P636">
        <f t="shared" si="110"/>
        <v>0</v>
      </c>
      <c r="Q636" t="str">
        <f t="shared" si="113"/>
        <v>Monitor</v>
      </c>
      <c r="R636">
        <v>0</v>
      </c>
      <c r="S636">
        <f t="shared" si="114"/>
        <v>0</v>
      </c>
      <c r="T636">
        <f t="shared" si="115"/>
        <v>0</v>
      </c>
      <c r="U636" t="str">
        <f t="shared" si="116"/>
        <v>Improved Enough</v>
      </c>
      <c r="V636" t="str">
        <f t="shared" si="117"/>
        <v>Close</v>
      </c>
      <c r="W636" t="str">
        <f t="shared" si="118"/>
        <v>Normal</v>
      </c>
      <c r="X636" t="str">
        <f t="shared" si="119"/>
        <v>Allowed</v>
      </c>
    </row>
    <row r="637" spans="1:24" x14ac:dyDescent="0.3">
      <c r="A637" t="s">
        <v>10</v>
      </c>
      <c r="B637" t="s">
        <v>30</v>
      </c>
      <c r="C637" t="s">
        <v>18</v>
      </c>
      <c r="D637" s="3">
        <v>45565</v>
      </c>
      <c r="E637" s="6">
        <v>8.6372056099497233E-2</v>
      </c>
      <c r="F637">
        <v>0</v>
      </c>
      <c r="G637" t="s">
        <v>13</v>
      </c>
      <c r="H637" s="6">
        <v>0.104</v>
      </c>
      <c r="I637" s="8">
        <v>1.8665316719782249E-2</v>
      </c>
      <c r="J637" s="5">
        <f t="shared" si="108"/>
        <v>1.7244519882342341E-3</v>
      </c>
      <c r="K637" s="5" cm="1">
        <f t="array" ref="K637">_xlfn.STDEV.S(IF($C:$C=C637,$I:$I))</f>
        <v>8.3117651155014696E-2</v>
      </c>
      <c r="L637" s="7">
        <f t="shared" si="111"/>
        <v>0.20381789543057766</v>
      </c>
      <c r="M637">
        <f t="shared" si="109"/>
        <v>0</v>
      </c>
      <c r="N637" s="9">
        <f t="shared" si="112"/>
        <v>-0.16949946058175736</v>
      </c>
      <c r="O637">
        <f>COUNTIFS($B$2:B637,B637,$C$2:C637,C637,$D$2:D637,"&lt;"&amp;D637,$F$2:F637,1)</f>
        <v>0</v>
      </c>
      <c r="P637">
        <f t="shared" si="110"/>
        <v>0</v>
      </c>
      <c r="Q637" t="str">
        <f t="shared" si="113"/>
        <v>Monitor</v>
      </c>
      <c r="R637">
        <v>0</v>
      </c>
      <c r="S637">
        <f t="shared" si="114"/>
        <v>0</v>
      </c>
      <c r="T637">
        <f t="shared" si="115"/>
        <v>0</v>
      </c>
      <c r="U637" t="str">
        <f t="shared" si="116"/>
        <v>Improved Enough</v>
      </c>
      <c r="V637" t="str">
        <f t="shared" si="117"/>
        <v>Close</v>
      </c>
      <c r="W637" t="str">
        <f t="shared" si="118"/>
        <v>Normal</v>
      </c>
      <c r="X637" t="str">
        <f t="shared" si="119"/>
        <v>Allowed</v>
      </c>
    </row>
    <row r="638" spans="1:24" x14ac:dyDescent="0.3">
      <c r="A638" t="s">
        <v>10</v>
      </c>
      <c r="B638" t="s">
        <v>30</v>
      </c>
      <c r="C638" t="s">
        <v>18</v>
      </c>
      <c r="D638" s="3">
        <v>45596</v>
      </c>
      <c r="E638" s="6">
        <v>8.8710529094941384E-2</v>
      </c>
      <c r="F638">
        <v>0</v>
      </c>
      <c r="G638" t="s">
        <v>13</v>
      </c>
      <c r="H638" s="6">
        <v>0.104</v>
      </c>
      <c r="I638" s="8">
        <v>-2.707441620644439E-2</v>
      </c>
      <c r="J638" s="5">
        <f t="shared" si="108"/>
        <v>1.7244519882342341E-3</v>
      </c>
      <c r="K638" s="5" cm="1">
        <f t="array" ref="K638">_xlfn.STDEV.S(IF($C:$C=C638,$I:$I))</f>
        <v>8.3117651155014696E-2</v>
      </c>
      <c r="L638" s="7">
        <f t="shared" si="111"/>
        <v>-0.34648318130367567</v>
      </c>
      <c r="M638">
        <f t="shared" si="109"/>
        <v>0</v>
      </c>
      <c r="N638" s="9">
        <f t="shared" si="112"/>
        <v>-0.14701414331787127</v>
      </c>
      <c r="O638">
        <f>COUNTIFS($B$2:B638,B638,$C$2:C638,C638,$D$2:D638,"&lt;"&amp;D638,$F$2:F638,1)</f>
        <v>0</v>
      </c>
      <c r="P638">
        <f t="shared" si="110"/>
        <v>0</v>
      </c>
      <c r="Q638" t="str">
        <f t="shared" si="113"/>
        <v>Monitor</v>
      </c>
      <c r="R638">
        <v>0</v>
      </c>
      <c r="S638">
        <f t="shared" si="114"/>
        <v>0</v>
      </c>
      <c r="T638">
        <f t="shared" si="115"/>
        <v>0</v>
      </c>
      <c r="U638" t="str">
        <f t="shared" si="116"/>
        <v>Not Improved Enough</v>
      </c>
      <c r="V638" t="str">
        <f t="shared" si="117"/>
        <v>Close</v>
      </c>
      <c r="W638" t="str">
        <f t="shared" si="118"/>
        <v>Normal</v>
      </c>
      <c r="X638" t="str">
        <f t="shared" si="119"/>
        <v>Allowed</v>
      </c>
    </row>
    <row r="639" spans="1:24" x14ac:dyDescent="0.3">
      <c r="A639" t="s">
        <v>10</v>
      </c>
      <c r="B639" t="s">
        <v>30</v>
      </c>
      <c r="C639" t="s">
        <v>18</v>
      </c>
      <c r="D639" s="3">
        <v>45626</v>
      </c>
      <c r="E639" s="6">
        <v>8.4084084000000003E-2</v>
      </c>
      <c r="F639">
        <v>0</v>
      </c>
      <c r="G639" t="s">
        <v>13</v>
      </c>
      <c r="H639" s="6">
        <v>0.104</v>
      </c>
      <c r="I639" s="8">
        <v>5.2152153099999918E-2</v>
      </c>
      <c r="J639" s="5">
        <f t="shared" si="108"/>
        <v>1.7244519882342341E-3</v>
      </c>
      <c r="K639" s="5" cm="1">
        <f t="array" ref="K639">_xlfn.STDEV.S(IF($C:$C=C639,$I:$I))</f>
        <v>8.3117651155014696E-2</v>
      </c>
      <c r="L639" s="7">
        <f t="shared" si="111"/>
        <v>0.60670267278989698</v>
      </c>
      <c r="M639">
        <f t="shared" si="109"/>
        <v>-1</v>
      </c>
      <c r="N639" s="9">
        <f t="shared" si="112"/>
        <v>-0.19149919230769225</v>
      </c>
      <c r="O639">
        <f>COUNTIFS($B$2:B639,B639,$C$2:C639,C639,$D$2:D639,"&lt;"&amp;D639,$F$2:F639,1)</f>
        <v>0</v>
      </c>
      <c r="P639">
        <f t="shared" si="110"/>
        <v>0</v>
      </c>
      <c r="Q639" t="str">
        <f t="shared" si="113"/>
        <v>Monitor</v>
      </c>
      <c r="R639">
        <v>0</v>
      </c>
      <c r="S639">
        <f t="shared" si="114"/>
        <v>0</v>
      </c>
      <c r="T639">
        <f t="shared" si="115"/>
        <v>0</v>
      </c>
      <c r="U639" t="str">
        <f t="shared" si="116"/>
        <v>Improved Enough</v>
      </c>
      <c r="V639" t="str">
        <f t="shared" si="117"/>
        <v>Close</v>
      </c>
      <c r="W639" t="str">
        <f t="shared" si="118"/>
        <v>Normal</v>
      </c>
      <c r="X639" t="str">
        <f t="shared" si="119"/>
        <v>Allowed</v>
      </c>
    </row>
    <row r="640" spans="1:24" x14ac:dyDescent="0.3">
      <c r="A640" t="s">
        <v>10</v>
      </c>
      <c r="B640" t="s">
        <v>30</v>
      </c>
      <c r="C640" t="s">
        <v>18</v>
      </c>
      <c r="D640" s="3">
        <v>45657</v>
      </c>
      <c r="E640" s="6">
        <v>8.9001104623638944E-2</v>
      </c>
      <c r="F640">
        <v>0</v>
      </c>
      <c r="G640" t="s">
        <v>13</v>
      </c>
      <c r="H640" s="6">
        <v>0.104</v>
      </c>
      <c r="I640" s="8">
        <v>-5.8477423903897673E-2</v>
      </c>
      <c r="J640" s="5">
        <f t="shared" si="108"/>
        <v>1.7244519882342341E-3</v>
      </c>
      <c r="K640" s="5" cm="1">
        <f t="array" ref="K640">_xlfn.STDEV.S(IF($C:$C=C640,$I:$I))</f>
        <v>8.3117651155014696E-2</v>
      </c>
      <c r="L640" s="7">
        <f t="shared" si="111"/>
        <v>-0.72429712648947697</v>
      </c>
      <c r="M640">
        <f t="shared" si="109"/>
        <v>1</v>
      </c>
      <c r="N640" s="9">
        <f t="shared" si="112"/>
        <v>-0.1442201478496255</v>
      </c>
      <c r="O640">
        <f>COUNTIFS($B$2:B640,B640,$C$2:C640,C640,$D$2:D640,"&lt;"&amp;D640,$F$2:F640,1)</f>
        <v>0</v>
      </c>
      <c r="P640">
        <f t="shared" si="110"/>
        <v>0</v>
      </c>
      <c r="Q640" t="str">
        <f t="shared" si="113"/>
        <v>Monitor</v>
      </c>
      <c r="R640">
        <v>0</v>
      </c>
      <c r="S640">
        <f t="shared" si="114"/>
        <v>0</v>
      </c>
      <c r="T640">
        <f t="shared" si="115"/>
        <v>0</v>
      </c>
      <c r="U640" t="str">
        <f t="shared" si="116"/>
        <v>Not Improved Enough</v>
      </c>
      <c r="V640" t="str">
        <f t="shared" si="117"/>
        <v>Close</v>
      </c>
      <c r="W640" t="str">
        <f t="shared" si="118"/>
        <v>Abnormal</v>
      </c>
      <c r="X640" t="str">
        <f t="shared" si="119"/>
        <v>Allowed</v>
      </c>
    </row>
    <row r="641" spans="1:24" x14ac:dyDescent="0.3">
      <c r="A641" t="s">
        <v>10</v>
      </c>
      <c r="B641" t="s">
        <v>30</v>
      </c>
      <c r="C641" t="s">
        <v>18</v>
      </c>
      <c r="D641" s="3">
        <v>45688</v>
      </c>
      <c r="E641" s="6">
        <v>9.3316519546027737E-2</v>
      </c>
      <c r="F641">
        <v>0</v>
      </c>
      <c r="G641" t="s">
        <v>13</v>
      </c>
      <c r="H641" s="6">
        <v>0.104</v>
      </c>
      <c r="I641" s="8">
        <v>-4.8487206317691108E-2</v>
      </c>
      <c r="J641" s="5">
        <f t="shared" si="108"/>
        <v>1.7244519882342341E-3</v>
      </c>
      <c r="K641" s="5" cm="1">
        <f t="array" ref="K641">_xlfn.STDEV.S(IF($C:$C=C641,$I:$I))</f>
        <v>8.3117651155014696E-2</v>
      </c>
      <c r="L641" s="7">
        <f t="shared" si="111"/>
        <v>-0.60410343180030956</v>
      </c>
      <c r="M641">
        <f t="shared" si="109"/>
        <v>1</v>
      </c>
      <c r="N641" s="9">
        <f t="shared" si="112"/>
        <v>-0.1027257735958871</v>
      </c>
      <c r="O641">
        <f>COUNTIFS($B$2:B641,B641,$C$2:C641,C641,$D$2:D641,"&lt;"&amp;D641,$F$2:F641,1)</f>
        <v>0</v>
      </c>
      <c r="P641">
        <f t="shared" si="110"/>
        <v>0</v>
      </c>
      <c r="Q641" t="str">
        <f t="shared" si="113"/>
        <v>Monitor</v>
      </c>
      <c r="R641">
        <v>0</v>
      </c>
      <c r="S641">
        <f t="shared" si="114"/>
        <v>0</v>
      </c>
      <c r="T641">
        <f t="shared" si="115"/>
        <v>0</v>
      </c>
      <c r="U641" t="str">
        <f t="shared" si="116"/>
        <v>Not Improved Enough</v>
      </c>
      <c r="V641" t="str">
        <f t="shared" si="117"/>
        <v>Close</v>
      </c>
      <c r="W641" t="str">
        <f t="shared" si="118"/>
        <v>Abnormal</v>
      </c>
      <c r="X641" t="str">
        <f t="shared" si="119"/>
        <v>Allowed</v>
      </c>
    </row>
    <row r="642" spans="1:24" x14ac:dyDescent="0.3">
      <c r="A642" t="s">
        <v>10</v>
      </c>
      <c r="B642" t="s">
        <v>30</v>
      </c>
      <c r="C642" t="s">
        <v>18</v>
      </c>
      <c r="D642" s="3">
        <v>45716</v>
      </c>
      <c r="E642" s="6">
        <v>9.4453481660282321E-2</v>
      </c>
      <c r="F642">
        <v>0</v>
      </c>
      <c r="G642" t="s">
        <v>13</v>
      </c>
      <c r="H642" s="6">
        <v>0.104</v>
      </c>
      <c r="I642" s="8">
        <v>-1.218393184599844E-2</v>
      </c>
      <c r="J642" s="5">
        <f t="shared" ref="J642:J705" si="120">AVERAGEIF($C:$C,C642,$I:$I)</f>
        <v>1.7244519882342341E-3</v>
      </c>
      <c r="K642" s="5" cm="1">
        <f t="array" ref="K642">_xlfn.STDEV.S(IF($C:$C=C642,$I:$I))</f>
        <v>8.3117651155014696E-2</v>
      </c>
      <c r="L642" s="7">
        <f t="shared" si="111"/>
        <v>-0.16733369676548598</v>
      </c>
      <c r="M642">
        <f t="shared" ref="M642:M705" si="121">IF(L642&lt;=-$Z$4,1,IF(L642&gt;=$Z$4,-1,0))</f>
        <v>0</v>
      </c>
      <c r="N642" s="9">
        <f t="shared" si="112"/>
        <v>-9.1793445574208418E-2</v>
      </c>
      <c r="O642">
        <f>COUNTIFS($B$2:B642,B642,$C$2:C642,C642,$D$2:D642,"&lt;"&amp;D642,$F$2:F642,1)</f>
        <v>0</v>
      </c>
      <c r="P642">
        <f t="shared" ref="P642:P705" si="122">IF(AND(R642=1,I642&gt;0),1,IF(R642=1,-1,0))</f>
        <v>0</v>
      </c>
      <c r="Q642" t="str">
        <f t="shared" si="113"/>
        <v>Monitor</v>
      </c>
      <c r="R642">
        <v>0</v>
      </c>
      <c r="S642">
        <f t="shared" si="114"/>
        <v>0</v>
      </c>
      <c r="T642">
        <f t="shared" si="115"/>
        <v>0</v>
      </c>
      <c r="U642" t="str">
        <f t="shared" si="116"/>
        <v>Not Improved Enough</v>
      </c>
      <c r="V642" t="str">
        <f t="shared" si="117"/>
        <v>Close</v>
      </c>
      <c r="W642" t="str">
        <f t="shared" si="118"/>
        <v>Normal</v>
      </c>
      <c r="X642" t="str">
        <f t="shared" si="119"/>
        <v>Allowed</v>
      </c>
    </row>
    <row r="643" spans="1:24" x14ac:dyDescent="0.3">
      <c r="A643" t="s">
        <v>10</v>
      </c>
      <c r="B643" t="s">
        <v>30</v>
      </c>
      <c r="C643" t="s">
        <v>18</v>
      </c>
      <c r="D643" s="3">
        <v>45747</v>
      </c>
      <c r="E643" s="6">
        <v>9.1156747694886839E-2</v>
      </c>
      <c r="F643">
        <v>0</v>
      </c>
      <c r="G643" t="s">
        <v>13</v>
      </c>
      <c r="H643" s="6">
        <v>0.104</v>
      </c>
      <c r="I643" s="8">
        <v>3.4903255099189831E-2</v>
      </c>
      <c r="J643" s="5">
        <f t="shared" si="120"/>
        <v>1.7244519882342341E-3</v>
      </c>
      <c r="K643" s="5" cm="1">
        <f t="array" ref="K643">_xlfn.STDEV.S(IF($C:$C=C643,$I:$I))</f>
        <v>8.3117651155014696E-2</v>
      </c>
      <c r="L643" s="7">
        <f t="shared" ref="L643:L706" si="123">IFERROR((I643-J643)/K643,0)</f>
        <v>0.39917878633356735</v>
      </c>
      <c r="M643">
        <f t="shared" si="121"/>
        <v>0</v>
      </c>
      <c r="N643" s="9">
        <f t="shared" ref="N643:N706" si="124">IFERROR(IF(G643="DOWN",(E643-H643)/H643,(H643-E643)/H643),0)</f>
        <v>-0.12349281062608805</v>
      </c>
      <c r="O643">
        <f>COUNTIFS($B$2:B643,B643,$C$2:C643,C643,$D$2:D643,"&lt;"&amp;D643,$F$2:F643,1)</f>
        <v>0</v>
      </c>
      <c r="P643">
        <f t="shared" si="122"/>
        <v>0</v>
      </c>
      <c r="Q643" t="str">
        <f t="shared" ref="Q643:Q706" si="125">IF(I643&gt;=$Z$1,"Monitor",IF(AND(N643&gt;=$Z$2,L643&lt;=-$Z$4),IF(O643&lt;$Z$3,"Intervene","Escalate / Bigger Fix"),"Monitor"))</f>
        <v>Monitor</v>
      </c>
      <c r="R643">
        <v>0</v>
      </c>
      <c r="S643">
        <f t="shared" ref="S643:S706" si="126">IF(Q643="Intervene",1,IF(Q643="Escalate / Bigger Fix",-1,0))</f>
        <v>0</v>
      </c>
      <c r="T643">
        <f t="shared" ref="T643:T706" si="127">IF(Q643="Intervene",1,0)</f>
        <v>0</v>
      </c>
      <c r="U643" t="str">
        <f t="shared" ref="U643:U706" si="128">IF(I643&gt;=$Z$1,"Improved Enough","Not Improved Enough")</f>
        <v>Improved Enough</v>
      </c>
      <c r="V643" t="str">
        <f t="shared" ref="V643:V706" si="129">IF(N643&gt;=$Z$2,"Far","Close")</f>
        <v>Close</v>
      </c>
      <c r="W643" t="str">
        <f t="shared" ref="W643:W706" si="130">IF(L643&lt;=-$Z$4,"Abnormal","Normal")</f>
        <v>Normal</v>
      </c>
      <c r="X643" t="str">
        <f t="shared" ref="X643:X706" si="131">IF(O643&lt;$Z$3,"Allowed","Maxed Out")</f>
        <v>Allowed</v>
      </c>
    </row>
    <row r="644" spans="1:24" x14ac:dyDescent="0.3">
      <c r="A644" t="s">
        <v>10</v>
      </c>
      <c r="B644" t="s">
        <v>30</v>
      </c>
      <c r="C644" t="s">
        <v>18</v>
      </c>
      <c r="D644" s="3">
        <v>45777</v>
      </c>
      <c r="E644" s="6">
        <v>9.296969062450923E-2</v>
      </c>
      <c r="F644">
        <v>0</v>
      </c>
      <c r="G644" t="s">
        <v>13</v>
      </c>
      <c r="H644" s="6">
        <v>0.104</v>
      </c>
      <c r="I644" s="8">
        <v>-1.988819232220241E-2</v>
      </c>
      <c r="J644" s="5">
        <f t="shared" si="120"/>
        <v>1.7244519882342341E-3</v>
      </c>
      <c r="K644" s="5" cm="1">
        <f t="array" ref="K644">_xlfn.STDEV.S(IF($C:$C=C644,$I:$I))</f>
        <v>8.3117651155014696E-2</v>
      </c>
      <c r="L644" s="7">
        <f t="shared" si="123"/>
        <v>-0.26002472411219835</v>
      </c>
      <c r="M644">
        <f t="shared" si="121"/>
        <v>0</v>
      </c>
      <c r="N644" s="9">
        <f t="shared" si="124"/>
        <v>-0.10606066707202659</v>
      </c>
      <c r="O644">
        <f>COUNTIFS($B$2:B644,B644,$C$2:C644,C644,$D$2:D644,"&lt;"&amp;D644,$F$2:F644,1)</f>
        <v>0</v>
      </c>
      <c r="P644">
        <f t="shared" si="122"/>
        <v>0</v>
      </c>
      <c r="Q644" t="str">
        <f t="shared" si="125"/>
        <v>Monitor</v>
      </c>
      <c r="R644">
        <v>0</v>
      </c>
      <c r="S644">
        <f t="shared" si="126"/>
        <v>0</v>
      </c>
      <c r="T644">
        <f t="shared" si="127"/>
        <v>0</v>
      </c>
      <c r="U644" t="str">
        <f t="shared" si="128"/>
        <v>Not Improved Enough</v>
      </c>
      <c r="V644" t="str">
        <f t="shared" si="129"/>
        <v>Close</v>
      </c>
      <c r="W644" t="str">
        <f t="shared" si="130"/>
        <v>Normal</v>
      </c>
      <c r="X644" t="str">
        <f t="shared" si="131"/>
        <v>Allowed</v>
      </c>
    </row>
    <row r="645" spans="1:24" x14ac:dyDescent="0.3">
      <c r="A645" t="s">
        <v>10</v>
      </c>
      <c r="B645" t="s">
        <v>30</v>
      </c>
      <c r="C645" t="s">
        <v>18</v>
      </c>
      <c r="D645" s="3">
        <v>45808</v>
      </c>
      <c r="E645" s="6">
        <v>8.5947302383939772E-2</v>
      </c>
      <c r="F645">
        <v>0</v>
      </c>
      <c r="G645" t="s">
        <v>13</v>
      </c>
      <c r="H645" s="6">
        <v>0.104</v>
      </c>
      <c r="I645" s="8">
        <v>7.5534168107881966E-2</v>
      </c>
      <c r="J645" s="5">
        <f t="shared" si="120"/>
        <v>1.7244519882342341E-3</v>
      </c>
      <c r="K645" s="5" cm="1">
        <f t="array" ref="K645">_xlfn.STDEV.S(IF($C:$C=C645,$I:$I))</f>
        <v>8.3117651155014696E-2</v>
      </c>
      <c r="L645" s="7">
        <f t="shared" si="123"/>
        <v>0.88801494139905812</v>
      </c>
      <c r="M645">
        <f t="shared" si="121"/>
        <v>-1</v>
      </c>
      <c r="N645" s="9">
        <f t="shared" si="124"/>
        <v>-0.173583630923656</v>
      </c>
      <c r="O645">
        <f>COUNTIFS($B$2:B645,B645,$C$2:C645,C645,$D$2:D645,"&lt;"&amp;D645,$F$2:F645,1)</f>
        <v>0</v>
      </c>
      <c r="P645">
        <f t="shared" si="122"/>
        <v>0</v>
      </c>
      <c r="Q645" t="str">
        <f t="shared" si="125"/>
        <v>Monitor</v>
      </c>
      <c r="R645">
        <v>0</v>
      </c>
      <c r="S645">
        <f t="shared" si="126"/>
        <v>0</v>
      </c>
      <c r="T645">
        <f t="shared" si="127"/>
        <v>0</v>
      </c>
      <c r="U645" t="str">
        <f t="shared" si="128"/>
        <v>Improved Enough</v>
      </c>
      <c r="V645" t="str">
        <f t="shared" si="129"/>
        <v>Close</v>
      </c>
      <c r="W645" t="str">
        <f t="shared" si="130"/>
        <v>Normal</v>
      </c>
      <c r="X645" t="str">
        <f t="shared" si="131"/>
        <v>Allowed</v>
      </c>
    </row>
    <row r="646" spans="1:24" x14ac:dyDescent="0.3">
      <c r="A646" t="s">
        <v>10</v>
      </c>
      <c r="B646" t="s">
        <v>30</v>
      </c>
      <c r="C646" t="s">
        <v>18</v>
      </c>
      <c r="D646" s="3">
        <v>45838</v>
      </c>
      <c r="E646" s="6">
        <v>8.6479711734294223E-2</v>
      </c>
      <c r="F646">
        <v>0</v>
      </c>
      <c r="G646" t="s">
        <v>13</v>
      </c>
      <c r="H646" s="6">
        <v>0.104</v>
      </c>
      <c r="I646" s="8">
        <v>-6.1946022223722296E-3</v>
      </c>
      <c r="J646" s="5">
        <f t="shared" si="120"/>
        <v>1.7244519882342341E-3</v>
      </c>
      <c r="K646" s="5" cm="1">
        <f t="array" ref="K646">_xlfn.STDEV.S(IF($C:$C=C646,$I:$I))</f>
        <v>8.3117651155014696E-2</v>
      </c>
      <c r="L646" s="7">
        <f t="shared" si="123"/>
        <v>-9.5275240584426546E-2</v>
      </c>
      <c r="M646">
        <f t="shared" si="121"/>
        <v>0</v>
      </c>
      <c r="N646" s="9">
        <f t="shared" si="124"/>
        <v>-0.1684643102471709</v>
      </c>
      <c r="O646">
        <f>COUNTIFS($B$2:B646,B646,$C$2:C646,C646,$D$2:D646,"&lt;"&amp;D646,$F$2:F646,1)</f>
        <v>0</v>
      </c>
      <c r="P646">
        <f t="shared" si="122"/>
        <v>0</v>
      </c>
      <c r="Q646" t="str">
        <f t="shared" si="125"/>
        <v>Monitor</v>
      </c>
      <c r="R646">
        <v>0</v>
      </c>
      <c r="S646">
        <f t="shared" si="126"/>
        <v>0</v>
      </c>
      <c r="T646">
        <f t="shared" si="127"/>
        <v>0</v>
      </c>
      <c r="U646" t="str">
        <f t="shared" si="128"/>
        <v>Not Improved Enough</v>
      </c>
      <c r="V646" t="str">
        <f t="shared" si="129"/>
        <v>Close</v>
      </c>
      <c r="W646" t="str">
        <f t="shared" si="130"/>
        <v>Normal</v>
      </c>
      <c r="X646" t="str">
        <f t="shared" si="131"/>
        <v>Allowed</v>
      </c>
    </row>
    <row r="647" spans="1:24" x14ac:dyDescent="0.3">
      <c r="A647" t="s">
        <v>10</v>
      </c>
      <c r="B647" t="s">
        <v>30</v>
      </c>
      <c r="C647" t="s">
        <v>18</v>
      </c>
      <c r="D647" s="3">
        <v>45869</v>
      </c>
      <c r="E647" s="6">
        <v>8.5758998435054773E-2</v>
      </c>
      <c r="F647">
        <v>0</v>
      </c>
      <c r="G647" t="s">
        <v>13</v>
      </c>
      <c r="H647" s="6">
        <v>0.104</v>
      </c>
      <c r="I647" s="8">
        <v>8.3339003424735721E-3</v>
      </c>
      <c r="J647" s="5">
        <f t="shared" si="120"/>
        <v>1.7244519882342341E-3</v>
      </c>
      <c r="K647" s="5" cm="1">
        <f t="array" ref="K647">_xlfn.STDEV.S(IF($C:$C=C647,$I:$I))</f>
        <v>8.3117651155014696E-2</v>
      </c>
      <c r="L647" s="7">
        <f t="shared" si="123"/>
        <v>7.9519190718138733E-2</v>
      </c>
      <c r="M647">
        <f t="shared" si="121"/>
        <v>0</v>
      </c>
      <c r="N647" s="9">
        <f t="shared" si="124"/>
        <v>-0.17539424581678098</v>
      </c>
      <c r="O647">
        <f>COUNTIFS($B$2:B647,B647,$C$2:C647,C647,$D$2:D647,"&lt;"&amp;D647,$F$2:F647,1)</f>
        <v>0</v>
      </c>
      <c r="P647">
        <f t="shared" si="122"/>
        <v>0</v>
      </c>
      <c r="Q647" t="str">
        <f t="shared" si="125"/>
        <v>Monitor</v>
      </c>
      <c r="R647">
        <v>0</v>
      </c>
      <c r="S647">
        <f t="shared" si="126"/>
        <v>0</v>
      </c>
      <c r="T647">
        <f t="shared" si="127"/>
        <v>0</v>
      </c>
      <c r="U647" t="str">
        <f t="shared" si="128"/>
        <v>Not Improved Enough</v>
      </c>
      <c r="V647" t="str">
        <f t="shared" si="129"/>
        <v>Close</v>
      </c>
      <c r="W647" t="str">
        <f t="shared" si="130"/>
        <v>Normal</v>
      </c>
      <c r="X647" t="str">
        <f t="shared" si="131"/>
        <v>Allowed</v>
      </c>
    </row>
    <row r="648" spans="1:24" x14ac:dyDescent="0.3">
      <c r="A648" t="s">
        <v>10</v>
      </c>
      <c r="B648" t="s">
        <v>30</v>
      </c>
      <c r="C648" t="s">
        <v>18</v>
      </c>
      <c r="D648" s="3">
        <v>45900</v>
      </c>
      <c r="E648" s="6">
        <v>8.6236525542883927E-2</v>
      </c>
      <c r="F648">
        <v>0</v>
      </c>
      <c r="G648" t="s">
        <v>13</v>
      </c>
      <c r="H648" s="6">
        <v>0.104</v>
      </c>
      <c r="I648" s="8">
        <v>-5.5682449252341107E-3</v>
      </c>
      <c r="J648" s="5">
        <f t="shared" si="120"/>
        <v>1.7244519882342341E-3</v>
      </c>
      <c r="K648" s="5" cm="1">
        <f t="array" ref="K648">_xlfn.STDEV.S(IF($C:$C=C648,$I:$I))</f>
        <v>8.3117651155014696E-2</v>
      </c>
      <c r="L648" s="7">
        <f t="shared" si="123"/>
        <v>-8.77394489874051E-2</v>
      </c>
      <c r="M648">
        <f t="shared" si="121"/>
        <v>0</v>
      </c>
      <c r="N648" s="9">
        <f t="shared" si="124"/>
        <v>-0.17080263901073145</v>
      </c>
      <c r="O648">
        <f>COUNTIFS($B$2:B648,B648,$C$2:C648,C648,$D$2:D648,"&lt;"&amp;D648,$F$2:F648,1)</f>
        <v>0</v>
      </c>
      <c r="P648">
        <f t="shared" si="122"/>
        <v>0</v>
      </c>
      <c r="Q648" t="str">
        <f t="shared" si="125"/>
        <v>Monitor</v>
      </c>
      <c r="R648">
        <v>0</v>
      </c>
      <c r="S648">
        <f t="shared" si="126"/>
        <v>0</v>
      </c>
      <c r="T648">
        <f t="shared" si="127"/>
        <v>0</v>
      </c>
      <c r="U648" t="str">
        <f t="shared" si="128"/>
        <v>Not Improved Enough</v>
      </c>
      <c r="V648" t="str">
        <f t="shared" si="129"/>
        <v>Close</v>
      </c>
      <c r="W648" t="str">
        <f t="shared" si="130"/>
        <v>Normal</v>
      </c>
      <c r="X648" t="str">
        <f t="shared" si="131"/>
        <v>Allowed</v>
      </c>
    </row>
    <row r="649" spans="1:24" x14ac:dyDescent="0.3">
      <c r="A649" t="s">
        <v>10</v>
      </c>
      <c r="B649" t="s">
        <v>30</v>
      </c>
      <c r="C649" t="s">
        <v>18</v>
      </c>
      <c r="D649" s="3">
        <v>45930</v>
      </c>
      <c r="E649" s="6">
        <v>8.3628042438111089E-2</v>
      </c>
      <c r="F649">
        <v>0</v>
      </c>
      <c r="G649" t="s">
        <v>13</v>
      </c>
      <c r="H649" s="6">
        <v>0.104</v>
      </c>
      <c r="I649" s="8">
        <v>3.0248007887048799E-2</v>
      </c>
      <c r="J649" s="5">
        <f t="shared" si="120"/>
        <v>1.7244519882342341E-3</v>
      </c>
      <c r="K649" s="5" cm="1">
        <f t="array" ref="K649">_xlfn.STDEV.S(IF($C:$C=C649,$I:$I))</f>
        <v>8.3117651155014696E-2</v>
      </c>
      <c r="L649" s="7">
        <f t="shared" si="123"/>
        <v>0.34317086085142173</v>
      </c>
      <c r="M649">
        <f t="shared" si="121"/>
        <v>0</v>
      </c>
      <c r="N649" s="9">
        <f t="shared" si="124"/>
        <v>-0.19588420732585488</v>
      </c>
      <c r="O649">
        <f>COUNTIFS($B$2:B649,B649,$C$2:C649,C649,$D$2:D649,"&lt;"&amp;D649,$F$2:F649,1)</f>
        <v>0</v>
      </c>
      <c r="P649">
        <f t="shared" si="122"/>
        <v>0</v>
      </c>
      <c r="Q649" t="str">
        <f t="shared" si="125"/>
        <v>Monitor</v>
      </c>
      <c r="R649">
        <v>0</v>
      </c>
      <c r="S649">
        <f t="shared" si="126"/>
        <v>0</v>
      </c>
      <c r="T649">
        <f t="shared" si="127"/>
        <v>0</v>
      </c>
      <c r="U649" t="str">
        <f t="shared" si="128"/>
        <v>Improved Enough</v>
      </c>
      <c r="V649" t="str">
        <f t="shared" si="129"/>
        <v>Close</v>
      </c>
      <c r="W649" t="str">
        <f t="shared" si="130"/>
        <v>Normal</v>
      </c>
      <c r="X649" t="str">
        <f t="shared" si="131"/>
        <v>Allowed</v>
      </c>
    </row>
    <row r="650" spans="1:24" x14ac:dyDescent="0.3">
      <c r="A650" t="s">
        <v>10</v>
      </c>
      <c r="B650" t="s">
        <v>30</v>
      </c>
      <c r="C650" t="s">
        <v>18</v>
      </c>
      <c r="D650" s="3">
        <v>45961</v>
      </c>
      <c r="E650" s="6">
        <v>8.6554927092522438E-2</v>
      </c>
      <c r="F650">
        <v>0</v>
      </c>
      <c r="G650" t="s">
        <v>13</v>
      </c>
      <c r="H650" s="6">
        <v>0.104</v>
      </c>
      <c r="I650" s="8">
        <v>-3.4998842123769539E-2</v>
      </c>
      <c r="J650" s="5">
        <f t="shared" si="120"/>
        <v>1.7244519882342341E-3</v>
      </c>
      <c r="K650" s="5" cm="1">
        <f t="array" ref="K650">_xlfn.STDEV.S(IF($C:$C=C650,$I:$I))</f>
        <v>8.3117651155014696E-2</v>
      </c>
      <c r="L650" s="7">
        <f t="shared" si="123"/>
        <v>-0.44182304963737129</v>
      </c>
      <c r="M650">
        <f t="shared" si="121"/>
        <v>0</v>
      </c>
      <c r="N650" s="9">
        <f t="shared" si="124"/>
        <v>-0.16774108564882267</v>
      </c>
      <c r="O650">
        <f>COUNTIFS($B$2:B650,B650,$C$2:C650,C650,$D$2:D650,"&lt;"&amp;D650,$F$2:F650,1)</f>
        <v>0</v>
      </c>
      <c r="P650">
        <f t="shared" si="122"/>
        <v>0</v>
      </c>
      <c r="Q650" t="str">
        <f t="shared" si="125"/>
        <v>Monitor</v>
      </c>
      <c r="R650">
        <v>0</v>
      </c>
      <c r="S650">
        <f t="shared" si="126"/>
        <v>0</v>
      </c>
      <c r="T650">
        <f t="shared" si="127"/>
        <v>0</v>
      </c>
      <c r="U650" t="str">
        <f t="shared" si="128"/>
        <v>Not Improved Enough</v>
      </c>
      <c r="V650" t="str">
        <f t="shared" si="129"/>
        <v>Close</v>
      </c>
      <c r="W650" t="str">
        <f t="shared" si="130"/>
        <v>Normal</v>
      </c>
      <c r="X650" t="str">
        <f t="shared" si="131"/>
        <v>Allowed</v>
      </c>
    </row>
    <row r="651" spans="1:24" x14ac:dyDescent="0.3">
      <c r="A651" t="s">
        <v>10</v>
      </c>
      <c r="B651" t="s">
        <v>30</v>
      </c>
      <c r="C651" t="s">
        <v>18</v>
      </c>
      <c r="D651" s="3">
        <v>45991</v>
      </c>
      <c r="E651" s="6">
        <v>8.7051142546245922E-2</v>
      </c>
      <c r="F651">
        <v>0</v>
      </c>
      <c r="G651" t="s">
        <v>13</v>
      </c>
      <c r="H651" s="6">
        <v>0.104</v>
      </c>
      <c r="I651" s="8">
        <v>-5.7329544416698163E-3</v>
      </c>
      <c r="J651" s="5">
        <f t="shared" si="120"/>
        <v>1.7244519882342341E-3</v>
      </c>
      <c r="K651" s="5" cm="1">
        <f t="array" ref="K651">_xlfn.STDEV.S(IF($C:$C=C651,$I:$I))</f>
        <v>8.3117651155014696E-2</v>
      </c>
      <c r="L651" s="7">
        <f t="shared" si="123"/>
        <v>-8.9721092045731213E-2</v>
      </c>
      <c r="M651">
        <f t="shared" si="121"/>
        <v>0</v>
      </c>
      <c r="N651" s="9">
        <f t="shared" si="124"/>
        <v>-0.1629697832091738</v>
      </c>
      <c r="O651">
        <f>COUNTIFS($B$2:B651,B651,$C$2:C651,C651,$D$2:D651,"&lt;"&amp;D651,$F$2:F651,1)</f>
        <v>0</v>
      </c>
      <c r="P651">
        <f t="shared" si="122"/>
        <v>0</v>
      </c>
      <c r="Q651" t="str">
        <f t="shared" si="125"/>
        <v>Monitor</v>
      </c>
      <c r="R651">
        <v>0</v>
      </c>
      <c r="S651">
        <f t="shared" si="126"/>
        <v>0</v>
      </c>
      <c r="T651">
        <f t="shared" si="127"/>
        <v>0</v>
      </c>
      <c r="U651" t="str">
        <f t="shared" si="128"/>
        <v>Not Improved Enough</v>
      </c>
      <c r="V651" t="str">
        <f t="shared" si="129"/>
        <v>Close</v>
      </c>
      <c r="W651" t="str">
        <f t="shared" si="130"/>
        <v>Normal</v>
      </c>
      <c r="X651" t="str">
        <f t="shared" si="131"/>
        <v>Allowed</v>
      </c>
    </row>
    <row r="652" spans="1:24" x14ac:dyDescent="0.3">
      <c r="A652" t="s">
        <v>10</v>
      </c>
      <c r="B652" t="s">
        <v>30</v>
      </c>
      <c r="C652" t="s">
        <v>19</v>
      </c>
      <c r="D652" s="3">
        <v>45535</v>
      </c>
      <c r="E652" s="6">
        <v>9.0145824127264684E-2</v>
      </c>
      <c r="F652">
        <v>0</v>
      </c>
      <c r="G652" t="s">
        <v>13</v>
      </c>
      <c r="H652" s="6">
        <v>0.1</v>
      </c>
      <c r="I652" s="8">
        <v>0.1119845570621209</v>
      </c>
      <c r="J652" s="5">
        <f t="shared" si="120"/>
        <v>-3.0570725046180952E-3</v>
      </c>
      <c r="K652" s="5" cm="1">
        <f t="array" ref="K652">_xlfn.STDEV.S(IF($C:$C=C652,$I:$I))</f>
        <v>0.17799866497296365</v>
      </c>
      <c r="L652" s="7">
        <f t="shared" si="123"/>
        <v>0.64630613709497631</v>
      </c>
      <c r="M652">
        <f t="shared" si="121"/>
        <v>-1</v>
      </c>
      <c r="N652" s="9">
        <f t="shared" si="124"/>
        <v>-9.8541758727353213E-2</v>
      </c>
      <c r="O652">
        <f>COUNTIFS($B$2:B652,B652,$C$2:C652,C652,$D$2:D652,"&lt;"&amp;D652,$F$2:F652,1)</f>
        <v>0</v>
      </c>
      <c r="P652">
        <f t="shared" si="122"/>
        <v>0</v>
      </c>
      <c r="Q652" t="str">
        <f t="shared" si="125"/>
        <v>Monitor</v>
      </c>
      <c r="R652">
        <v>0</v>
      </c>
      <c r="S652">
        <f t="shared" si="126"/>
        <v>0</v>
      </c>
      <c r="T652">
        <f t="shared" si="127"/>
        <v>0</v>
      </c>
      <c r="U652" t="str">
        <f t="shared" si="128"/>
        <v>Improved Enough</v>
      </c>
      <c r="V652" t="str">
        <f t="shared" si="129"/>
        <v>Close</v>
      </c>
      <c r="W652" t="str">
        <f t="shared" si="130"/>
        <v>Normal</v>
      </c>
      <c r="X652" t="str">
        <f t="shared" si="131"/>
        <v>Allowed</v>
      </c>
    </row>
    <row r="653" spans="1:24" x14ac:dyDescent="0.3">
      <c r="A653" t="s">
        <v>10</v>
      </c>
      <c r="B653" t="s">
        <v>30</v>
      </c>
      <c r="C653" t="s">
        <v>19</v>
      </c>
      <c r="D653" s="3">
        <v>45565</v>
      </c>
      <c r="E653" s="6">
        <v>8.4210526315789472E-2</v>
      </c>
      <c r="F653">
        <v>0</v>
      </c>
      <c r="G653" t="s">
        <v>13</v>
      </c>
      <c r="H653" s="6">
        <v>0.1</v>
      </c>
      <c r="I653" s="8">
        <v>6.5841073271413766E-2</v>
      </c>
      <c r="J653" s="5">
        <f t="shared" si="120"/>
        <v>-3.0570725046180952E-3</v>
      </c>
      <c r="K653" s="5" cm="1">
        <f t="array" ref="K653">_xlfn.STDEV.S(IF($C:$C=C653,$I:$I))</f>
        <v>0.17799866497296365</v>
      </c>
      <c r="L653" s="7">
        <f t="shared" si="123"/>
        <v>0.38707113778913366</v>
      </c>
      <c r="M653">
        <f t="shared" si="121"/>
        <v>0</v>
      </c>
      <c r="N653" s="9">
        <f t="shared" si="124"/>
        <v>-0.15789473684210534</v>
      </c>
      <c r="O653">
        <f>COUNTIFS($B$2:B653,B653,$C$2:C653,C653,$D$2:D653,"&lt;"&amp;D653,$F$2:F653,1)</f>
        <v>0</v>
      </c>
      <c r="P653">
        <f t="shared" si="122"/>
        <v>0</v>
      </c>
      <c r="Q653" t="str">
        <f t="shared" si="125"/>
        <v>Monitor</v>
      </c>
      <c r="R653">
        <v>0</v>
      </c>
      <c r="S653">
        <f t="shared" si="126"/>
        <v>0</v>
      </c>
      <c r="T653">
        <f t="shared" si="127"/>
        <v>0</v>
      </c>
      <c r="U653" t="str">
        <f t="shared" si="128"/>
        <v>Improved Enough</v>
      </c>
      <c r="V653" t="str">
        <f t="shared" si="129"/>
        <v>Close</v>
      </c>
      <c r="W653" t="str">
        <f t="shared" si="130"/>
        <v>Normal</v>
      </c>
      <c r="X653" t="str">
        <f t="shared" si="131"/>
        <v>Allowed</v>
      </c>
    </row>
    <row r="654" spans="1:24" x14ac:dyDescent="0.3">
      <c r="A654" t="s">
        <v>10</v>
      </c>
      <c r="B654" t="s">
        <v>30</v>
      </c>
      <c r="C654" t="s">
        <v>19</v>
      </c>
      <c r="D654" s="3">
        <v>45596</v>
      </c>
      <c r="E654" s="6">
        <v>7.8465562336530084E-2</v>
      </c>
      <c r="F654">
        <v>0</v>
      </c>
      <c r="G654" t="s">
        <v>13</v>
      </c>
      <c r="H654" s="6">
        <v>0.1</v>
      </c>
      <c r="I654" s="8">
        <v>6.8221447253705228E-2</v>
      </c>
      <c r="J654" s="5">
        <f t="shared" si="120"/>
        <v>-3.0570725046180952E-3</v>
      </c>
      <c r="K654" s="5" cm="1">
        <f t="array" ref="K654">_xlfn.STDEV.S(IF($C:$C=C654,$I:$I))</f>
        <v>0.17799866497296365</v>
      </c>
      <c r="L654" s="7">
        <f t="shared" si="123"/>
        <v>0.40044412562953696</v>
      </c>
      <c r="M654">
        <f t="shared" si="121"/>
        <v>0</v>
      </c>
      <c r="N654" s="9">
        <f t="shared" si="124"/>
        <v>-0.21534437663469921</v>
      </c>
      <c r="O654">
        <f>COUNTIFS($B$2:B654,B654,$C$2:C654,C654,$D$2:D654,"&lt;"&amp;D654,$F$2:F654,1)</f>
        <v>0</v>
      </c>
      <c r="P654">
        <f t="shared" si="122"/>
        <v>0</v>
      </c>
      <c r="Q654" t="str">
        <f t="shared" si="125"/>
        <v>Monitor</v>
      </c>
      <c r="R654">
        <v>0</v>
      </c>
      <c r="S654">
        <f t="shared" si="126"/>
        <v>0</v>
      </c>
      <c r="T654">
        <f t="shared" si="127"/>
        <v>0</v>
      </c>
      <c r="U654" t="str">
        <f t="shared" si="128"/>
        <v>Improved Enough</v>
      </c>
      <c r="V654" t="str">
        <f t="shared" si="129"/>
        <v>Close</v>
      </c>
      <c r="W654" t="str">
        <f t="shared" si="130"/>
        <v>Normal</v>
      </c>
      <c r="X654" t="str">
        <f t="shared" si="131"/>
        <v>Allowed</v>
      </c>
    </row>
    <row r="655" spans="1:24" x14ac:dyDescent="0.3">
      <c r="A655" t="s">
        <v>10</v>
      </c>
      <c r="B655" t="s">
        <v>30</v>
      </c>
      <c r="C655" t="s">
        <v>19</v>
      </c>
      <c r="D655" s="3">
        <v>45626</v>
      </c>
      <c r="E655" s="6">
        <v>7.275877E-2</v>
      </c>
      <c r="F655">
        <v>0</v>
      </c>
      <c r="G655" t="s">
        <v>13</v>
      </c>
      <c r="H655" s="6">
        <v>0.1</v>
      </c>
      <c r="I655" s="8">
        <v>7.272989788888895E-2</v>
      </c>
      <c r="J655" s="5">
        <f t="shared" si="120"/>
        <v>-3.0570725046180952E-3</v>
      </c>
      <c r="K655" s="5" cm="1">
        <f t="array" ref="K655">_xlfn.STDEV.S(IF($C:$C=C655,$I:$I))</f>
        <v>0.17799866497296365</v>
      </c>
      <c r="L655" s="7">
        <f t="shared" si="123"/>
        <v>0.42577268995258127</v>
      </c>
      <c r="M655">
        <f t="shared" si="121"/>
        <v>0</v>
      </c>
      <c r="N655" s="9">
        <f t="shared" si="124"/>
        <v>-0.27241230000000005</v>
      </c>
      <c r="O655">
        <f>COUNTIFS($B$2:B655,B655,$C$2:C655,C655,$D$2:D655,"&lt;"&amp;D655,$F$2:F655,1)</f>
        <v>0</v>
      </c>
      <c r="P655">
        <f t="shared" si="122"/>
        <v>0</v>
      </c>
      <c r="Q655" t="str">
        <f t="shared" si="125"/>
        <v>Monitor</v>
      </c>
      <c r="R655">
        <v>0</v>
      </c>
      <c r="S655">
        <f t="shared" si="126"/>
        <v>0</v>
      </c>
      <c r="T655">
        <f t="shared" si="127"/>
        <v>0</v>
      </c>
      <c r="U655" t="str">
        <f t="shared" si="128"/>
        <v>Improved Enough</v>
      </c>
      <c r="V655" t="str">
        <f t="shared" si="129"/>
        <v>Close</v>
      </c>
      <c r="W655" t="str">
        <f t="shared" si="130"/>
        <v>Normal</v>
      </c>
      <c r="X655" t="str">
        <f t="shared" si="131"/>
        <v>Allowed</v>
      </c>
    </row>
    <row r="656" spans="1:24" x14ac:dyDescent="0.3">
      <c r="A656" t="s">
        <v>10</v>
      </c>
      <c r="B656" t="s">
        <v>30</v>
      </c>
      <c r="C656" t="s">
        <v>19</v>
      </c>
      <c r="D656" s="3">
        <v>45657</v>
      </c>
      <c r="E656" s="6">
        <v>9.322399654725938E-2</v>
      </c>
      <c r="F656">
        <v>0</v>
      </c>
      <c r="G656" t="s">
        <v>13</v>
      </c>
      <c r="H656" s="6">
        <v>0.1</v>
      </c>
      <c r="I656" s="8">
        <v>-0.28127504831732841</v>
      </c>
      <c r="J656" s="5">
        <f t="shared" si="120"/>
        <v>-3.0570725046180952E-3</v>
      </c>
      <c r="K656" s="5" cm="1">
        <f t="array" ref="K656">_xlfn.STDEV.S(IF($C:$C=C656,$I:$I))</f>
        <v>0.17799866497296365</v>
      </c>
      <c r="L656" s="7">
        <f t="shared" si="123"/>
        <v>-1.5630340590193135</v>
      </c>
      <c r="M656">
        <f t="shared" si="121"/>
        <v>1</v>
      </c>
      <c r="N656" s="9">
        <f t="shared" si="124"/>
        <v>-6.7760034527406254E-2</v>
      </c>
      <c r="O656">
        <f>COUNTIFS($B$2:B656,B656,$C$2:C656,C656,$D$2:D656,"&lt;"&amp;D656,$F$2:F656,1)</f>
        <v>0</v>
      </c>
      <c r="P656">
        <f t="shared" si="122"/>
        <v>0</v>
      </c>
      <c r="Q656" t="str">
        <f t="shared" si="125"/>
        <v>Monitor</v>
      </c>
      <c r="R656">
        <v>0</v>
      </c>
      <c r="S656">
        <f t="shared" si="126"/>
        <v>0</v>
      </c>
      <c r="T656">
        <f t="shared" si="127"/>
        <v>0</v>
      </c>
      <c r="U656" t="str">
        <f t="shared" si="128"/>
        <v>Not Improved Enough</v>
      </c>
      <c r="V656" t="str">
        <f t="shared" si="129"/>
        <v>Close</v>
      </c>
      <c r="W656" t="str">
        <f t="shared" si="130"/>
        <v>Abnormal</v>
      </c>
      <c r="X656" t="str">
        <f t="shared" si="131"/>
        <v>Allowed</v>
      </c>
    </row>
    <row r="657" spans="1:24" x14ac:dyDescent="0.3">
      <c r="A657" t="s">
        <v>10</v>
      </c>
      <c r="B657" t="s">
        <v>30</v>
      </c>
      <c r="C657" t="s">
        <v>19</v>
      </c>
      <c r="D657" s="3">
        <v>45688</v>
      </c>
      <c r="E657" s="6">
        <v>9.8148945329315535E-2</v>
      </c>
      <c r="F657">
        <v>1</v>
      </c>
      <c r="G657" t="s">
        <v>13</v>
      </c>
      <c r="H657" s="6">
        <v>0.1</v>
      </c>
      <c r="I657" s="8">
        <v>-5.2829195963074588E-2</v>
      </c>
      <c r="J657" s="5">
        <f t="shared" si="120"/>
        <v>-3.0570725046180952E-3</v>
      </c>
      <c r="K657" s="5" cm="1">
        <f t="array" ref="K657">_xlfn.STDEV.S(IF($C:$C=C657,$I:$I))</f>
        <v>0.17799866497296365</v>
      </c>
      <c r="L657" s="7">
        <f t="shared" si="123"/>
        <v>-0.27962076831315791</v>
      </c>
      <c r="M657">
        <f t="shared" si="121"/>
        <v>0</v>
      </c>
      <c r="N657" s="9">
        <f t="shared" si="124"/>
        <v>-1.851054670684471E-2</v>
      </c>
      <c r="O657">
        <f>COUNTIFS($B$2:B657,B657,$C$2:C657,C657,$D$2:D657,"&lt;"&amp;D657,$F$2:F657,1)</f>
        <v>0</v>
      </c>
      <c r="P657">
        <f t="shared" si="122"/>
        <v>0</v>
      </c>
      <c r="Q657" t="str">
        <f t="shared" si="125"/>
        <v>Monitor</v>
      </c>
      <c r="R657">
        <v>0</v>
      </c>
      <c r="S657">
        <f t="shared" si="126"/>
        <v>0</v>
      </c>
      <c r="T657">
        <f t="shared" si="127"/>
        <v>0</v>
      </c>
      <c r="U657" t="str">
        <f t="shared" si="128"/>
        <v>Not Improved Enough</v>
      </c>
      <c r="V657" t="str">
        <f t="shared" si="129"/>
        <v>Close</v>
      </c>
      <c r="W657" t="str">
        <f t="shared" si="130"/>
        <v>Normal</v>
      </c>
      <c r="X657" t="str">
        <f t="shared" si="131"/>
        <v>Allowed</v>
      </c>
    </row>
    <row r="658" spans="1:24" x14ac:dyDescent="0.3">
      <c r="A658" t="s">
        <v>10</v>
      </c>
      <c r="B658" t="s">
        <v>30</v>
      </c>
      <c r="C658" t="s">
        <v>19</v>
      </c>
      <c r="D658" s="3">
        <v>45716</v>
      </c>
      <c r="E658" s="6">
        <v>9.7980232058444347E-2</v>
      </c>
      <c r="F658">
        <v>0</v>
      </c>
      <c r="G658" t="s">
        <v>13</v>
      </c>
      <c r="H658" s="6">
        <v>0.1</v>
      </c>
      <c r="I658" s="8">
        <v>1.7189514396217919E-3</v>
      </c>
      <c r="J658" s="5">
        <f t="shared" si="120"/>
        <v>-3.0570725046180952E-3</v>
      </c>
      <c r="K658" s="5" cm="1">
        <f t="array" ref="K658">_xlfn.STDEV.S(IF($C:$C=C658,$I:$I))</f>
        <v>0.17799866497296365</v>
      </c>
      <c r="L658" s="7">
        <f t="shared" si="123"/>
        <v>2.6831796434907646E-2</v>
      </c>
      <c r="M658">
        <f t="shared" si="121"/>
        <v>0</v>
      </c>
      <c r="N658" s="9">
        <f t="shared" si="124"/>
        <v>-2.0197679415556585E-2</v>
      </c>
      <c r="O658">
        <f>COUNTIFS($B$2:B658,B658,$C$2:C658,C658,$D$2:D658,"&lt;"&amp;D658,$F$2:F658,1)</f>
        <v>1</v>
      </c>
      <c r="P658">
        <f t="shared" si="122"/>
        <v>1</v>
      </c>
      <c r="Q658" t="str">
        <f t="shared" si="125"/>
        <v>Monitor</v>
      </c>
      <c r="R658">
        <v>1</v>
      </c>
      <c r="S658">
        <f t="shared" si="126"/>
        <v>0</v>
      </c>
      <c r="T658">
        <f t="shared" si="127"/>
        <v>0</v>
      </c>
      <c r="U658" t="str">
        <f t="shared" si="128"/>
        <v>Not Improved Enough</v>
      </c>
      <c r="V658" t="str">
        <f t="shared" si="129"/>
        <v>Close</v>
      </c>
      <c r="W658" t="str">
        <f t="shared" si="130"/>
        <v>Normal</v>
      </c>
      <c r="X658" t="str">
        <f t="shared" si="131"/>
        <v>Allowed</v>
      </c>
    </row>
    <row r="659" spans="1:24" x14ac:dyDescent="0.3">
      <c r="A659" t="s">
        <v>10</v>
      </c>
      <c r="B659" t="s">
        <v>30</v>
      </c>
      <c r="C659" t="s">
        <v>19</v>
      </c>
      <c r="D659" s="3">
        <v>45747</v>
      </c>
      <c r="E659" s="6">
        <v>0.10335917312661499</v>
      </c>
      <c r="F659">
        <v>0</v>
      </c>
      <c r="G659" t="s">
        <v>13</v>
      </c>
      <c r="H659" s="6">
        <v>0.1</v>
      </c>
      <c r="I659" s="8">
        <v>-5.4898227480846919E-2</v>
      </c>
      <c r="J659" s="5">
        <f t="shared" si="120"/>
        <v>-3.0570725046180952E-3</v>
      </c>
      <c r="K659" s="5" cm="1">
        <f t="array" ref="K659">_xlfn.STDEV.S(IF($C:$C=C659,$I:$I))</f>
        <v>0.17799866497296365</v>
      </c>
      <c r="L659" s="7">
        <f t="shared" si="123"/>
        <v>-0.29124462806562629</v>
      </c>
      <c r="M659">
        <f t="shared" si="121"/>
        <v>0</v>
      </c>
      <c r="N659" s="9">
        <f t="shared" si="124"/>
        <v>3.3591731266149893E-2</v>
      </c>
      <c r="O659">
        <f>COUNTIFS($B$2:B659,B659,$C$2:C659,C659,$D$2:D659,"&lt;"&amp;D659,$F$2:F659,1)</f>
        <v>1</v>
      </c>
      <c r="P659">
        <f t="shared" si="122"/>
        <v>0</v>
      </c>
      <c r="Q659" t="str">
        <f t="shared" si="125"/>
        <v>Monitor</v>
      </c>
      <c r="R659">
        <v>0</v>
      </c>
      <c r="S659">
        <f t="shared" si="126"/>
        <v>0</v>
      </c>
      <c r="T659">
        <f t="shared" si="127"/>
        <v>0</v>
      </c>
      <c r="U659" t="str">
        <f t="shared" si="128"/>
        <v>Not Improved Enough</v>
      </c>
      <c r="V659" t="str">
        <f t="shared" si="129"/>
        <v>Far</v>
      </c>
      <c r="W659" t="str">
        <f t="shared" si="130"/>
        <v>Normal</v>
      </c>
      <c r="X659" t="str">
        <f t="shared" si="131"/>
        <v>Allowed</v>
      </c>
    </row>
    <row r="660" spans="1:24" x14ac:dyDescent="0.3">
      <c r="A660" t="s">
        <v>10</v>
      </c>
      <c r="B660" t="s">
        <v>30</v>
      </c>
      <c r="C660" t="s">
        <v>19</v>
      </c>
      <c r="D660" s="3">
        <v>45777</v>
      </c>
      <c r="E660" s="6">
        <v>0.1244598098530683</v>
      </c>
      <c r="F660">
        <v>0</v>
      </c>
      <c r="G660" t="s">
        <v>13</v>
      </c>
      <c r="H660" s="6">
        <v>0.1</v>
      </c>
      <c r="I660" s="8">
        <v>-0.2041486603284357</v>
      </c>
      <c r="J660" s="5">
        <f t="shared" si="120"/>
        <v>-3.0570725046180952E-3</v>
      </c>
      <c r="K660" s="5" cm="1">
        <f t="array" ref="K660">_xlfn.STDEV.S(IF($C:$C=C660,$I:$I))</f>
        <v>0.17799866497296365</v>
      </c>
      <c r="L660" s="7">
        <f t="shared" si="123"/>
        <v>-1.1297364946774267</v>
      </c>
      <c r="M660">
        <f t="shared" si="121"/>
        <v>1</v>
      </c>
      <c r="N660" s="9">
        <f t="shared" si="124"/>
        <v>0.24459809853068296</v>
      </c>
      <c r="O660">
        <f>COUNTIFS($B$2:B660,B660,$C$2:C660,C660,$D$2:D660,"&lt;"&amp;D660,$F$2:F660,1)</f>
        <v>1</v>
      </c>
      <c r="P660">
        <f t="shared" si="122"/>
        <v>0</v>
      </c>
      <c r="Q660" t="str">
        <f t="shared" si="125"/>
        <v>Intervene</v>
      </c>
      <c r="R660">
        <v>0</v>
      </c>
      <c r="S660">
        <f t="shared" si="126"/>
        <v>1</v>
      </c>
      <c r="T660">
        <f t="shared" si="127"/>
        <v>1</v>
      </c>
      <c r="U660" t="str">
        <f t="shared" si="128"/>
        <v>Not Improved Enough</v>
      </c>
      <c r="V660" t="str">
        <f t="shared" si="129"/>
        <v>Far</v>
      </c>
      <c r="W660" t="str">
        <f t="shared" si="130"/>
        <v>Abnormal</v>
      </c>
      <c r="X660" t="str">
        <f t="shared" si="131"/>
        <v>Allowed</v>
      </c>
    </row>
    <row r="661" spans="1:24" x14ac:dyDescent="0.3">
      <c r="A661" t="s">
        <v>10</v>
      </c>
      <c r="B661" t="s">
        <v>30</v>
      </c>
      <c r="C661" t="s">
        <v>19</v>
      </c>
      <c r="D661" s="3">
        <v>45808</v>
      </c>
      <c r="E661" s="6">
        <v>0.10398613518197571</v>
      </c>
      <c r="F661">
        <v>0</v>
      </c>
      <c r="G661" t="s">
        <v>13</v>
      </c>
      <c r="H661" s="6">
        <v>0.1</v>
      </c>
      <c r="I661" s="8">
        <v>0.1645002888503759</v>
      </c>
      <c r="J661" s="5">
        <f t="shared" si="120"/>
        <v>-3.0570725046180952E-3</v>
      </c>
      <c r="K661" s="5" cm="1">
        <f t="array" ref="K661">_xlfn.STDEV.S(IF($C:$C=C661,$I:$I))</f>
        <v>0.17799866497296365</v>
      </c>
      <c r="L661" s="7">
        <f t="shared" si="123"/>
        <v>0.94134055095550517</v>
      </c>
      <c r="M661">
        <f t="shared" si="121"/>
        <v>-1</v>
      </c>
      <c r="N661" s="9">
        <f t="shared" si="124"/>
        <v>3.9861351819757002E-2</v>
      </c>
      <c r="O661">
        <f>COUNTIFS($B$2:B661,B661,$C$2:C661,C661,$D$2:D661,"&lt;"&amp;D661,$F$2:F661,1)</f>
        <v>1</v>
      </c>
      <c r="P661">
        <f t="shared" si="122"/>
        <v>0</v>
      </c>
      <c r="Q661" t="str">
        <f t="shared" si="125"/>
        <v>Monitor</v>
      </c>
      <c r="R661">
        <v>0</v>
      </c>
      <c r="S661">
        <f t="shared" si="126"/>
        <v>0</v>
      </c>
      <c r="T661">
        <f t="shared" si="127"/>
        <v>0</v>
      </c>
      <c r="U661" t="str">
        <f t="shared" si="128"/>
        <v>Improved Enough</v>
      </c>
      <c r="V661" t="str">
        <f t="shared" si="129"/>
        <v>Far</v>
      </c>
      <c r="W661" t="str">
        <f t="shared" si="130"/>
        <v>Normal</v>
      </c>
      <c r="X661" t="str">
        <f t="shared" si="131"/>
        <v>Allowed</v>
      </c>
    </row>
    <row r="662" spans="1:24" x14ac:dyDescent="0.3">
      <c r="A662" t="s">
        <v>10</v>
      </c>
      <c r="B662" t="s">
        <v>30</v>
      </c>
      <c r="C662" t="s">
        <v>19</v>
      </c>
      <c r="D662" s="3">
        <v>45838</v>
      </c>
      <c r="E662" s="6">
        <v>9.00829711576452E-2</v>
      </c>
      <c r="F662">
        <v>0</v>
      </c>
      <c r="G662" t="s">
        <v>13</v>
      </c>
      <c r="H662" s="6">
        <v>0.1</v>
      </c>
      <c r="I662" s="8">
        <v>0.1337020940339784</v>
      </c>
      <c r="J662" s="5">
        <f t="shared" si="120"/>
        <v>-3.0570725046180952E-3</v>
      </c>
      <c r="K662" s="5" cm="1">
        <f t="array" ref="K662">_xlfn.STDEV.S(IF($C:$C=C662,$I:$I))</f>
        <v>0.17799866497296365</v>
      </c>
      <c r="L662" s="7">
        <f t="shared" si="123"/>
        <v>0.76831568685848817</v>
      </c>
      <c r="M662">
        <f t="shared" si="121"/>
        <v>-1</v>
      </c>
      <c r="N662" s="9">
        <f t="shared" si="124"/>
        <v>-9.9170288423548053E-2</v>
      </c>
      <c r="O662">
        <f>COUNTIFS($B$2:B662,B662,$C$2:C662,C662,$D$2:D662,"&lt;"&amp;D662,$F$2:F662,1)</f>
        <v>1</v>
      </c>
      <c r="P662">
        <f t="shared" si="122"/>
        <v>0</v>
      </c>
      <c r="Q662" t="str">
        <f t="shared" si="125"/>
        <v>Monitor</v>
      </c>
      <c r="R662">
        <v>0</v>
      </c>
      <c r="S662">
        <f t="shared" si="126"/>
        <v>0</v>
      </c>
      <c r="T662">
        <f t="shared" si="127"/>
        <v>0</v>
      </c>
      <c r="U662" t="str">
        <f t="shared" si="128"/>
        <v>Improved Enough</v>
      </c>
      <c r="V662" t="str">
        <f t="shared" si="129"/>
        <v>Close</v>
      </c>
      <c r="W662" t="str">
        <f t="shared" si="130"/>
        <v>Normal</v>
      </c>
      <c r="X662" t="str">
        <f t="shared" si="131"/>
        <v>Allowed</v>
      </c>
    </row>
    <row r="663" spans="1:24" x14ac:dyDescent="0.3">
      <c r="A663" t="s">
        <v>10</v>
      </c>
      <c r="B663" t="s">
        <v>30</v>
      </c>
      <c r="C663" t="s">
        <v>19</v>
      </c>
      <c r="D663" s="3">
        <v>45869</v>
      </c>
      <c r="E663" s="6">
        <v>7.4899033166075143E-2</v>
      </c>
      <c r="F663">
        <v>0</v>
      </c>
      <c r="G663" t="s">
        <v>13</v>
      </c>
      <c r="H663" s="6">
        <v>0.1</v>
      </c>
      <c r="I663" s="8">
        <v>0.1685550309502799</v>
      </c>
      <c r="J663" s="5">
        <f t="shared" si="120"/>
        <v>-3.0570725046180952E-3</v>
      </c>
      <c r="K663" s="5" cm="1">
        <f t="array" ref="K663">_xlfn.STDEV.S(IF($C:$C=C663,$I:$I))</f>
        <v>0.17799866497296365</v>
      </c>
      <c r="L663" s="7">
        <f t="shared" si="123"/>
        <v>0.96412017180558229</v>
      </c>
      <c r="M663">
        <f t="shared" si="121"/>
        <v>-1</v>
      </c>
      <c r="N663" s="9">
        <f t="shared" si="124"/>
        <v>-0.25100966833924859</v>
      </c>
      <c r="O663">
        <f>COUNTIFS($B$2:B663,B663,$C$2:C663,C663,$D$2:D663,"&lt;"&amp;D663,$F$2:F663,1)</f>
        <v>1</v>
      </c>
      <c r="P663">
        <f t="shared" si="122"/>
        <v>0</v>
      </c>
      <c r="Q663" t="str">
        <f t="shared" si="125"/>
        <v>Monitor</v>
      </c>
      <c r="R663">
        <v>0</v>
      </c>
      <c r="S663">
        <f t="shared" si="126"/>
        <v>0</v>
      </c>
      <c r="T663">
        <f t="shared" si="127"/>
        <v>0</v>
      </c>
      <c r="U663" t="str">
        <f t="shared" si="128"/>
        <v>Improved Enough</v>
      </c>
      <c r="V663" t="str">
        <f t="shared" si="129"/>
        <v>Close</v>
      </c>
      <c r="W663" t="str">
        <f t="shared" si="130"/>
        <v>Normal</v>
      </c>
      <c r="X663" t="str">
        <f t="shared" si="131"/>
        <v>Allowed</v>
      </c>
    </row>
    <row r="664" spans="1:24" x14ac:dyDescent="0.3">
      <c r="A664" t="s">
        <v>10</v>
      </c>
      <c r="B664" t="s">
        <v>30</v>
      </c>
      <c r="C664" t="s">
        <v>19</v>
      </c>
      <c r="D664" s="3">
        <v>45900</v>
      </c>
      <c r="E664" s="6">
        <v>7.3224310471076387E-2</v>
      </c>
      <c r="F664">
        <v>0</v>
      </c>
      <c r="G664" t="s">
        <v>13</v>
      </c>
      <c r="H664" s="6">
        <v>0.1</v>
      </c>
      <c r="I664" s="8">
        <v>2.235973715822686E-2</v>
      </c>
      <c r="J664" s="5">
        <f t="shared" si="120"/>
        <v>-3.0570725046180952E-3</v>
      </c>
      <c r="K664" s="5" cm="1">
        <f t="array" ref="K664">_xlfn.STDEV.S(IF($C:$C=C664,$I:$I))</f>
        <v>0.17799866497296365</v>
      </c>
      <c r="L664" s="7">
        <f t="shared" si="123"/>
        <v>0.14279213648431313</v>
      </c>
      <c r="M664">
        <f t="shared" si="121"/>
        <v>0</v>
      </c>
      <c r="N664" s="9">
        <f t="shared" si="124"/>
        <v>-0.26775689528923619</v>
      </c>
      <c r="O664">
        <f>COUNTIFS($B$2:B664,B664,$C$2:C664,C664,$D$2:D664,"&lt;"&amp;D664,$F$2:F664,1)</f>
        <v>1</v>
      </c>
      <c r="P664">
        <f t="shared" si="122"/>
        <v>0</v>
      </c>
      <c r="Q664" t="str">
        <f t="shared" si="125"/>
        <v>Monitor</v>
      </c>
      <c r="R664">
        <v>0</v>
      </c>
      <c r="S664">
        <f t="shared" si="126"/>
        <v>0</v>
      </c>
      <c r="T664">
        <f t="shared" si="127"/>
        <v>0</v>
      </c>
      <c r="U664" t="str">
        <f t="shared" si="128"/>
        <v>Improved Enough</v>
      </c>
      <c r="V664" t="str">
        <f t="shared" si="129"/>
        <v>Close</v>
      </c>
      <c r="W664" t="str">
        <f t="shared" si="130"/>
        <v>Normal</v>
      </c>
      <c r="X664" t="str">
        <f t="shared" si="131"/>
        <v>Allowed</v>
      </c>
    </row>
    <row r="665" spans="1:24" x14ac:dyDescent="0.3">
      <c r="A665" t="s">
        <v>10</v>
      </c>
      <c r="B665" t="s">
        <v>30</v>
      </c>
      <c r="C665" t="s">
        <v>19</v>
      </c>
      <c r="D665" s="3">
        <v>45930</v>
      </c>
      <c r="E665" s="6">
        <v>7.6014130832013638E-2</v>
      </c>
      <c r="F665">
        <v>0</v>
      </c>
      <c r="G665" t="s">
        <v>13</v>
      </c>
      <c r="H665" s="6">
        <v>0.1</v>
      </c>
      <c r="I665" s="8">
        <v>-3.8099646729199729E-2</v>
      </c>
      <c r="J665" s="5">
        <f t="shared" si="120"/>
        <v>-3.0570725046180952E-3</v>
      </c>
      <c r="K665" s="5" cm="1">
        <f t="array" ref="K665">_xlfn.STDEV.S(IF($C:$C=C665,$I:$I))</f>
        <v>0.17799866497296365</v>
      </c>
      <c r="L665" s="7">
        <f t="shared" si="123"/>
        <v>-0.19686987107405707</v>
      </c>
      <c r="M665">
        <f t="shared" si="121"/>
        <v>0</v>
      </c>
      <c r="N665" s="9">
        <f t="shared" si="124"/>
        <v>-0.23985869167986368</v>
      </c>
      <c r="O665">
        <f>COUNTIFS($B$2:B665,B665,$C$2:C665,C665,$D$2:D665,"&lt;"&amp;D665,$F$2:F665,1)</f>
        <v>1</v>
      </c>
      <c r="P665">
        <f t="shared" si="122"/>
        <v>0</v>
      </c>
      <c r="Q665" t="str">
        <f t="shared" si="125"/>
        <v>Monitor</v>
      </c>
      <c r="R665">
        <v>0</v>
      </c>
      <c r="S665">
        <f t="shared" si="126"/>
        <v>0</v>
      </c>
      <c r="T665">
        <f t="shared" si="127"/>
        <v>0</v>
      </c>
      <c r="U665" t="str">
        <f t="shared" si="128"/>
        <v>Not Improved Enough</v>
      </c>
      <c r="V665" t="str">
        <f t="shared" si="129"/>
        <v>Close</v>
      </c>
      <c r="W665" t="str">
        <f t="shared" si="130"/>
        <v>Normal</v>
      </c>
      <c r="X665" t="str">
        <f t="shared" si="131"/>
        <v>Allowed</v>
      </c>
    </row>
    <row r="666" spans="1:24" x14ac:dyDescent="0.3">
      <c r="A666" t="s">
        <v>10</v>
      </c>
      <c r="B666" t="s">
        <v>30</v>
      </c>
      <c r="C666" t="s">
        <v>19</v>
      </c>
      <c r="D666" s="3">
        <v>45961</v>
      </c>
      <c r="E666" s="6">
        <v>7.437112650382792E-2</v>
      </c>
      <c r="F666">
        <v>0</v>
      </c>
      <c r="G666" t="s">
        <v>13</v>
      </c>
      <c r="H666" s="6">
        <v>0.1</v>
      </c>
      <c r="I666" s="8">
        <v>2.1614459182814998E-2</v>
      </c>
      <c r="J666" s="5">
        <f t="shared" si="120"/>
        <v>-3.0570725046180952E-3</v>
      </c>
      <c r="K666" s="5" cm="1">
        <f t="array" ref="K666">_xlfn.STDEV.S(IF($C:$C=C666,$I:$I))</f>
        <v>0.17799866497296365</v>
      </c>
      <c r="L666" s="7">
        <f t="shared" si="123"/>
        <v>0.1386051501632356</v>
      </c>
      <c r="M666">
        <f t="shared" si="121"/>
        <v>0</v>
      </c>
      <c r="N666" s="9">
        <f t="shared" si="124"/>
        <v>-0.25628873496172083</v>
      </c>
      <c r="O666">
        <f>COUNTIFS($B$2:B666,B666,$C$2:C666,C666,$D$2:D666,"&lt;"&amp;D666,$F$2:F666,1)</f>
        <v>1</v>
      </c>
      <c r="P666">
        <f t="shared" si="122"/>
        <v>0</v>
      </c>
      <c r="Q666" t="str">
        <f t="shared" si="125"/>
        <v>Monitor</v>
      </c>
      <c r="R666">
        <v>0</v>
      </c>
      <c r="S666">
        <f t="shared" si="126"/>
        <v>0</v>
      </c>
      <c r="T666">
        <f t="shared" si="127"/>
        <v>0</v>
      </c>
      <c r="U666" t="str">
        <f t="shared" si="128"/>
        <v>Improved Enough</v>
      </c>
      <c r="V666" t="str">
        <f t="shared" si="129"/>
        <v>Close</v>
      </c>
      <c r="W666" t="str">
        <f t="shared" si="130"/>
        <v>Normal</v>
      </c>
      <c r="X666" t="str">
        <f t="shared" si="131"/>
        <v>Allowed</v>
      </c>
    </row>
    <row r="667" spans="1:24" x14ac:dyDescent="0.3">
      <c r="A667" t="s">
        <v>10</v>
      </c>
      <c r="B667" t="s">
        <v>30</v>
      </c>
      <c r="C667" t="s">
        <v>19</v>
      </c>
      <c r="D667" s="3">
        <v>45991</v>
      </c>
      <c r="E667" s="6">
        <v>7.4853228962818E-2</v>
      </c>
      <c r="F667">
        <v>0</v>
      </c>
      <c r="G667" t="s">
        <v>13</v>
      </c>
      <c r="H667" s="6">
        <v>0.1</v>
      </c>
      <c r="I667" s="8">
        <v>-6.482387475538187E-3</v>
      </c>
      <c r="J667" s="5">
        <f t="shared" si="120"/>
        <v>-3.0570725046180952E-3</v>
      </c>
      <c r="K667" s="5" cm="1">
        <f t="array" ref="K667">_xlfn.STDEV.S(IF($C:$C=C667,$I:$I))</f>
        <v>0.17799866497296365</v>
      </c>
      <c r="L667" s="7">
        <f t="shared" si="123"/>
        <v>-1.9243486862333296E-2</v>
      </c>
      <c r="M667">
        <f t="shared" si="121"/>
        <v>0</v>
      </c>
      <c r="N667" s="9">
        <f t="shared" si="124"/>
        <v>-0.25146771037182003</v>
      </c>
      <c r="O667">
        <f>COUNTIFS($B$2:B667,B667,$C$2:C667,C667,$D$2:D667,"&lt;"&amp;D667,$F$2:F667,1)</f>
        <v>1</v>
      </c>
      <c r="P667">
        <f t="shared" si="122"/>
        <v>0</v>
      </c>
      <c r="Q667" t="str">
        <f t="shared" si="125"/>
        <v>Monitor</v>
      </c>
      <c r="R667">
        <v>0</v>
      </c>
      <c r="S667">
        <f t="shared" si="126"/>
        <v>0</v>
      </c>
      <c r="T667">
        <f t="shared" si="127"/>
        <v>0</v>
      </c>
      <c r="U667" t="str">
        <f t="shared" si="128"/>
        <v>Not Improved Enough</v>
      </c>
      <c r="V667" t="str">
        <f t="shared" si="129"/>
        <v>Close</v>
      </c>
      <c r="W667" t="str">
        <f t="shared" si="130"/>
        <v>Normal</v>
      </c>
      <c r="X667" t="str">
        <f t="shared" si="131"/>
        <v>Allowed</v>
      </c>
    </row>
    <row r="668" spans="1:24" x14ac:dyDescent="0.3">
      <c r="A668" t="s">
        <v>20</v>
      </c>
      <c r="B668" t="s">
        <v>30</v>
      </c>
      <c r="C668" t="s">
        <v>21</v>
      </c>
      <c r="D668" s="3">
        <v>45535</v>
      </c>
      <c r="E668" s="6">
        <v>0.81399999999999995</v>
      </c>
      <c r="F668">
        <v>0</v>
      </c>
      <c r="G668" t="s">
        <v>13</v>
      </c>
      <c r="H668" s="6">
        <v>0.59</v>
      </c>
      <c r="I668" s="8">
        <v>-1.749999999999988E-2</v>
      </c>
      <c r="J668" s="5">
        <f t="shared" si="120"/>
        <v>-4.8849805534298088E-2</v>
      </c>
      <c r="K668" s="5" cm="1">
        <f t="array" ref="K668">_xlfn.STDEV.S(IF($C:$C=C668,$I:$I))</f>
        <v>0.44966933193859487</v>
      </c>
      <c r="L668" s="7">
        <f t="shared" si="123"/>
        <v>6.971746416226407E-2</v>
      </c>
      <c r="M668">
        <f t="shared" si="121"/>
        <v>0</v>
      </c>
      <c r="N668" s="9">
        <f t="shared" si="124"/>
        <v>0.3796610169491525</v>
      </c>
      <c r="O668">
        <f>COUNTIFS($B$2:B668,B668,$C$2:C668,C668,$D$2:D668,"&lt;"&amp;D668,$F$2:F668,1)</f>
        <v>0</v>
      </c>
      <c r="P668">
        <f t="shared" si="122"/>
        <v>0</v>
      </c>
      <c r="Q668" t="str">
        <f t="shared" si="125"/>
        <v>Monitor</v>
      </c>
      <c r="R668">
        <v>0</v>
      </c>
      <c r="S668">
        <f t="shared" si="126"/>
        <v>0</v>
      </c>
      <c r="T668">
        <f t="shared" si="127"/>
        <v>0</v>
      </c>
      <c r="U668" t="str">
        <f t="shared" si="128"/>
        <v>Not Improved Enough</v>
      </c>
      <c r="V668" t="str">
        <f t="shared" si="129"/>
        <v>Far</v>
      </c>
      <c r="W668" t="str">
        <f t="shared" si="130"/>
        <v>Normal</v>
      </c>
      <c r="X668" t="str">
        <f t="shared" si="131"/>
        <v>Allowed</v>
      </c>
    </row>
    <row r="669" spans="1:24" x14ac:dyDescent="0.3">
      <c r="A669" t="s">
        <v>20</v>
      </c>
      <c r="B669" t="s">
        <v>30</v>
      </c>
      <c r="C669" t="s">
        <v>21</v>
      </c>
      <c r="D669" s="3">
        <v>45565</v>
      </c>
      <c r="E669" s="6">
        <v>0.79400000000000004</v>
      </c>
      <c r="F669">
        <v>0</v>
      </c>
      <c r="G669" t="s">
        <v>13</v>
      </c>
      <c r="H669" s="6">
        <v>0.59</v>
      </c>
      <c r="I669" s="8">
        <v>2.4570024570024461E-2</v>
      </c>
      <c r="J669" s="5">
        <f t="shared" si="120"/>
        <v>-4.8849805534298088E-2</v>
      </c>
      <c r="K669" s="5" cm="1">
        <f t="array" ref="K669">_xlfn.STDEV.S(IF($C:$C=C669,$I:$I))</f>
        <v>0.44966933193859487</v>
      </c>
      <c r="L669" s="7">
        <f t="shared" si="123"/>
        <v>0.16327515551883018</v>
      </c>
      <c r="M669">
        <f t="shared" si="121"/>
        <v>0</v>
      </c>
      <c r="N669" s="9">
        <f t="shared" si="124"/>
        <v>0.34576271186440694</v>
      </c>
      <c r="O669">
        <f>COUNTIFS($B$2:B669,B669,$C$2:C669,C669,$D$2:D669,"&lt;"&amp;D669,$F$2:F669,1)</f>
        <v>0</v>
      </c>
      <c r="P669">
        <f t="shared" si="122"/>
        <v>0</v>
      </c>
      <c r="Q669" t="str">
        <f t="shared" si="125"/>
        <v>Monitor</v>
      </c>
      <c r="R669">
        <v>0</v>
      </c>
      <c r="S669">
        <f t="shared" si="126"/>
        <v>0</v>
      </c>
      <c r="T669">
        <f t="shared" si="127"/>
        <v>0</v>
      </c>
      <c r="U669" t="str">
        <f t="shared" si="128"/>
        <v>Improved Enough</v>
      </c>
      <c r="V669" t="str">
        <f t="shared" si="129"/>
        <v>Far</v>
      </c>
      <c r="W669" t="str">
        <f t="shared" si="130"/>
        <v>Normal</v>
      </c>
      <c r="X669" t="str">
        <f t="shared" si="131"/>
        <v>Allowed</v>
      </c>
    </row>
    <row r="670" spans="1:24" x14ac:dyDescent="0.3">
      <c r="A670" t="s">
        <v>20</v>
      </c>
      <c r="B670" t="s">
        <v>30</v>
      </c>
      <c r="C670" t="s">
        <v>21</v>
      </c>
      <c r="D670" s="3">
        <v>45596</v>
      </c>
      <c r="E670" s="6">
        <v>0.78</v>
      </c>
      <c r="F670">
        <v>0</v>
      </c>
      <c r="G670" t="s">
        <v>13</v>
      </c>
      <c r="H670" s="6">
        <v>0.59</v>
      </c>
      <c r="I670" s="8">
        <v>1.7632241813602029E-2</v>
      </c>
      <c r="J670" s="5">
        <f t="shared" si="120"/>
        <v>-4.8849805534298088E-2</v>
      </c>
      <c r="K670" s="5" cm="1">
        <f t="array" ref="K670">_xlfn.STDEV.S(IF($C:$C=C670,$I:$I))</f>
        <v>0.44966933193859487</v>
      </c>
      <c r="L670" s="7">
        <f t="shared" si="123"/>
        <v>0.14784652326918896</v>
      </c>
      <c r="M670">
        <f t="shared" si="121"/>
        <v>0</v>
      </c>
      <c r="N670" s="9">
        <f t="shared" si="124"/>
        <v>0.32203389830508489</v>
      </c>
      <c r="O670">
        <f>COUNTIFS($B$2:B670,B670,$C$2:C670,C670,$D$2:D670,"&lt;"&amp;D670,$F$2:F670,1)</f>
        <v>0</v>
      </c>
      <c r="P670">
        <f t="shared" si="122"/>
        <v>0</v>
      </c>
      <c r="Q670" t="str">
        <f t="shared" si="125"/>
        <v>Monitor</v>
      </c>
      <c r="R670">
        <v>0</v>
      </c>
      <c r="S670">
        <f t="shared" si="126"/>
        <v>0</v>
      </c>
      <c r="T670">
        <f t="shared" si="127"/>
        <v>0</v>
      </c>
      <c r="U670" t="str">
        <f t="shared" si="128"/>
        <v>Improved Enough</v>
      </c>
      <c r="V670" t="str">
        <f t="shared" si="129"/>
        <v>Far</v>
      </c>
      <c r="W670" t="str">
        <f t="shared" si="130"/>
        <v>Normal</v>
      </c>
      <c r="X670" t="str">
        <f t="shared" si="131"/>
        <v>Allowed</v>
      </c>
    </row>
    <row r="671" spans="1:24" x14ac:dyDescent="0.3">
      <c r="A671" t="s">
        <v>20</v>
      </c>
      <c r="B671" t="s">
        <v>30</v>
      </c>
      <c r="C671" t="s">
        <v>21</v>
      </c>
      <c r="D671" s="3">
        <v>45626</v>
      </c>
      <c r="E671" s="6">
        <v>0.98</v>
      </c>
      <c r="F671">
        <v>0</v>
      </c>
      <c r="G671" t="s">
        <v>13</v>
      </c>
      <c r="H671" s="6">
        <v>0.59</v>
      </c>
      <c r="I671" s="8">
        <v>-0.25641025641025628</v>
      </c>
      <c r="J671" s="5">
        <f t="shared" si="120"/>
        <v>-4.8849805534298088E-2</v>
      </c>
      <c r="K671" s="5" cm="1">
        <f t="array" ref="K671">_xlfn.STDEV.S(IF($C:$C=C671,$I:$I))</f>
        <v>0.44966933193859487</v>
      </c>
      <c r="L671" s="7">
        <f t="shared" si="123"/>
        <v>-0.4615846270439049</v>
      </c>
      <c r="M671">
        <f t="shared" si="121"/>
        <v>0</v>
      </c>
      <c r="N671" s="9">
        <f t="shared" si="124"/>
        <v>0.66101694915254239</v>
      </c>
      <c r="O671">
        <f>COUNTIFS($B$2:B671,B671,$C$2:C671,C671,$D$2:D671,"&lt;"&amp;D671,$F$2:F671,1)</f>
        <v>0</v>
      </c>
      <c r="P671">
        <f t="shared" si="122"/>
        <v>0</v>
      </c>
      <c r="Q671" t="str">
        <f t="shared" si="125"/>
        <v>Monitor</v>
      </c>
      <c r="R671">
        <v>0</v>
      </c>
      <c r="S671">
        <f t="shared" si="126"/>
        <v>0</v>
      </c>
      <c r="T671">
        <f t="shared" si="127"/>
        <v>0</v>
      </c>
      <c r="U671" t="str">
        <f t="shared" si="128"/>
        <v>Not Improved Enough</v>
      </c>
      <c r="V671" t="str">
        <f t="shared" si="129"/>
        <v>Far</v>
      </c>
      <c r="W671" t="str">
        <f t="shared" si="130"/>
        <v>Normal</v>
      </c>
      <c r="X671" t="str">
        <f t="shared" si="131"/>
        <v>Allowed</v>
      </c>
    </row>
    <row r="672" spans="1:24" x14ac:dyDescent="0.3">
      <c r="A672" t="s">
        <v>20</v>
      </c>
      <c r="B672" t="s">
        <v>30</v>
      </c>
      <c r="C672" t="s">
        <v>21</v>
      </c>
      <c r="D672" s="3">
        <v>45657</v>
      </c>
      <c r="E672" s="6">
        <v>0.89</v>
      </c>
      <c r="F672">
        <v>0</v>
      </c>
      <c r="G672" t="s">
        <v>13</v>
      </c>
      <c r="H672" s="6">
        <v>0.59</v>
      </c>
      <c r="I672" s="8">
        <v>9.1836734693877514E-2</v>
      </c>
      <c r="J672" s="5">
        <f t="shared" si="120"/>
        <v>-4.8849805534298088E-2</v>
      </c>
      <c r="K672" s="5" cm="1">
        <f t="array" ref="K672">_xlfn.STDEV.S(IF($C:$C=C672,$I:$I))</f>
        <v>0.44966933193859487</v>
      </c>
      <c r="L672" s="7">
        <f t="shared" si="123"/>
        <v>0.31286665608627107</v>
      </c>
      <c r="M672">
        <f t="shared" si="121"/>
        <v>0</v>
      </c>
      <c r="N672" s="9">
        <f t="shared" si="124"/>
        <v>0.50847457627118653</v>
      </c>
      <c r="O672">
        <f>COUNTIFS($B$2:B672,B672,$C$2:C672,C672,$D$2:D672,"&lt;"&amp;D672,$F$2:F672,1)</f>
        <v>0</v>
      </c>
      <c r="P672">
        <f t="shared" si="122"/>
        <v>0</v>
      </c>
      <c r="Q672" t="str">
        <f t="shared" si="125"/>
        <v>Monitor</v>
      </c>
      <c r="R672">
        <v>0</v>
      </c>
      <c r="S672">
        <f t="shared" si="126"/>
        <v>0</v>
      </c>
      <c r="T672">
        <f t="shared" si="127"/>
        <v>0</v>
      </c>
      <c r="U672" t="str">
        <f t="shared" si="128"/>
        <v>Improved Enough</v>
      </c>
      <c r="V672" t="str">
        <f t="shared" si="129"/>
        <v>Far</v>
      </c>
      <c r="W672" t="str">
        <f t="shared" si="130"/>
        <v>Normal</v>
      </c>
      <c r="X672" t="str">
        <f t="shared" si="131"/>
        <v>Allowed</v>
      </c>
    </row>
    <row r="673" spans="1:24" x14ac:dyDescent="0.3">
      <c r="A673" t="s">
        <v>20</v>
      </c>
      <c r="B673" t="s">
        <v>30</v>
      </c>
      <c r="C673" t="s">
        <v>21</v>
      </c>
      <c r="D673" s="3">
        <v>45688</v>
      </c>
      <c r="E673" s="6">
        <v>0.83</v>
      </c>
      <c r="F673">
        <v>0</v>
      </c>
      <c r="G673" t="s">
        <v>13</v>
      </c>
      <c r="H673" s="6">
        <v>0.59</v>
      </c>
      <c r="I673" s="8">
        <v>6.7415730337078705E-2</v>
      </c>
      <c r="J673" s="5">
        <f t="shared" si="120"/>
        <v>-4.8849805534298088E-2</v>
      </c>
      <c r="K673" s="5" cm="1">
        <f t="array" ref="K673">_xlfn.STDEV.S(IF($C:$C=C673,$I:$I))</f>
        <v>0.44966933193859487</v>
      </c>
      <c r="L673" s="7">
        <f t="shared" si="123"/>
        <v>0.25855785043231183</v>
      </c>
      <c r="M673">
        <f t="shared" si="121"/>
        <v>0</v>
      </c>
      <c r="N673" s="9">
        <f t="shared" si="124"/>
        <v>0.40677966101694918</v>
      </c>
      <c r="O673">
        <f>COUNTIFS($B$2:B673,B673,$C$2:C673,C673,$D$2:D673,"&lt;"&amp;D673,$F$2:F673,1)</f>
        <v>0</v>
      </c>
      <c r="P673">
        <f t="shared" si="122"/>
        <v>0</v>
      </c>
      <c r="Q673" t="str">
        <f t="shared" si="125"/>
        <v>Monitor</v>
      </c>
      <c r="R673">
        <v>0</v>
      </c>
      <c r="S673">
        <f t="shared" si="126"/>
        <v>0</v>
      </c>
      <c r="T673">
        <f t="shared" si="127"/>
        <v>0</v>
      </c>
      <c r="U673" t="str">
        <f t="shared" si="128"/>
        <v>Improved Enough</v>
      </c>
      <c r="V673" t="str">
        <f t="shared" si="129"/>
        <v>Far</v>
      </c>
      <c r="W673" t="str">
        <f t="shared" si="130"/>
        <v>Normal</v>
      </c>
      <c r="X673" t="str">
        <f t="shared" si="131"/>
        <v>Allowed</v>
      </c>
    </row>
    <row r="674" spans="1:24" x14ac:dyDescent="0.3">
      <c r="A674" t="s">
        <v>20</v>
      </c>
      <c r="B674" t="s">
        <v>30</v>
      </c>
      <c r="C674" t="s">
        <v>21</v>
      </c>
      <c r="D674" s="3">
        <v>45716</v>
      </c>
      <c r="E674" s="6">
        <v>0.86</v>
      </c>
      <c r="F674">
        <v>0</v>
      </c>
      <c r="G674" t="s">
        <v>13</v>
      </c>
      <c r="H674" s="6">
        <v>0.59</v>
      </c>
      <c r="I674" s="8">
        <v>-3.6144578313253052E-2</v>
      </c>
      <c r="J674" s="5">
        <f t="shared" si="120"/>
        <v>-4.8849805534298088E-2</v>
      </c>
      <c r="K674" s="5" cm="1">
        <f t="array" ref="K674">_xlfn.STDEV.S(IF($C:$C=C674,$I:$I))</f>
        <v>0.44966933193859487</v>
      </c>
      <c r="L674" s="7">
        <f t="shared" si="123"/>
        <v>2.8254600255416158E-2</v>
      </c>
      <c r="M674">
        <f t="shared" si="121"/>
        <v>0</v>
      </c>
      <c r="N674" s="9">
        <f t="shared" si="124"/>
        <v>0.45762711864406785</v>
      </c>
      <c r="O674">
        <f>COUNTIFS($B$2:B674,B674,$C$2:C674,C674,$D$2:D674,"&lt;"&amp;D674,$F$2:F674,1)</f>
        <v>0</v>
      </c>
      <c r="P674">
        <f t="shared" si="122"/>
        <v>0</v>
      </c>
      <c r="Q674" t="str">
        <f t="shared" si="125"/>
        <v>Monitor</v>
      </c>
      <c r="R674">
        <v>0</v>
      </c>
      <c r="S674">
        <f t="shared" si="126"/>
        <v>0</v>
      </c>
      <c r="T674">
        <f t="shared" si="127"/>
        <v>0</v>
      </c>
      <c r="U674" t="str">
        <f t="shared" si="128"/>
        <v>Not Improved Enough</v>
      </c>
      <c r="V674" t="str">
        <f t="shared" si="129"/>
        <v>Far</v>
      </c>
      <c r="W674" t="str">
        <f t="shared" si="130"/>
        <v>Normal</v>
      </c>
      <c r="X674" t="str">
        <f t="shared" si="131"/>
        <v>Allowed</v>
      </c>
    </row>
    <row r="675" spans="1:24" x14ac:dyDescent="0.3">
      <c r="A675" t="s">
        <v>20</v>
      </c>
      <c r="B675" t="s">
        <v>30</v>
      </c>
      <c r="C675" t="s">
        <v>21</v>
      </c>
      <c r="D675" s="3">
        <v>45747</v>
      </c>
      <c r="E675" s="6">
        <v>0.73</v>
      </c>
      <c r="F675">
        <v>0</v>
      </c>
      <c r="G675" t="s">
        <v>13</v>
      </c>
      <c r="H675" s="6">
        <v>0.59</v>
      </c>
      <c r="I675" s="8">
        <v>0.15116279069767441</v>
      </c>
      <c r="J675" s="5">
        <f t="shared" si="120"/>
        <v>-4.8849805534298088E-2</v>
      </c>
      <c r="K675" s="5" cm="1">
        <f t="array" ref="K675">_xlfn.STDEV.S(IF($C:$C=C675,$I:$I))</f>
        <v>0.44966933193859487</v>
      </c>
      <c r="L675" s="7">
        <f t="shared" si="123"/>
        <v>0.44479928255210749</v>
      </c>
      <c r="M675">
        <f t="shared" si="121"/>
        <v>0</v>
      </c>
      <c r="N675" s="9">
        <f t="shared" si="124"/>
        <v>0.23728813559322037</v>
      </c>
      <c r="O675">
        <f>COUNTIFS($B$2:B675,B675,$C$2:C675,C675,$D$2:D675,"&lt;"&amp;D675,$F$2:F675,1)</f>
        <v>0</v>
      </c>
      <c r="P675">
        <f t="shared" si="122"/>
        <v>0</v>
      </c>
      <c r="Q675" t="str">
        <f t="shared" si="125"/>
        <v>Monitor</v>
      </c>
      <c r="R675">
        <v>0</v>
      </c>
      <c r="S675">
        <f t="shared" si="126"/>
        <v>0</v>
      </c>
      <c r="T675">
        <f t="shared" si="127"/>
        <v>0</v>
      </c>
      <c r="U675" t="str">
        <f t="shared" si="128"/>
        <v>Improved Enough</v>
      </c>
      <c r="V675" t="str">
        <f t="shared" si="129"/>
        <v>Far</v>
      </c>
      <c r="W675" t="str">
        <f t="shared" si="130"/>
        <v>Normal</v>
      </c>
      <c r="X675" t="str">
        <f t="shared" si="131"/>
        <v>Allowed</v>
      </c>
    </row>
    <row r="676" spans="1:24" x14ac:dyDescent="0.3">
      <c r="A676" t="s">
        <v>20</v>
      </c>
      <c r="B676" t="s">
        <v>30</v>
      </c>
      <c r="C676" t="s">
        <v>21</v>
      </c>
      <c r="D676" s="3">
        <v>45777</v>
      </c>
      <c r="E676" s="6">
        <v>0.69</v>
      </c>
      <c r="F676">
        <v>0</v>
      </c>
      <c r="G676" t="s">
        <v>13</v>
      </c>
      <c r="H676" s="6">
        <v>0.59</v>
      </c>
      <c r="I676" s="8">
        <v>5.4794520547945258E-2</v>
      </c>
      <c r="J676" s="5">
        <f t="shared" si="120"/>
        <v>-4.8849805534298088E-2</v>
      </c>
      <c r="K676" s="5" cm="1">
        <f t="array" ref="K676">_xlfn.STDEV.S(IF($C:$C=C676,$I:$I))</f>
        <v>0.44966933193859487</v>
      </c>
      <c r="L676" s="7">
        <f t="shared" si="123"/>
        <v>0.23049009287650646</v>
      </c>
      <c r="M676">
        <f t="shared" si="121"/>
        <v>0</v>
      </c>
      <c r="N676" s="9">
        <f t="shared" si="124"/>
        <v>0.16949152542372878</v>
      </c>
      <c r="O676">
        <f>COUNTIFS($B$2:B676,B676,$C$2:C676,C676,$D$2:D676,"&lt;"&amp;D676,$F$2:F676,1)</f>
        <v>0</v>
      </c>
      <c r="P676">
        <f t="shared" si="122"/>
        <v>0</v>
      </c>
      <c r="Q676" t="str">
        <f t="shared" si="125"/>
        <v>Monitor</v>
      </c>
      <c r="R676">
        <v>0</v>
      </c>
      <c r="S676">
        <f t="shared" si="126"/>
        <v>0</v>
      </c>
      <c r="T676">
        <f t="shared" si="127"/>
        <v>0</v>
      </c>
      <c r="U676" t="str">
        <f t="shared" si="128"/>
        <v>Improved Enough</v>
      </c>
      <c r="V676" t="str">
        <f t="shared" si="129"/>
        <v>Far</v>
      </c>
      <c r="W676" t="str">
        <f t="shared" si="130"/>
        <v>Normal</v>
      </c>
      <c r="X676" t="str">
        <f t="shared" si="131"/>
        <v>Allowed</v>
      </c>
    </row>
    <row r="677" spans="1:24" x14ac:dyDescent="0.3">
      <c r="A677" t="s">
        <v>20</v>
      </c>
      <c r="B677" t="s">
        <v>30</v>
      </c>
      <c r="C677" t="s">
        <v>21</v>
      </c>
      <c r="D677" s="3">
        <v>45808</v>
      </c>
      <c r="E677" s="6">
        <v>0.76</v>
      </c>
      <c r="F677">
        <v>0</v>
      </c>
      <c r="G677" t="s">
        <v>13</v>
      </c>
      <c r="H677" s="6">
        <v>0.59</v>
      </c>
      <c r="I677" s="8">
        <v>-0.1014492753623189</v>
      </c>
      <c r="J677" s="5">
        <f t="shared" si="120"/>
        <v>-4.8849805534298088E-2</v>
      </c>
      <c r="K677" s="5" cm="1">
        <f t="array" ref="K677">_xlfn.STDEV.S(IF($C:$C=C677,$I:$I))</f>
        <v>0.44966933193859487</v>
      </c>
      <c r="L677" s="7">
        <f t="shared" si="123"/>
        <v>-0.11697366507352473</v>
      </c>
      <c r="M677">
        <f t="shared" si="121"/>
        <v>0</v>
      </c>
      <c r="N677" s="9">
        <f t="shared" si="124"/>
        <v>0.28813559322033905</v>
      </c>
      <c r="O677">
        <f>COUNTIFS($B$2:B677,B677,$C$2:C677,C677,$D$2:D677,"&lt;"&amp;D677,$F$2:F677,1)</f>
        <v>0</v>
      </c>
      <c r="P677">
        <f t="shared" si="122"/>
        <v>0</v>
      </c>
      <c r="Q677" t="str">
        <f t="shared" si="125"/>
        <v>Monitor</v>
      </c>
      <c r="R677">
        <v>0</v>
      </c>
      <c r="S677">
        <f t="shared" si="126"/>
        <v>0</v>
      </c>
      <c r="T677">
        <f t="shared" si="127"/>
        <v>0</v>
      </c>
      <c r="U677" t="str">
        <f t="shared" si="128"/>
        <v>Not Improved Enough</v>
      </c>
      <c r="V677" t="str">
        <f t="shared" si="129"/>
        <v>Far</v>
      </c>
      <c r="W677" t="str">
        <f t="shared" si="130"/>
        <v>Normal</v>
      </c>
      <c r="X677" t="str">
        <f t="shared" si="131"/>
        <v>Allowed</v>
      </c>
    </row>
    <row r="678" spans="1:24" x14ac:dyDescent="0.3">
      <c r="A678" t="s">
        <v>20</v>
      </c>
      <c r="B678" t="s">
        <v>30</v>
      </c>
      <c r="C678" t="s">
        <v>21</v>
      </c>
      <c r="D678" s="3">
        <v>45838</v>
      </c>
      <c r="E678" s="6">
        <v>0.8</v>
      </c>
      <c r="F678">
        <v>0</v>
      </c>
      <c r="G678" t="s">
        <v>13</v>
      </c>
      <c r="H678" s="6">
        <v>0.59</v>
      </c>
      <c r="I678" s="8">
        <v>-5.2631578947368467E-2</v>
      </c>
      <c r="J678" s="5">
        <f t="shared" si="120"/>
        <v>-4.8849805534298088E-2</v>
      </c>
      <c r="K678" s="5" cm="1">
        <f t="array" ref="K678">_xlfn.STDEV.S(IF($C:$C=C678,$I:$I))</f>
        <v>0.44966933193859487</v>
      </c>
      <c r="L678" s="7">
        <f t="shared" si="123"/>
        <v>-8.410120825377532E-3</v>
      </c>
      <c r="M678">
        <f t="shared" si="121"/>
        <v>0</v>
      </c>
      <c r="N678" s="9">
        <f t="shared" si="124"/>
        <v>0.35593220338983067</v>
      </c>
      <c r="O678">
        <f>COUNTIFS($B$2:B678,B678,$C$2:C678,C678,$D$2:D678,"&lt;"&amp;D678,$F$2:F678,1)</f>
        <v>0</v>
      </c>
      <c r="P678">
        <f t="shared" si="122"/>
        <v>0</v>
      </c>
      <c r="Q678" t="str">
        <f t="shared" si="125"/>
        <v>Monitor</v>
      </c>
      <c r="R678">
        <v>0</v>
      </c>
      <c r="S678">
        <f t="shared" si="126"/>
        <v>0</v>
      </c>
      <c r="T678">
        <f t="shared" si="127"/>
        <v>0</v>
      </c>
      <c r="U678" t="str">
        <f t="shared" si="128"/>
        <v>Not Improved Enough</v>
      </c>
      <c r="V678" t="str">
        <f t="shared" si="129"/>
        <v>Far</v>
      </c>
      <c r="W678" t="str">
        <f t="shared" si="130"/>
        <v>Normal</v>
      </c>
      <c r="X678" t="str">
        <f t="shared" si="131"/>
        <v>Allowed</v>
      </c>
    </row>
    <row r="679" spans="1:24" x14ac:dyDescent="0.3">
      <c r="A679" t="s">
        <v>20</v>
      </c>
      <c r="B679" t="s">
        <v>30</v>
      </c>
      <c r="C679" t="s">
        <v>21</v>
      </c>
      <c r="D679" s="3">
        <v>45869</v>
      </c>
      <c r="E679" s="6">
        <v>0.77</v>
      </c>
      <c r="F679">
        <v>0</v>
      </c>
      <c r="G679" t="s">
        <v>13</v>
      </c>
      <c r="H679" s="6">
        <v>0.59</v>
      </c>
      <c r="I679" s="8">
        <v>3.7500000000000033E-2</v>
      </c>
      <c r="J679" s="5">
        <f t="shared" si="120"/>
        <v>-4.8849805534298088E-2</v>
      </c>
      <c r="K679" s="5" cm="1">
        <f t="array" ref="K679">_xlfn.STDEV.S(IF($C:$C=C679,$I:$I))</f>
        <v>0.44966933193859487</v>
      </c>
      <c r="L679" s="7">
        <f t="shared" si="123"/>
        <v>0.19202956350621153</v>
      </c>
      <c r="M679">
        <f t="shared" si="121"/>
        <v>0</v>
      </c>
      <c r="N679" s="9">
        <f t="shared" si="124"/>
        <v>0.30508474576271194</v>
      </c>
      <c r="O679">
        <f>COUNTIFS($B$2:B679,B679,$C$2:C679,C679,$D$2:D679,"&lt;"&amp;D679,$F$2:F679,1)</f>
        <v>0</v>
      </c>
      <c r="P679">
        <f t="shared" si="122"/>
        <v>0</v>
      </c>
      <c r="Q679" t="str">
        <f t="shared" si="125"/>
        <v>Monitor</v>
      </c>
      <c r="R679">
        <v>0</v>
      </c>
      <c r="S679">
        <f t="shared" si="126"/>
        <v>0</v>
      </c>
      <c r="T679">
        <f t="shared" si="127"/>
        <v>0</v>
      </c>
      <c r="U679" t="str">
        <f t="shared" si="128"/>
        <v>Improved Enough</v>
      </c>
      <c r="V679" t="str">
        <f t="shared" si="129"/>
        <v>Far</v>
      </c>
      <c r="W679" t="str">
        <f t="shared" si="130"/>
        <v>Normal</v>
      </c>
      <c r="X679" t="str">
        <f t="shared" si="131"/>
        <v>Allowed</v>
      </c>
    </row>
    <row r="680" spans="1:24" x14ac:dyDescent="0.3">
      <c r="A680" t="s">
        <v>20</v>
      </c>
      <c r="B680" t="s">
        <v>30</v>
      </c>
      <c r="C680" t="s">
        <v>21</v>
      </c>
      <c r="D680" s="3">
        <v>45900</v>
      </c>
      <c r="E680" s="6">
        <v>0.78</v>
      </c>
      <c r="F680">
        <v>0</v>
      </c>
      <c r="G680" t="s">
        <v>13</v>
      </c>
      <c r="H680" s="6">
        <v>0.59</v>
      </c>
      <c r="I680" s="8">
        <v>-1.2987012987013E-2</v>
      </c>
      <c r="J680" s="5">
        <f t="shared" si="120"/>
        <v>-4.8849805534298088E-2</v>
      </c>
      <c r="K680" s="5" cm="1">
        <f t="array" ref="K680">_xlfn.STDEV.S(IF($C:$C=C680,$I:$I))</f>
        <v>0.44966933193859487</v>
      </c>
      <c r="L680" s="7">
        <f t="shared" si="123"/>
        <v>7.9753698996271272E-2</v>
      </c>
      <c r="M680">
        <f t="shared" si="121"/>
        <v>0</v>
      </c>
      <c r="N680" s="9">
        <f t="shared" si="124"/>
        <v>0.32203389830508489</v>
      </c>
      <c r="O680">
        <f>COUNTIFS($B$2:B680,B680,$C$2:C680,C680,$D$2:D680,"&lt;"&amp;D680,$F$2:F680,1)</f>
        <v>0</v>
      </c>
      <c r="P680">
        <f t="shared" si="122"/>
        <v>0</v>
      </c>
      <c r="Q680" t="str">
        <f t="shared" si="125"/>
        <v>Monitor</v>
      </c>
      <c r="R680">
        <v>0</v>
      </c>
      <c r="S680">
        <f t="shared" si="126"/>
        <v>0</v>
      </c>
      <c r="T680">
        <f t="shared" si="127"/>
        <v>0</v>
      </c>
      <c r="U680" t="str">
        <f t="shared" si="128"/>
        <v>Not Improved Enough</v>
      </c>
      <c r="V680" t="str">
        <f t="shared" si="129"/>
        <v>Far</v>
      </c>
      <c r="W680" t="str">
        <f t="shared" si="130"/>
        <v>Normal</v>
      </c>
      <c r="X680" t="str">
        <f t="shared" si="131"/>
        <v>Allowed</v>
      </c>
    </row>
    <row r="681" spans="1:24" x14ac:dyDescent="0.3">
      <c r="A681" t="s">
        <v>20</v>
      </c>
      <c r="B681" t="s">
        <v>30</v>
      </c>
      <c r="C681" t="s">
        <v>21</v>
      </c>
      <c r="D681" s="3">
        <v>45930</v>
      </c>
      <c r="E681" s="6">
        <v>0.68</v>
      </c>
      <c r="F681">
        <v>0</v>
      </c>
      <c r="G681" t="s">
        <v>13</v>
      </c>
      <c r="H681" s="6">
        <v>0.59</v>
      </c>
      <c r="I681" s="8">
        <v>0.12820512820512819</v>
      </c>
      <c r="J681" s="5">
        <f t="shared" si="120"/>
        <v>-4.8849805534298088E-2</v>
      </c>
      <c r="K681" s="5" cm="1">
        <f t="array" ref="K681">_xlfn.STDEV.S(IF($C:$C=C681,$I:$I))</f>
        <v>0.44966933193859487</v>
      </c>
      <c r="L681" s="7">
        <f t="shared" si="123"/>
        <v>0.39374473899768692</v>
      </c>
      <c r="M681">
        <f t="shared" si="121"/>
        <v>0</v>
      </c>
      <c r="N681" s="9">
        <f t="shared" si="124"/>
        <v>0.15254237288135608</v>
      </c>
      <c r="O681">
        <f>COUNTIFS($B$2:B681,B681,$C$2:C681,C681,$D$2:D681,"&lt;"&amp;D681,$F$2:F681,1)</f>
        <v>0</v>
      </c>
      <c r="P681">
        <f t="shared" si="122"/>
        <v>0</v>
      </c>
      <c r="Q681" t="str">
        <f t="shared" si="125"/>
        <v>Monitor</v>
      </c>
      <c r="R681">
        <v>0</v>
      </c>
      <c r="S681">
        <f t="shared" si="126"/>
        <v>0</v>
      </c>
      <c r="T681">
        <f t="shared" si="127"/>
        <v>0</v>
      </c>
      <c r="U681" t="str">
        <f t="shared" si="128"/>
        <v>Improved Enough</v>
      </c>
      <c r="V681" t="str">
        <f t="shared" si="129"/>
        <v>Far</v>
      </c>
      <c r="W681" t="str">
        <f t="shared" si="130"/>
        <v>Normal</v>
      </c>
      <c r="X681" t="str">
        <f t="shared" si="131"/>
        <v>Allowed</v>
      </c>
    </row>
    <row r="682" spans="1:24" x14ac:dyDescent="0.3">
      <c r="A682" t="s">
        <v>20</v>
      </c>
      <c r="B682" t="s">
        <v>30</v>
      </c>
      <c r="C682" t="s">
        <v>21</v>
      </c>
      <c r="D682" s="3">
        <v>45961</v>
      </c>
      <c r="E682" s="6">
        <v>0.7</v>
      </c>
      <c r="F682">
        <v>0</v>
      </c>
      <c r="G682" t="s">
        <v>13</v>
      </c>
      <c r="H682" s="6">
        <v>0.59</v>
      </c>
      <c r="I682" s="8">
        <v>-2.941176470588221E-2</v>
      </c>
      <c r="J682" s="5">
        <f t="shared" si="120"/>
        <v>-4.8849805534298088E-2</v>
      </c>
      <c r="K682" s="5" cm="1">
        <f t="array" ref="K682">_xlfn.STDEV.S(IF($C:$C=C682,$I:$I))</f>
        <v>0.44966933193859487</v>
      </c>
      <c r="L682" s="7">
        <f t="shared" si="123"/>
        <v>4.3227410561034796E-2</v>
      </c>
      <c r="M682">
        <f t="shared" si="121"/>
        <v>0</v>
      </c>
      <c r="N682" s="9">
        <f t="shared" si="124"/>
        <v>0.18644067796610167</v>
      </c>
      <c r="O682">
        <f>COUNTIFS($B$2:B682,B682,$C$2:C682,C682,$D$2:D682,"&lt;"&amp;D682,$F$2:F682,1)</f>
        <v>0</v>
      </c>
      <c r="P682">
        <f t="shared" si="122"/>
        <v>0</v>
      </c>
      <c r="Q682" t="str">
        <f t="shared" si="125"/>
        <v>Monitor</v>
      </c>
      <c r="R682">
        <v>0</v>
      </c>
      <c r="S682">
        <f t="shared" si="126"/>
        <v>0</v>
      </c>
      <c r="T682">
        <f t="shared" si="127"/>
        <v>0</v>
      </c>
      <c r="U682" t="str">
        <f t="shared" si="128"/>
        <v>Not Improved Enough</v>
      </c>
      <c r="V682" t="str">
        <f t="shared" si="129"/>
        <v>Far</v>
      </c>
      <c r="W682" t="str">
        <f t="shared" si="130"/>
        <v>Normal</v>
      </c>
      <c r="X682" t="str">
        <f t="shared" si="131"/>
        <v>Allowed</v>
      </c>
    </row>
    <row r="683" spans="1:24" x14ac:dyDescent="0.3">
      <c r="A683" t="s">
        <v>20</v>
      </c>
      <c r="B683" t="s">
        <v>30</v>
      </c>
      <c r="C683" t="s">
        <v>22</v>
      </c>
      <c r="D683" s="3">
        <v>45535</v>
      </c>
      <c r="E683" s="6">
        <v>0.51700000000000002</v>
      </c>
      <c r="F683">
        <v>0</v>
      </c>
      <c r="G683" t="s">
        <v>13</v>
      </c>
      <c r="H683" s="6">
        <v>0.56999999999999995</v>
      </c>
      <c r="I683" s="8">
        <v>0.17280000000000001</v>
      </c>
      <c r="J683" s="5">
        <f t="shared" si="120"/>
        <v>-2.6703176088529658E-2</v>
      </c>
      <c r="K683" s="5" cm="1">
        <f t="array" ref="K683">_xlfn.STDEV.S(IF($C:$C=C683,$I:$I))</f>
        <v>0.34089784338901952</v>
      </c>
      <c r="L683" s="7">
        <f t="shared" si="123"/>
        <v>0.58522862481375193</v>
      </c>
      <c r="M683">
        <f t="shared" si="121"/>
        <v>-1</v>
      </c>
      <c r="N683" s="9">
        <f t="shared" si="124"/>
        <v>-9.2982456140350778E-2</v>
      </c>
      <c r="O683">
        <f>COUNTIFS($B$2:B683,B683,$C$2:C683,C683,$D$2:D683,"&lt;"&amp;D683,$F$2:F683,1)</f>
        <v>0</v>
      </c>
      <c r="P683">
        <f t="shared" si="122"/>
        <v>0</v>
      </c>
      <c r="Q683" t="str">
        <f t="shared" si="125"/>
        <v>Monitor</v>
      </c>
      <c r="R683">
        <v>0</v>
      </c>
      <c r="S683">
        <f t="shared" si="126"/>
        <v>0</v>
      </c>
      <c r="T683">
        <f t="shared" si="127"/>
        <v>0</v>
      </c>
      <c r="U683" t="str">
        <f t="shared" si="128"/>
        <v>Improved Enough</v>
      </c>
      <c r="V683" t="str">
        <f t="shared" si="129"/>
        <v>Close</v>
      </c>
      <c r="W683" t="str">
        <f t="shared" si="130"/>
        <v>Normal</v>
      </c>
      <c r="X683" t="str">
        <f t="shared" si="131"/>
        <v>Allowed</v>
      </c>
    </row>
    <row r="684" spans="1:24" x14ac:dyDescent="0.3">
      <c r="A684" t="s">
        <v>20</v>
      </c>
      <c r="B684" t="s">
        <v>30</v>
      </c>
      <c r="C684" t="s">
        <v>22</v>
      </c>
      <c r="D684" s="3">
        <v>45565</v>
      </c>
      <c r="E684" s="6">
        <v>0.47799999999999998</v>
      </c>
      <c r="F684">
        <v>0</v>
      </c>
      <c r="G684" t="s">
        <v>13</v>
      </c>
      <c r="H684" s="6">
        <v>0.56999999999999995</v>
      </c>
      <c r="I684" s="8">
        <v>7.5435203094777623E-2</v>
      </c>
      <c r="J684" s="5">
        <f t="shared" si="120"/>
        <v>-2.6703176088529658E-2</v>
      </c>
      <c r="K684" s="5" cm="1">
        <f t="array" ref="K684">_xlfn.STDEV.S(IF($C:$C=C684,$I:$I))</f>
        <v>0.34089784338901952</v>
      </c>
      <c r="L684" s="7">
        <f t="shared" si="123"/>
        <v>0.29961579741280703</v>
      </c>
      <c r="M684">
        <f t="shared" si="121"/>
        <v>0</v>
      </c>
      <c r="N684" s="9">
        <f t="shared" si="124"/>
        <v>-0.1614035087719298</v>
      </c>
      <c r="O684">
        <f>COUNTIFS($B$2:B684,B684,$C$2:C684,C684,$D$2:D684,"&lt;"&amp;D684,$F$2:F684,1)</f>
        <v>0</v>
      </c>
      <c r="P684">
        <f t="shared" si="122"/>
        <v>0</v>
      </c>
      <c r="Q684" t="str">
        <f t="shared" si="125"/>
        <v>Monitor</v>
      </c>
      <c r="R684">
        <v>0</v>
      </c>
      <c r="S684">
        <f t="shared" si="126"/>
        <v>0</v>
      </c>
      <c r="T684">
        <f t="shared" si="127"/>
        <v>0</v>
      </c>
      <c r="U684" t="str">
        <f t="shared" si="128"/>
        <v>Improved Enough</v>
      </c>
      <c r="V684" t="str">
        <f t="shared" si="129"/>
        <v>Close</v>
      </c>
      <c r="W684" t="str">
        <f t="shared" si="130"/>
        <v>Normal</v>
      </c>
      <c r="X684" t="str">
        <f t="shared" si="131"/>
        <v>Allowed</v>
      </c>
    </row>
    <row r="685" spans="1:24" x14ac:dyDescent="0.3">
      <c r="A685" t="s">
        <v>20</v>
      </c>
      <c r="B685" t="s">
        <v>30</v>
      </c>
      <c r="C685" t="s">
        <v>22</v>
      </c>
      <c r="D685" s="3">
        <v>45596</v>
      </c>
      <c r="E685" s="6">
        <v>0.54500000000000004</v>
      </c>
      <c r="F685">
        <v>1</v>
      </c>
      <c r="G685" t="s">
        <v>13</v>
      </c>
      <c r="H685" s="6">
        <v>0.56999999999999995</v>
      </c>
      <c r="I685" s="8">
        <v>-0.14016736401673649</v>
      </c>
      <c r="J685" s="5">
        <f t="shared" si="120"/>
        <v>-2.6703176088529658E-2</v>
      </c>
      <c r="K685" s="5" cm="1">
        <f t="array" ref="K685">_xlfn.STDEV.S(IF($C:$C=C685,$I:$I))</f>
        <v>0.34089784338901952</v>
      </c>
      <c r="L685" s="7">
        <f t="shared" si="123"/>
        <v>-0.33283926586395524</v>
      </c>
      <c r="M685">
        <f t="shared" si="121"/>
        <v>0</v>
      </c>
      <c r="N685" s="9">
        <f t="shared" si="124"/>
        <v>-4.3859649122806862E-2</v>
      </c>
      <c r="O685">
        <f>COUNTIFS($B$2:B685,B685,$C$2:C685,C685,$D$2:D685,"&lt;"&amp;D685,$F$2:F685,1)</f>
        <v>0</v>
      </c>
      <c r="P685">
        <f t="shared" si="122"/>
        <v>0</v>
      </c>
      <c r="Q685" t="str">
        <f t="shared" si="125"/>
        <v>Monitor</v>
      </c>
      <c r="R685">
        <v>0</v>
      </c>
      <c r="S685">
        <f t="shared" si="126"/>
        <v>0</v>
      </c>
      <c r="T685">
        <f t="shared" si="127"/>
        <v>0</v>
      </c>
      <c r="U685" t="str">
        <f t="shared" si="128"/>
        <v>Not Improved Enough</v>
      </c>
      <c r="V685" t="str">
        <f t="shared" si="129"/>
        <v>Close</v>
      </c>
      <c r="W685" t="str">
        <f t="shared" si="130"/>
        <v>Normal</v>
      </c>
      <c r="X685" t="str">
        <f t="shared" si="131"/>
        <v>Allowed</v>
      </c>
    </row>
    <row r="686" spans="1:24" x14ac:dyDescent="0.3">
      <c r="A686" t="s">
        <v>20</v>
      </c>
      <c r="B686" t="s">
        <v>30</v>
      </c>
      <c r="C686" t="s">
        <v>22</v>
      </c>
      <c r="D686" s="3">
        <v>45626</v>
      </c>
      <c r="E686" s="6">
        <v>0.44400000000000001</v>
      </c>
      <c r="F686">
        <v>0</v>
      </c>
      <c r="G686" t="s">
        <v>13</v>
      </c>
      <c r="H686" s="6">
        <v>0.56999999999999995</v>
      </c>
      <c r="I686" s="8">
        <v>0.1853211009174312</v>
      </c>
      <c r="J686" s="5">
        <f t="shared" si="120"/>
        <v>-2.6703176088529658E-2</v>
      </c>
      <c r="K686" s="5" cm="1">
        <f t="array" ref="K686">_xlfn.STDEV.S(IF($C:$C=C686,$I:$I))</f>
        <v>0.34089784338901952</v>
      </c>
      <c r="L686" s="7">
        <f t="shared" si="123"/>
        <v>0.62195839932025299</v>
      </c>
      <c r="M686">
        <f t="shared" si="121"/>
        <v>-1</v>
      </c>
      <c r="N686" s="9">
        <f t="shared" si="124"/>
        <v>-0.22105263157894728</v>
      </c>
      <c r="O686">
        <f>COUNTIFS($B$2:B686,B686,$C$2:C686,C686,$D$2:D686,"&lt;"&amp;D686,$F$2:F686,1)</f>
        <v>1</v>
      </c>
      <c r="P686">
        <f t="shared" si="122"/>
        <v>1</v>
      </c>
      <c r="Q686" t="str">
        <f t="shared" si="125"/>
        <v>Monitor</v>
      </c>
      <c r="R686">
        <v>1</v>
      </c>
      <c r="S686">
        <f t="shared" si="126"/>
        <v>0</v>
      </c>
      <c r="T686">
        <f t="shared" si="127"/>
        <v>0</v>
      </c>
      <c r="U686" t="str">
        <f t="shared" si="128"/>
        <v>Improved Enough</v>
      </c>
      <c r="V686" t="str">
        <f t="shared" si="129"/>
        <v>Close</v>
      </c>
      <c r="W686" t="str">
        <f t="shared" si="130"/>
        <v>Normal</v>
      </c>
      <c r="X686" t="str">
        <f t="shared" si="131"/>
        <v>Allowed</v>
      </c>
    </row>
    <row r="687" spans="1:24" x14ac:dyDescent="0.3">
      <c r="A687" t="s">
        <v>20</v>
      </c>
      <c r="B687" t="s">
        <v>30</v>
      </c>
      <c r="C687" t="s">
        <v>22</v>
      </c>
      <c r="D687" s="3">
        <v>45657</v>
      </c>
      <c r="E687" s="6">
        <v>0.45500000000000002</v>
      </c>
      <c r="F687">
        <v>0</v>
      </c>
      <c r="G687" t="s">
        <v>13</v>
      </c>
      <c r="H687" s="6">
        <v>0.56999999999999995</v>
      </c>
      <c r="I687" s="8">
        <v>-2.4774774774774799E-2</v>
      </c>
      <c r="J687" s="5">
        <f t="shared" si="120"/>
        <v>-2.6703176088529658E-2</v>
      </c>
      <c r="K687" s="5" cm="1">
        <f t="array" ref="K687">_xlfn.STDEV.S(IF($C:$C=C687,$I:$I))</f>
        <v>0.34089784338901952</v>
      </c>
      <c r="L687" s="7">
        <f t="shared" si="123"/>
        <v>5.6568304879366493E-3</v>
      </c>
      <c r="M687">
        <f t="shared" si="121"/>
        <v>0</v>
      </c>
      <c r="N687" s="9">
        <f t="shared" si="124"/>
        <v>-0.20175438596491219</v>
      </c>
      <c r="O687">
        <f>COUNTIFS($B$2:B687,B687,$C$2:C687,C687,$D$2:D687,"&lt;"&amp;D687,$F$2:F687,1)</f>
        <v>1</v>
      </c>
      <c r="P687">
        <f t="shared" si="122"/>
        <v>0</v>
      </c>
      <c r="Q687" t="str">
        <f t="shared" si="125"/>
        <v>Monitor</v>
      </c>
      <c r="R687">
        <v>0</v>
      </c>
      <c r="S687">
        <f t="shared" si="126"/>
        <v>0</v>
      </c>
      <c r="T687">
        <f t="shared" si="127"/>
        <v>0</v>
      </c>
      <c r="U687" t="str">
        <f t="shared" si="128"/>
        <v>Not Improved Enough</v>
      </c>
      <c r="V687" t="str">
        <f t="shared" si="129"/>
        <v>Close</v>
      </c>
      <c r="W687" t="str">
        <f t="shared" si="130"/>
        <v>Normal</v>
      </c>
      <c r="X687" t="str">
        <f t="shared" si="131"/>
        <v>Allowed</v>
      </c>
    </row>
    <row r="688" spans="1:24" x14ac:dyDescent="0.3">
      <c r="A688" t="s">
        <v>20</v>
      </c>
      <c r="B688" t="s">
        <v>30</v>
      </c>
      <c r="C688" t="s">
        <v>22</v>
      </c>
      <c r="D688" s="3">
        <v>45688</v>
      </c>
      <c r="E688" s="6">
        <v>0.64</v>
      </c>
      <c r="F688">
        <v>0</v>
      </c>
      <c r="G688" t="s">
        <v>13</v>
      </c>
      <c r="H688" s="6">
        <v>0.56999999999999995</v>
      </c>
      <c r="I688" s="8">
        <v>-0.40659340659340659</v>
      </c>
      <c r="J688" s="5">
        <f t="shared" si="120"/>
        <v>-2.6703176088529658E-2</v>
      </c>
      <c r="K688" s="5" cm="1">
        <f t="array" ref="K688">_xlfn.STDEV.S(IF($C:$C=C688,$I:$I))</f>
        <v>0.34089784338901952</v>
      </c>
      <c r="L688" s="7">
        <f t="shared" si="123"/>
        <v>-1.1143814426287255</v>
      </c>
      <c r="M688">
        <f t="shared" si="121"/>
        <v>1</v>
      </c>
      <c r="N688" s="9">
        <f t="shared" si="124"/>
        <v>0.12280701754385977</v>
      </c>
      <c r="O688">
        <f>COUNTIFS($B$2:B688,B688,$C$2:C688,C688,$D$2:D688,"&lt;"&amp;D688,$F$2:F688,1)</f>
        <v>1</v>
      </c>
      <c r="P688">
        <f t="shared" si="122"/>
        <v>0</v>
      </c>
      <c r="Q688" t="str">
        <f t="shared" si="125"/>
        <v>Intervene</v>
      </c>
      <c r="R688">
        <v>0</v>
      </c>
      <c r="S688">
        <f t="shared" si="126"/>
        <v>1</v>
      </c>
      <c r="T688">
        <f t="shared" si="127"/>
        <v>1</v>
      </c>
      <c r="U688" t="str">
        <f t="shared" si="128"/>
        <v>Not Improved Enough</v>
      </c>
      <c r="V688" t="str">
        <f t="shared" si="129"/>
        <v>Far</v>
      </c>
      <c r="W688" t="str">
        <f t="shared" si="130"/>
        <v>Abnormal</v>
      </c>
      <c r="X688" t="str">
        <f t="shared" si="131"/>
        <v>Allowed</v>
      </c>
    </row>
    <row r="689" spans="1:24" x14ac:dyDescent="0.3">
      <c r="A689" t="s">
        <v>20</v>
      </c>
      <c r="B689" t="s">
        <v>30</v>
      </c>
      <c r="C689" t="s">
        <v>22</v>
      </c>
      <c r="D689" s="3">
        <v>45716</v>
      </c>
      <c r="E689" s="6">
        <v>0.54500000000000004</v>
      </c>
      <c r="F689">
        <v>0</v>
      </c>
      <c r="G689" t="s">
        <v>13</v>
      </c>
      <c r="H689" s="6">
        <v>0.56999999999999995</v>
      </c>
      <c r="I689" s="8">
        <v>0.14843749999999989</v>
      </c>
      <c r="J689" s="5">
        <f t="shared" si="120"/>
        <v>-2.6703176088529658E-2</v>
      </c>
      <c r="K689" s="5" cm="1">
        <f t="array" ref="K689">_xlfn.STDEV.S(IF($C:$C=C689,$I:$I))</f>
        <v>0.34089784338901952</v>
      </c>
      <c r="L689" s="7">
        <f t="shared" si="123"/>
        <v>0.51376293363248338</v>
      </c>
      <c r="M689">
        <f t="shared" si="121"/>
        <v>-1</v>
      </c>
      <c r="N689" s="9">
        <f t="shared" si="124"/>
        <v>-4.3859649122806862E-2</v>
      </c>
      <c r="O689">
        <f>COUNTIFS($B$2:B689,B689,$C$2:C689,C689,$D$2:D689,"&lt;"&amp;D689,$F$2:F689,1)</f>
        <v>1</v>
      </c>
      <c r="P689">
        <f t="shared" si="122"/>
        <v>0</v>
      </c>
      <c r="Q689" t="str">
        <f t="shared" si="125"/>
        <v>Monitor</v>
      </c>
      <c r="R689">
        <v>0</v>
      </c>
      <c r="S689">
        <f t="shared" si="126"/>
        <v>0</v>
      </c>
      <c r="T689">
        <f t="shared" si="127"/>
        <v>0</v>
      </c>
      <c r="U689" t="str">
        <f t="shared" si="128"/>
        <v>Improved Enough</v>
      </c>
      <c r="V689" t="str">
        <f t="shared" si="129"/>
        <v>Close</v>
      </c>
      <c r="W689" t="str">
        <f t="shared" si="130"/>
        <v>Normal</v>
      </c>
      <c r="X689" t="str">
        <f t="shared" si="131"/>
        <v>Allowed</v>
      </c>
    </row>
    <row r="690" spans="1:24" x14ac:dyDescent="0.3">
      <c r="A690" t="s">
        <v>20</v>
      </c>
      <c r="B690" t="s">
        <v>30</v>
      </c>
      <c r="C690" t="s">
        <v>22</v>
      </c>
      <c r="D690" s="3">
        <v>45747</v>
      </c>
      <c r="E690" s="6">
        <v>0.83299999999999996</v>
      </c>
      <c r="F690">
        <v>0</v>
      </c>
      <c r="G690" t="s">
        <v>13</v>
      </c>
      <c r="H690" s="6">
        <v>0.56999999999999995</v>
      </c>
      <c r="I690" s="8">
        <v>-0.52844036697247687</v>
      </c>
      <c r="J690" s="5">
        <f t="shared" si="120"/>
        <v>-2.6703176088529658E-2</v>
      </c>
      <c r="K690" s="5" cm="1">
        <f t="array" ref="K690">_xlfn.STDEV.S(IF($C:$C=C690,$I:$I))</f>
        <v>0.34089784338901952</v>
      </c>
      <c r="L690" s="7">
        <f t="shared" si="123"/>
        <v>-1.4718109856488122</v>
      </c>
      <c r="M690">
        <f t="shared" si="121"/>
        <v>1</v>
      </c>
      <c r="N690" s="9">
        <f t="shared" si="124"/>
        <v>0.46140350877192987</v>
      </c>
      <c r="O690">
        <f>COUNTIFS($B$2:B690,B690,$C$2:C690,C690,$D$2:D690,"&lt;"&amp;D690,$F$2:F690,1)</f>
        <v>1</v>
      </c>
      <c r="P690">
        <f t="shared" si="122"/>
        <v>0</v>
      </c>
      <c r="Q690" t="str">
        <f t="shared" si="125"/>
        <v>Intervene</v>
      </c>
      <c r="R690">
        <v>0</v>
      </c>
      <c r="S690">
        <f t="shared" si="126"/>
        <v>1</v>
      </c>
      <c r="T690">
        <f t="shared" si="127"/>
        <v>1</v>
      </c>
      <c r="U690" t="str">
        <f t="shared" si="128"/>
        <v>Not Improved Enough</v>
      </c>
      <c r="V690" t="str">
        <f t="shared" si="129"/>
        <v>Far</v>
      </c>
      <c r="W690" t="str">
        <f t="shared" si="130"/>
        <v>Abnormal</v>
      </c>
      <c r="X690" t="str">
        <f t="shared" si="131"/>
        <v>Allowed</v>
      </c>
    </row>
    <row r="691" spans="1:24" x14ac:dyDescent="0.3">
      <c r="A691" t="s">
        <v>20</v>
      </c>
      <c r="B691" t="s">
        <v>30</v>
      </c>
      <c r="C691" t="s">
        <v>22</v>
      </c>
      <c r="D691" s="3">
        <v>45777</v>
      </c>
      <c r="E691" s="6">
        <v>0.72699999999999998</v>
      </c>
      <c r="F691">
        <v>0</v>
      </c>
      <c r="G691" t="s">
        <v>13</v>
      </c>
      <c r="H691" s="6">
        <v>0.56999999999999995</v>
      </c>
      <c r="I691" s="8">
        <v>0.12725090036014411</v>
      </c>
      <c r="J691" s="5">
        <f t="shared" si="120"/>
        <v>-2.6703176088529658E-2</v>
      </c>
      <c r="K691" s="5" cm="1">
        <f t="array" ref="K691">_xlfn.STDEV.S(IF($C:$C=C691,$I:$I))</f>
        <v>0.34089784338901952</v>
      </c>
      <c r="L691" s="7">
        <f t="shared" si="123"/>
        <v>0.45161352421049872</v>
      </c>
      <c r="M691">
        <f t="shared" si="121"/>
        <v>0</v>
      </c>
      <c r="N691" s="9">
        <f t="shared" si="124"/>
        <v>0.27543859649122815</v>
      </c>
      <c r="O691">
        <f>COUNTIFS($B$2:B691,B691,$C$2:C691,C691,$D$2:D691,"&lt;"&amp;D691,$F$2:F691,1)</f>
        <v>1</v>
      </c>
      <c r="P691">
        <f t="shared" si="122"/>
        <v>0</v>
      </c>
      <c r="Q691" t="str">
        <f t="shared" si="125"/>
        <v>Monitor</v>
      </c>
      <c r="R691">
        <v>0</v>
      </c>
      <c r="S691">
        <f t="shared" si="126"/>
        <v>0</v>
      </c>
      <c r="T691">
        <f t="shared" si="127"/>
        <v>0</v>
      </c>
      <c r="U691" t="str">
        <f t="shared" si="128"/>
        <v>Improved Enough</v>
      </c>
      <c r="V691" t="str">
        <f t="shared" si="129"/>
        <v>Far</v>
      </c>
      <c r="W691" t="str">
        <f t="shared" si="130"/>
        <v>Normal</v>
      </c>
      <c r="X691" t="str">
        <f t="shared" si="131"/>
        <v>Allowed</v>
      </c>
    </row>
    <row r="692" spans="1:24" x14ac:dyDescent="0.3">
      <c r="A692" t="s">
        <v>20</v>
      </c>
      <c r="B692" t="s">
        <v>30</v>
      </c>
      <c r="C692" t="s">
        <v>22</v>
      </c>
      <c r="D692" s="3">
        <v>45808</v>
      </c>
      <c r="E692" s="6">
        <v>0.55600000000000005</v>
      </c>
      <c r="F692">
        <v>0</v>
      </c>
      <c r="G692" t="s">
        <v>13</v>
      </c>
      <c r="H692" s="6">
        <v>0.56999999999999995</v>
      </c>
      <c r="I692" s="8">
        <v>0.23521320495185691</v>
      </c>
      <c r="J692" s="5">
        <f t="shared" si="120"/>
        <v>-2.6703176088529658E-2</v>
      </c>
      <c r="K692" s="5" cm="1">
        <f t="array" ref="K692">_xlfn.STDEV.S(IF($C:$C=C692,$I:$I))</f>
        <v>0.34089784338901952</v>
      </c>
      <c r="L692" s="7">
        <f t="shared" si="123"/>
        <v>0.76831339980493119</v>
      </c>
      <c r="M692">
        <f t="shared" si="121"/>
        <v>-1</v>
      </c>
      <c r="N692" s="9">
        <f t="shared" si="124"/>
        <v>-2.456140350877176E-2</v>
      </c>
      <c r="O692">
        <f>COUNTIFS($B$2:B692,B692,$C$2:C692,C692,$D$2:D692,"&lt;"&amp;D692,$F$2:F692,1)</f>
        <v>1</v>
      </c>
      <c r="P692">
        <f t="shared" si="122"/>
        <v>0</v>
      </c>
      <c r="Q692" t="str">
        <f t="shared" si="125"/>
        <v>Monitor</v>
      </c>
      <c r="R692">
        <v>0</v>
      </c>
      <c r="S692">
        <f t="shared" si="126"/>
        <v>0</v>
      </c>
      <c r="T692">
        <f t="shared" si="127"/>
        <v>0</v>
      </c>
      <c r="U692" t="str">
        <f t="shared" si="128"/>
        <v>Improved Enough</v>
      </c>
      <c r="V692" t="str">
        <f t="shared" si="129"/>
        <v>Close</v>
      </c>
      <c r="W692" t="str">
        <f t="shared" si="130"/>
        <v>Normal</v>
      </c>
      <c r="X692" t="str">
        <f t="shared" si="131"/>
        <v>Allowed</v>
      </c>
    </row>
    <row r="693" spans="1:24" x14ac:dyDescent="0.3">
      <c r="A693" t="s">
        <v>20</v>
      </c>
      <c r="B693" t="s">
        <v>30</v>
      </c>
      <c r="C693" t="s">
        <v>22</v>
      </c>
      <c r="D693" s="3">
        <v>45838</v>
      </c>
      <c r="E693" s="6">
        <v>0.4</v>
      </c>
      <c r="F693">
        <v>0</v>
      </c>
      <c r="G693" t="s">
        <v>13</v>
      </c>
      <c r="H693" s="6">
        <v>0.56999999999999995</v>
      </c>
      <c r="I693" s="8">
        <v>0.28057553956834541</v>
      </c>
      <c r="J693" s="5">
        <f t="shared" si="120"/>
        <v>-2.6703176088529658E-2</v>
      </c>
      <c r="K693" s="5" cm="1">
        <f t="array" ref="K693">_xlfn.STDEV.S(IF($C:$C=C693,$I:$I))</f>
        <v>0.34089784338901952</v>
      </c>
      <c r="L693" s="7">
        <f t="shared" si="123"/>
        <v>0.90138063826417469</v>
      </c>
      <c r="M693">
        <f t="shared" si="121"/>
        <v>-1</v>
      </c>
      <c r="N693" s="9">
        <f t="shared" si="124"/>
        <v>-0.29824561403508765</v>
      </c>
      <c r="O693">
        <f>COUNTIFS($B$2:B693,B693,$C$2:C693,C693,$D$2:D693,"&lt;"&amp;D693,$F$2:F693,1)</f>
        <v>1</v>
      </c>
      <c r="P693">
        <f t="shared" si="122"/>
        <v>0</v>
      </c>
      <c r="Q693" t="str">
        <f t="shared" si="125"/>
        <v>Monitor</v>
      </c>
      <c r="R693">
        <v>0</v>
      </c>
      <c r="S693">
        <f t="shared" si="126"/>
        <v>0</v>
      </c>
      <c r="T693">
        <f t="shared" si="127"/>
        <v>0</v>
      </c>
      <c r="U693" t="str">
        <f t="shared" si="128"/>
        <v>Improved Enough</v>
      </c>
      <c r="V693" t="str">
        <f t="shared" si="129"/>
        <v>Close</v>
      </c>
      <c r="W693" t="str">
        <f t="shared" si="130"/>
        <v>Normal</v>
      </c>
      <c r="X693" t="str">
        <f t="shared" si="131"/>
        <v>Allowed</v>
      </c>
    </row>
    <row r="694" spans="1:24" x14ac:dyDescent="0.3">
      <c r="A694" t="s">
        <v>20</v>
      </c>
      <c r="B694" t="s">
        <v>30</v>
      </c>
      <c r="C694" t="s">
        <v>22</v>
      </c>
      <c r="D694" s="3">
        <v>45869</v>
      </c>
      <c r="E694" s="6">
        <v>0.81</v>
      </c>
      <c r="F694">
        <v>0</v>
      </c>
      <c r="G694" t="s">
        <v>13</v>
      </c>
      <c r="H694" s="6">
        <v>0.56999999999999995</v>
      </c>
      <c r="I694" s="8">
        <v>-1.0249999999999999</v>
      </c>
      <c r="J694" s="5">
        <f t="shared" si="120"/>
        <v>-2.6703176088529658E-2</v>
      </c>
      <c r="K694" s="5" cm="1">
        <f t="array" ref="K694">_xlfn.STDEV.S(IF($C:$C=C694,$I:$I))</f>
        <v>0.34089784338901952</v>
      </c>
      <c r="L694" s="7">
        <f t="shared" si="123"/>
        <v>-2.9284339671584614</v>
      </c>
      <c r="M694">
        <f t="shared" si="121"/>
        <v>1</v>
      </c>
      <c r="N694" s="9">
        <f t="shared" si="124"/>
        <v>0.42105263157894757</v>
      </c>
      <c r="O694">
        <f>COUNTIFS($B$2:B694,B694,$C$2:C694,C694,$D$2:D694,"&lt;"&amp;D694,$F$2:F694,1)</f>
        <v>1</v>
      </c>
      <c r="P694">
        <f t="shared" si="122"/>
        <v>0</v>
      </c>
      <c r="Q694" t="str">
        <f t="shared" si="125"/>
        <v>Intervene</v>
      </c>
      <c r="R694">
        <v>0</v>
      </c>
      <c r="S694">
        <f t="shared" si="126"/>
        <v>1</v>
      </c>
      <c r="T694">
        <f t="shared" si="127"/>
        <v>1</v>
      </c>
      <c r="U694" t="str">
        <f t="shared" si="128"/>
        <v>Not Improved Enough</v>
      </c>
      <c r="V694" t="str">
        <f t="shared" si="129"/>
        <v>Far</v>
      </c>
      <c r="W694" t="str">
        <f t="shared" si="130"/>
        <v>Abnormal</v>
      </c>
      <c r="X694" t="str">
        <f t="shared" si="131"/>
        <v>Allowed</v>
      </c>
    </row>
    <row r="695" spans="1:24" x14ac:dyDescent="0.3">
      <c r="A695" t="s">
        <v>20</v>
      </c>
      <c r="B695" t="s">
        <v>30</v>
      </c>
      <c r="C695" t="s">
        <v>22</v>
      </c>
      <c r="D695" s="3">
        <v>45900</v>
      </c>
      <c r="E695" s="6">
        <v>0.78</v>
      </c>
      <c r="F695">
        <v>0</v>
      </c>
      <c r="G695" t="s">
        <v>13</v>
      </c>
      <c r="H695" s="6">
        <v>0.56999999999999995</v>
      </c>
      <c r="I695" s="8">
        <v>3.703703703703707E-2</v>
      </c>
      <c r="J695" s="5">
        <f t="shared" si="120"/>
        <v>-2.6703176088529658E-2</v>
      </c>
      <c r="K695" s="5" cm="1">
        <f t="array" ref="K695">_xlfn.STDEV.S(IF($C:$C=C695,$I:$I))</f>
        <v>0.34089784338901952</v>
      </c>
      <c r="L695" s="7">
        <f t="shared" si="123"/>
        <v>0.18697746073104032</v>
      </c>
      <c r="M695">
        <f t="shared" si="121"/>
        <v>0</v>
      </c>
      <c r="N695" s="9">
        <f t="shared" si="124"/>
        <v>0.36842105263157909</v>
      </c>
      <c r="O695">
        <f>COUNTIFS($B$2:B695,B695,$C$2:C695,C695,$D$2:D695,"&lt;"&amp;D695,$F$2:F695,1)</f>
        <v>1</v>
      </c>
      <c r="P695">
        <f t="shared" si="122"/>
        <v>0</v>
      </c>
      <c r="Q695" t="str">
        <f t="shared" si="125"/>
        <v>Monitor</v>
      </c>
      <c r="R695">
        <v>0</v>
      </c>
      <c r="S695">
        <f t="shared" si="126"/>
        <v>0</v>
      </c>
      <c r="T695">
        <f t="shared" si="127"/>
        <v>0</v>
      </c>
      <c r="U695" t="str">
        <f t="shared" si="128"/>
        <v>Improved Enough</v>
      </c>
      <c r="V695" t="str">
        <f t="shared" si="129"/>
        <v>Far</v>
      </c>
      <c r="W695" t="str">
        <f t="shared" si="130"/>
        <v>Normal</v>
      </c>
      <c r="X695" t="str">
        <f t="shared" si="131"/>
        <v>Allowed</v>
      </c>
    </row>
    <row r="696" spans="1:24" x14ac:dyDescent="0.3">
      <c r="A696" t="s">
        <v>20</v>
      </c>
      <c r="B696" t="s">
        <v>30</v>
      </c>
      <c r="C696" t="s">
        <v>22</v>
      </c>
      <c r="D696" s="3">
        <v>45930</v>
      </c>
      <c r="E696" s="6">
        <v>0.83</v>
      </c>
      <c r="F696">
        <v>0</v>
      </c>
      <c r="G696" t="s">
        <v>13</v>
      </c>
      <c r="H696" s="6">
        <v>0.56999999999999995</v>
      </c>
      <c r="I696" s="8">
        <v>-6.4102564102564014E-2</v>
      </c>
      <c r="J696" s="5">
        <f t="shared" si="120"/>
        <v>-2.6703176088529658E-2</v>
      </c>
      <c r="K696" s="5" cm="1">
        <f t="array" ref="K696">_xlfn.STDEV.S(IF($C:$C=C696,$I:$I))</f>
        <v>0.34089784338901952</v>
      </c>
      <c r="L696" s="7">
        <f t="shared" si="123"/>
        <v>-0.10970849108997036</v>
      </c>
      <c r="M696">
        <f t="shared" si="121"/>
        <v>0</v>
      </c>
      <c r="N696" s="9">
        <f t="shared" si="124"/>
        <v>0.45614035087719301</v>
      </c>
      <c r="O696">
        <f>COUNTIFS($B$2:B696,B696,$C$2:C696,C696,$D$2:D696,"&lt;"&amp;D696,$F$2:F696,1)</f>
        <v>1</v>
      </c>
      <c r="P696">
        <f t="shared" si="122"/>
        <v>0</v>
      </c>
      <c r="Q696" t="str">
        <f t="shared" si="125"/>
        <v>Monitor</v>
      </c>
      <c r="R696">
        <v>0</v>
      </c>
      <c r="S696">
        <f t="shared" si="126"/>
        <v>0</v>
      </c>
      <c r="T696">
        <f t="shared" si="127"/>
        <v>0</v>
      </c>
      <c r="U696" t="str">
        <f t="shared" si="128"/>
        <v>Not Improved Enough</v>
      </c>
      <c r="V696" t="str">
        <f t="shared" si="129"/>
        <v>Far</v>
      </c>
      <c r="W696" t="str">
        <f t="shared" si="130"/>
        <v>Normal</v>
      </c>
      <c r="X696" t="str">
        <f t="shared" si="131"/>
        <v>Allowed</v>
      </c>
    </row>
    <row r="697" spans="1:24" x14ac:dyDescent="0.3">
      <c r="A697" t="s">
        <v>20</v>
      </c>
      <c r="B697" t="s">
        <v>30</v>
      </c>
      <c r="C697" t="s">
        <v>22</v>
      </c>
      <c r="D697" s="3">
        <v>45961</v>
      </c>
      <c r="E697" s="6">
        <v>0.73</v>
      </c>
      <c r="F697">
        <v>0</v>
      </c>
      <c r="G697" t="s">
        <v>13</v>
      </c>
      <c r="H697" s="6">
        <v>0.56999999999999995</v>
      </c>
      <c r="I697" s="8">
        <v>0.1204819277108434</v>
      </c>
      <c r="J697" s="5">
        <f t="shared" si="120"/>
        <v>-2.6703176088529658E-2</v>
      </c>
      <c r="K697" s="5" cm="1">
        <f t="array" ref="K697">_xlfn.STDEV.S(IF($C:$C=C697,$I:$I))</f>
        <v>0.34089784338901952</v>
      </c>
      <c r="L697" s="7">
        <f t="shared" si="123"/>
        <v>0.43175721599215594</v>
      </c>
      <c r="M697">
        <f t="shared" si="121"/>
        <v>0</v>
      </c>
      <c r="N697" s="9">
        <f t="shared" si="124"/>
        <v>0.28070175438596501</v>
      </c>
      <c r="O697">
        <f>COUNTIFS($B$2:B697,B697,$C$2:C697,C697,$D$2:D697,"&lt;"&amp;D697,$F$2:F697,1)</f>
        <v>1</v>
      </c>
      <c r="P697">
        <f t="shared" si="122"/>
        <v>0</v>
      </c>
      <c r="Q697" t="str">
        <f t="shared" si="125"/>
        <v>Monitor</v>
      </c>
      <c r="R697">
        <v>0</v>
      </c>
      <c r="S697">
        <f t="shared" si="126"/>
        <v>0</v>
      </c>
      <c r="T697">
        <f t="shared" si="127"/>
        <v>0</v>
      </c>
      <c r="U697" t="str">
        <f t="shared" si="128"/>
        <v>Improved Enough</v>
      </c>
      <c r="V697" t="str">
        <f t="shared" si="129"/>
        <v>Far</v>
      </c>
      <c r="W697" t="str">
        <f t="shared" si="130"/>
        <v>Normal</v>
      </c>
      <c r="X697" t="str">
        <f t="shared" si="131"/>
        <v>Allowed</v>
      </c>
    </row>
    <row r="698" spans="1:24" x14ac:dyDescent="0.3">
      <c r="A698" t="s">
        <v>23</v>
      </c>
      <c r="B698" t="s">
        <v>30</v>
      </c>
      <c r="C698" t="s">
        <v>24</v>
      </c>
      <c r="D698" s="3">
        <v>45535</v>
      </c>
      <c r="E698" s="6">
        <v>0.87429999999999997</v>
      </c>
      <c r="F698">
        <v>0</v>
      </c>
      <c r="G698" t="s">
        <v>17</v>
      </c>
      <c r="H698" s="6">
        <v>0.85</v>
      </c>
      <c r="I698" s="8">
        <v>7.2497546614327682E-2</v>
      </c>
      <c r="J698" s="5">
        <f t="shared" si="120"/>
        <v>4.5902054585511267E-3</v>
      </c>
      <c r="K698" s="5" cm="1">
        <f t="array" ref="K698">_xlfn.STDEV.S(IF($C:$C=C698,$I:$I))</f>
        <v>7.1528610508022367E-2</v>
      </c>
      <c r="L698" s="7">
        <f t="shared" si="123"/>
        <v>0.94937313437900961</v>
      </c>
      <c r="M698">
        <f t="shared" si="121"/>
        <v>-1</v>
      </c>
      <c r="N698" s="9">
        <f t="shared" si="124"/>
        <v>-2.8588235294117633E-2</v>
      </c>
      <c r="O698">
        <f>COUNTIFS($B$2:B698,B698,$C$2:C698,C698,$D$2:D698,"&lt;"&amp;D698,$F$2:F698,1)</f>
        <v>0</v>
      </c>
      <c r="P698">
        <f t="shared" si="122"/>
        <v>0</v>
      </c>
      <c r="Q698" t="str">
        <f t="shared" si="125"/>
        <v>Monitor</v>
      </c>
      <c r="R698">
        <v>0</v>
      </c>
      <c r="S698">
        <f t="shared" si="126"/>
        <v>0</v>
      </c>
      <c r="T698">
        <f t="shared" si="127"/>
        <v>0</v>
      </c>
      <c r="U698" t="str">
        <f t="shared" si="128"/>
        <v>Improved Enough</v>
      </c>
      <c r="V698" t="str">
        <f t="shared" si="129"/>
        <v>Close</v>
      </c>
      <c r="W698" t="str">
        <f t="shared" si="130"/>
        <v>Normal</v>
      </c>
      <c r="X698" t="str">
        <f t="shared" si="131"/>
        <v>Allowed</v>
      </c>
    </row>
    <row r="699" spans="1:24" x14ac:dyDescent="0.3">
      <c r="A699" t="s">
        <v>23</v>
      </c>
      <c r="B699" t="s">
        <v>30</v>
      </c>
      <c r="C699" t="s">
        <v>24</v>
      </c>
      <c r="D699" s="3">
        <v>45565</v>
      </c>
      <c r="E699" s="6">
        <v>0.87760000000000005</v>
      </c>
      <c r="F699">
        <v>0</v>
      </c>
      <c r="G699" t="s">
        <v>17</v>
      </c>
      <c r="H699" s="6">
        <v>0.85</v>
      </c>
      <c r="I699" s="8">
        <v>3.7744481299326099E-3</v>
      </c>
      <c r="J699" s="5">
        <f t="shared" si="120"/>
        <v>4.5902054585511267E-3</v>
      </c>
      <c r="K699" s="5" cm="1">
        <f t="array" ref="K699">_xlfn.STDEV.S(IF($C:$C=C699,$I:$I))</f>
        <v>7.1528610508022367E-2</v>
      </c>
      <c r="L699" s="7">
        <f t="shared" si="123"/>
        <v>-1.14046298792149E-2</v>
      </c>
      <c r="M699">
        <f t="shared" si="121"/>
        <v>0</v>
      </c>
      <c r="N699" s="9">
        <f t="shared" si="124"/>
        <v>-3.2470588235294202E-2</v>
      </c>
      <c r="O699">
        <f>COUNTIFS($B$2:B699,B699,$C$2:C699,C699,$D$2:D699,"&lt;"&amp;D699,$F$2:F699,1)</f>
        <v>0</v>
      </c>
      <c r="P699">
        <f t="shared" si="122"/>
        <v>0</v>
      </c>
      <c r="Q699" t="str">
        <f t="shared" si="125"/>
        <v>Monitor</v>
      </c>
      <c r="R699">
        <v>0</v>
      </c>
      <c r="S699">
        <f t="shared" si="126"/>
        <v>0</v>
      </c>
      <c r="T699">
        <f t="shared" si="127"/>
        <v>0</v>
      </c>
      <c r="U699" t="str">
        <f t="shared" si="128"/>
        <v>Not Improved Enough</v>
      </c>
      <c r="V699" t="str">
        <f t="shared" si="129"/>
        <v>Close</v>
      </c>
      <c r="W699" t="str">
        <f t="shared" si="130"/>
        <v>Normal</v>
      </c>
      <c r="X699" t="str">
        <f t="shared" si="131"/>
        <v>Allowed</v>
      </c>
    </row>
    <row r="700" spans="1:24" x14ac:dyDescent="0.3">
      <c r="A700" t="s">
        <v>23</v>
      </c>
      <c r="B700" t="s">
        <v>30</v>
      </c>
      <c r="C700" t="s">
        <v>24</v>
      </c>
      <c r="D700" s="3">
        <v>45596</v>
      </c>
      <c r="E700" s="6">
        <v>0.83330000000000004</v>
      </c>
      <c r="F700">
        <v>0</v>
      </c>
      <c r="G700" t="s">
        <v>17</v>
      </c>
      <c r="H700" s="6">
        <v>0.85</v>
      </c>
      <c r="I700" s="8">
        <v>-5.0478577939835921E-2</v>
      </c>
      <c r="J700" s="5">
        <f t="shared" si="120"/>
        <v>4.5902054585511267E-3</v>
      </c>
      <c r="K700" s="5" cm="1">
        <f t="array" ref="K700">_xlfn.STDEV.S(IF($C:$C=C700,$I:$I))</f>
        <v>7.1528610508022367E-2</v>
      </c>
      <c r="L700" s="7">
        <f t="shared" si="123"/>
        <v>-0.769884707773133</v>
      </c>
      <c r="M700">
        <f t="shared" si="121"/>
        <v>1</v>
      </c>
      <c r="N700" s="9">
        <f t="shared" si="124"/>
        <v>1.9647058823529337E-2</v>
      </c>
      <c r="O700">
        <f>COUNTIFS($B$2:B700,B700,$C$2:C700,C700,$D$2:D700,"&lt;"&amp;D700,$F$2:F700,1)</f>
        <v>0</v>
      </c>
      <c r="P700">
        <f t="shared" si="122"/>
        <v>0</v>
      </c>
      <c r="Q700" t="str">
        <f t="shared" si="125"/>
        <v>Monitor</v>
      </c>
      <c r="R700">
        <v>0</v>
      </c>
      <c r="S700">
        <f t="shared" si="126"/>
        <v>0</v>
      </c>
      <c r="T700">
        <f t="shared" si="127"/>
        <v>0</v>
      </c>
      <c r="U700" t="str">
        <f t="shared" si="128"/>
        <v>Not Improved Enough</v>
      </c>
      <c r="V700" t="str">
        <f t="shared" si="129"/>
        <v>Close</v>
      </c>
      <c r="W700" t="str">
        <f t="shared" si="130"/>
        <v>Abnormal</v>
      </c>
      <c r="X700" t="str">
        <f t="shared" si="131"/>
        <v>Allowed</v>
      </c>
    </row>
    <row r="701" spans="1:24" x14ac:dyDescent="0.3">
      <c r="A701" t="s">
        <v>23</v>
      </c>
      <c r="B701" t="s">
        <v>30</v>
      </c>
      <c r="C701" t="s">
        <v>24</v>
      </c>
      <c r="D701" s="3">
        <v>45626</v>
      </c>
      <c r="E701" s="6">
        <v>0.81620000000000004</v>
      </c>
      <c r="F701">
        <v>0</v>
      </c>
      <c r="G701" t="s">
        <v>17</v>
      </c>
      <c r="H701" s="6">
        <v>0.85</v>
      </c>
      <c r="I701" s="8">
        <v>-2.0520820832833318E-2</v>
      </c>
      <c r="J701" s="5">
        <f t="shared" si="120"/>
        <v>4.5902054585511267E-3</v>
      </c>
      <c r="K701" s="5" cm="1">
        <f t="array" ref="K701">_xlfn.STDEV.S(IF($C:$C=C701,$I:$I))</f>
        <v>7.1528610508022367E-2</v>
      </c>
      <c r="L701" s="7">
        <f t="shared" si="123"/>
        <v>-0.35106268824511966</v>
      </c>
      <c r="M701">
        <f t="shared" si="121"/>
        <v>0</v>
      </c>
      <c r="N701" s="9">
        <f t="shared" si="124"/>
        <v>3.9764705882352876E-2</v>
      </c>
      <c r="O701">
        <f>COUNTIFS($B$2:B701,B701,$C$2:C701,C701,$D$2:D701,"&lt;"&amp;D701,$F$2:F701,1)</f>
        <v>0</v>
      </c>
      <c r="P701">
        <f t="shared" si="122"/>
        <v>0</v>
      </c>
      <c r="Q701" t="str">
        <f t="shared" si="125"/>
        <v>Monitor</v>
      </c>
      <c r="R701">
        <v>0</v>
      </c>
      <c r="S701">
        <f t="shared" si="126"/>
        <v>0</v>
      </c>
      <c r="T701">
        <f t="shared" si="127"/>
        <v>0</v>
      </c>
      <c r="U701" t="str">
        <f t="shared" si="128"/>
        <v>Not Improved Enough</v>
      </c>
      <c r="V701" t="str">
        <f t="shared" si="129"/>
        <v>Far</v>
      </c>
      <c r="W701" t="str">
        <f t="shared" si="130"/>
        <v>Normal</v>
      </c>
      <c r="X701" t="str">
        <f t="shared" si="131"/>
        <v>Allowed</v>
      </c>
    </row>
    <row r="702" spans="1:24" x14ac:dyDescent="0.3">
      <c r="A702" t="s">
        <v>23</v>
      </c>
      <c r="B702" t="s">
        <v>30</v>
      </c>
      <c r="C702" t="s">
        <v>24</v>
      </c>
      <c r="D702" s="3">
        <v>45657</v>
      </c>
      <c r="E702" s="6">
        <v>0.79779999999999995</v>
      </c>
      <c r="F702">
        <v>0</v>
      </c>
      <c r="G702" t="s">
        <v>17</v>
      </c>
      <c r="H702" s="6">
        <v>0.85</v>
      </c>
      <c r="I702" s="8">
        <v>-2.2543494241607551E-2</v>
      </c>
      <c r="J702" s="5">
        <f t="shared" si="120"/>
        <v>4.5902054585511267E-3</v>
      </c>
      <c r="K702" s="5" cm="1">
        <f t="array" ref="K702">_xlfn.STDEV.S(IF($C:$C=C702,$I:$I))</f>
        <v>7.1528610508022367E-2</v>
      </c>
      <c r="L702" s="7">
        <f t="shared" si="123"/>
        <v>-0.3793405115441949</v>
      </c>
      <c r="M702">
        <f t="shared" si="121"/>
        <v>0</v>
      </c>
      <c r="N702" s="9">
        <f t="shared" si="124"/>
        <v>6.1411764705882381E-2</v>
      </c>
      <c r="O702">
        <f>COUNTIFS($B$2:B702,B702,$C$2:C702,C702,$D$2:D702,"&lt;"&amp;D702,$F$2:F702,1)</f>
        <v>0</v>
      </c>
      <c r="P702">
        <f t="shared" si="122"/>
        <v>0</v>
      </c>
      <c r="Q702" t="str">
        <f t="shared" si="125"/>
        <v>Monitor</v>
      </c>
      <c r="R702">
        <v>0</v>
      </c>
      <c r="S702">
        <f t="shared" si="126"/>
        <v>0</v>
      </c>
      <c r="T702">
        <f t="shared" si="127"/>
        <v>0</v>
      </c>
      <c r="U702" t="str">
        <f t="shared" si="128"/>
        <v>Not Improved Enough</v>
      </c>
      <c r="V702" t="str">
        <f t="shared" si="129"/>
        <v>Far</v>
      </c>
      <c r="W702" t="str">
        <f t="shared" si="130"/>
        <v>Normal</v>
      </c>
      <c r="X702" t="str">
        <f t="shared" si="131"/>
        <v>Allowed</v>
      </c>
    </row>
    <row r="703" spans="1:24" x14ac:dyDescent="0.3">
      <c r="A703" t="s">
        <v>23</v>
      </c>
      <c r="B703" t="s">
        <v>30</v>
      </c>
      <c r="C703" t="s">
        <v>24</v>
      </c>
      <c r="D703" s="3">
        <v>45688</v>
      </c>
      <c r="E703" s="6">
        <v>0.83589999999999998</v>
      </c>
      <c r="F703">
        <v>1</v>
      </c>
      <c r="G703" t="s">
        <v>17</v>
      </c>
      <c r="H703" s="6">
        <v>0.85</v>
      </c>
      <c r="I703" s="8">
        <v>4.7756329907244953E-2</v>
      </c>
      <c r="J703" s="5">
        <f t="shared" si="120"/>
        <v>4.5902054585511267E-3</v>
      </c>
      <c r="K703" s="5" cm="1">
        <f t="array" ref="K703">_xlfn.STDEV.S(IF($C:$C=C703,$I:$I))</f>
        <v>7.1528610508022367E-2</v>
      </c>
      <c r="L703" s="7">
        <f t="shared" si="123"/>
        <v>0.6034805393549828</v>
      </c>
      <c r="M703">
        <f t="shared" si="121"/>
        <v>-1</v>
      </c>
      <c r="N703" s="9">
        <f t="shared" si="124"/>
        <v>1.658823529411765E-2</v>
      </c>
      <c r="O703">
        <f>COUNTIFS($B$2:B703,B703,$C$2:C703,C703,$D$2:D703,"&lt;"&amp;D703,$F$2:F703,1)</f>
        <v>0</v>
      </c>
      <c r="P703">
        <f t="shared" si="122"/>
        <v>0</v>
      </c>
      <c r="Q703" t="str">
        <f t="shared" si="125"/>
        <v>Monitor</v>
      </c>
      <c r="R703">
        <v>0</v>
      </c>
      <c r="S703">
        <f t="shared" si="126"/>
        <v>0</v>
      </c>
      <c r="T703">
        <f t="shared" si="127"/>
        <v>0</v>
      </c>
      <c r="U703" t="str">
        <f t="shared" si="128"/>
        <v>Improved Enough</v>
      </c>
      <c r="V703" t="str">
        <f t="shared" si="129"/>
        <v>Close</v>
      </c>
      <c r="W703" t="str">
        <f t="shared" si="130"/>
        <v>Normal</v>
      </c>
      <c r="X703" t="str">
        <f t="shared" si="131"/>
        <v>Allowed</v>
      </c>
    </row>
    <row r="704" spans="1:24" x14ac:dyDescent="0.3">
      <c r="A704" t="s">
        <v>23</v>
      </c>
      <c r="B704" t="s">
        <v>30</v>
      </c>
      <c r="C704" t="s">
        <v>24</v>
      </c>
      <c r="D704" s="3">
        <v>45716</v>
      </c>
      <c r="E704" s="6">
        <v>0.83409999999999995</v>
      </c>
      <c r="F704">
        <v>0</v>
      </c>
      <c r="G704" t="s">
        <v>17</v>
      </c>
      <c r="H704" s="6">
        <v>0.85</v>
      </c>
      <c r="I704" s="8">
        <v>-2.153367627706692E-3</v>
      </c>
      <c r="J704" s="5">
        <f t="shared" si="120"/>
        <v>4.5902054585511267E-3</v>
      </c>
      <c r="K704" s="5" cm="1">
        <f t="array" ref="K704">_xlfn.STDEV.S(IF($C:$C=C704,$I:$I))</f>
        <v>7.1528610508022367E-2</v>
      </c>
      <c r="L704" s="7">
        <f t="shared" si="123"/>
        <v>-9.4277982451532266E-2</v>
      </c>
      <c r="M704">
        <f t="shared" si="121"/>
        <v>0</v>
      </c>
      <c r="N704" s="9">
        <f t="shared" si="124"/>
        <v>1.8705882352941208E-2</v>
      </c>
      <c r="O704">
        <f>COUNTIFS($B$2:B704,B704,$C$2:C704,C704,$D$2:D704,"&lt;"&amp;D704,$F$2:F704,1)</f>
        <v>1</v>
      </c>
      <c r="P704">
        <f t="shared" si="122"/>
        <v>-1</v>
      </c>
      <c r="Q704" t="str">
        <f t="shared" si="125"/>
        <v>Monitor</v>
      </c>
      <c r="R704">
        <v>1</v>
      </c>
      <c r="S704">
        <f t="shared" si="126"/>
        <v>0</v>
      </c>
      <c r="T704">
        <f t="shared" si="127"/>
        <v>0</v>
      </c>
      <c r="U704" t="str">
        <f t="shared" si="128"/>
        <v>Not Improved Enough</v>
      </c>
      <c r="V704" t="str">
        <f t="shared" si="129"/>
        <v>Close</v>
      </c>
      <c r="W704" t="str">
        <f t="shared" si="130"/>
        <v>Normal</v>
      </c>
      <c r="X704" t="str">
        <f t="shared" si="131"/>
        <v>Allowed</v>
      </c>
    </row>
    <row r="705" spans="1:24" x14ac:dyDescent="0.3">
      <c r="A705" t="s">
        <v>23</v>
      </c>
      <c r="B705" t="s">
        <v>30</v>
      </c>
      <c r="C705" t="s">
        <v>24</v>
      </c>
      <c r="D705" s="3">
        <v>45747</v>
      </c>
      <c r="E705" s="6">
        <v>0.81869999999999998</v>
      </c>
      <c r="F705">
        <v>0</v>
      </c>
      <c r="G705" t="s">
        <v>17</v>
      </c>
      <c r="H705" s="6">
        <v>0.85</v>
      </c>
      <c r="I705" s="8">
        <v>-1.8463014027095041E-2</v>
      </c>
      <c r="J705" s="5">
        <f t="shared" si="120"/>
        <v>4.5902054585511267E-3</v>
      </c>
      <c r="K705" s="5" cm="1">
        <f t="array" ref="K705">_xlfn.STDEV.S(IF($C:$C=C705,$I:$I))</f>
        <v>7.1528610508022367E-2</v>
      </c>
      <c r="L705" s="7">
        <f t="shared" si="123"/>
        <v>-0.32229368530877039</v>
      </c>
      <c r="M705">
        <f t="shared" si="121"/>
        <v>0</v>
      </c>
      <c r="N705" s="9">
        <f t="shared" si="124"/>
        <v>3.6823529411764699E-2</v>
      </c>
      <c r="O705">
        <f>COUNTIFS($B$2:B705,B705,$C$2:C705,C705,$D$2:D705,"&lt;"&amp;D705,$F$2:F705,1)</f>
        <v>1</v>
      </c>
      <c r="P705">
        <f t="shared" si="122"/>
        <v>0</v>
      </c>
      <c r="Q705" t="str">
        <f t="shared" si="125"/>
        <v>Monitor</v>
      </c>
      <c r="R705">
        <v>0</v>
      </c>
      <c r="S705">
        <f t="shared" si="126"/>
        <v>0</v>
      </c>
      <c r="T705">
        <f t="shared" si="127"/>
        <v>0</v>
      </c>
      <c r="U705" t="str">
        <f t="shared" si="128"/>
        <v>Not Improved Enough</v>
      </c>
      <c r="V705" t="str">
        <f t="shared" si="129"/>
        <v>Far</v>
      </c>
      <c r="W705" t="str">
        <f t="shared" si="130"/>
        <v>Normal</v>
      </c>
      <c r="X705" t="str">
        <f t="shared" si="131"/>
        <v>Allowed</v>
      </c>
    </row>
    <row r="706" spans="1:24" x14ac:dyDescent="0.3">
      <c r="A706" t="s">
        <v>23</v>
      </c>
      <c r="B706" t="s">
        <v>30</v>
      </c>
      <c r="C706" t="s">
        <v>24</v>
      </c>
      <c r="D706" s="3">
        <v>45777</v>
      </c>
      <c r="E706" s="6">
        <v>0.82950000000000002</v>
      </c>
      <c r="F706">
        <v>0</v>
      </c>
      <c r="G706" t="s">
        <v>17</v>
      </c>
      <c r="H706" s="6">
        <v>0.85</v>
      </c>
      <c r="I706" s="8">
        <v>1.319164529131554E-2</v>
      </c>
      <c r="J706" s="5">
        <f t="shared" ref="J706:J769" si="132">AVERAGEIF($C:$C,C706,$I:$I)</f>
        <v>4.5902054585511267E-3</v>
      </c>
      <c r="K706" s="5" cm="1">
        <f t="array" ref="K706">_xlfn.STDEV.S(IF($C:$C=C706,$I:$I))</f>
        <v>7.1528610508022367E-2</v>
      </c>
      <c r="L706" s="7">
        <f t="shared" si="123"/>
        <v>0.12025173943228924</v>
      </c>
      <c r="M706">
        <f t="shared" ref="M706:M769" si="133">IF(L706&lt;=-$Z$4,1,IF(L706&gt;=$Z$4,-1,0))</f>
        <v>0</v>
      </c>
      <c r="N706" s="9">
        <f t="shared" si="124"/>
        <v>2.4117647058823487E-2</v>
      </c>
      <c r="O706">
        <f>COUNTIFS($B$2:B706,B706,$C$2:C706,C706,$D$2:D706,"&lt;"&amp;D706,$F$2:F706,1)</f>
        <v>1</v>
      </c>
      <c r="P706">
        <f t="shared" ref="P706:P769" si="134">IF(AND(R706=1,I706&gt;0),1,IF(R706=1,-1,0))</f>
        <v>0</v>
      </c>
      <c r="Q706" t="str">
        <f t="shared" si="125"/>
        <v>Monitor</v>
      </c>
      <c r="R706">
        <v>0</v>
      </c>
      <c r="S706">
        <f t="shared" si="126"/>
        <v>0</v>
      </c>
      <c r="T706">
        <f t="shared" si="127"/>
        <v>0</v>
      </c>
      <c r="U706" t="str">
        <f t="shared" si="128"/>
        <v>Improved Enough</v>
      </c>
      <c r="V706" t="str">
        <f t="shared" si="129"/>
        <v>Far</v>
      </c>
      <c r="W706" t="str">
        <f t="shared" si="130"/>
        <v>Normal</v>
      </c>
      <c r="X706" t="str">
        <f t="shared" si="131"/>
        <v>Allowed</v>
      </c>
    </row>
    <row r="707" spans="1:24" x14ac:dyDescent="0.3">
      <c r="A707" t="s">
        <v>23</v>
      </c>
      <c r="B707" t="s">
        <v>30</v>
      </c>
      <c r="C707" t="s">
        <v>24</v>
      </c>
      <c r="D707" s="3">
        <v>45808</v>
      </c>
      <c r="E707" s="6">
        <v>0.86629999999999996</v>
      </c>
      <c r="F707">
        <v>0</v>
      </c>
      <c r="G707" t="s">
        <v>17</v>
      </c>
      <c r="H707" s="6">
        <v>0.85</v>
      </c>
      <c r="I707" s="8">
        <v>4.4364074743821508E-2</v>
      </c>
      <c r="J707" s="5">
        <f t="shared" si="132"/>
        <v>4.5902054585511267E-3</v>
      </c>
      <c r="K707" s="5" cm="1">
        <f t="array" ref="K707">_xlfn.STDEV.S(IF($C:$C=C707,$I:$I))</f>
        <v>7.1528610508022367E-2</v>
      </c>
      <c r="L707" s="7">
        <f t="shared" ref="L707:L770" si="135">IFERROR((I707-J707)/K707,0)</f>
        <v>0.55605538822551992</v>
      </c>
      <c r="M707">
        <f t="shared" si="133"/>
        <v>-1</v>
      </c>
      <c r="N707" s="9">
        <f t="shared" ref="N707:N770" si="136">IFERROR(IF(G707="DOWN",(E707-H707)/H707,(H707-E707)/H707),0)</f>
        <v>-1.9176470588235274E-2</v>
      </c>
      <c r="O707">
        <f>COUNTIFS($B$2:B707,B707,$C$2:C707,C707,$D$2:D707,"&lt;"&amp;D707,$F$2:F707,1)</f>
        <v>1</v>
      </c>
      <c r="P707">
        <f t="shared" si="134"/>
        <v>0</v>
      </c>
      <c r="Q707" t="str">
        <f t="shared" ref="Q707:Q770" si="137">IF(I707&gt;=$Z$1,"Monitor",IF(AND(N707&gt;=$Z$2,L707&lt;=-$Z$4),IF(O707&lt;$Z$3,"Intervene","Escalate / Bigger Fix"),"Monitor"))</f>
        <v>Monitor</v>
      </c>
      <c r="R707">
        <v>0</v>
      </c>
      <c r="S707">
        <f t="shared" ref="S707:S770" si="138">IF(Q707="Intervene",1,IF(Q707="Escalate / Bigger Fix",-1,0))</f>
        <v>0</v>
      </c>
      <c r="T707">
        <f t="shared" ref="T707:T770" si="139">IF(Q707="Intervene",1,0)</f>
        <v>0</v>
      </c>
      <c r="U707" t="str">
        <f t="shared" ref="U707:U770" si="140">IF(I707&gt;=$Z$1,"Improved Enough","Not Improved Enough")</f>
        <v>Improved Enough</v>
      </c>
      <c r="V707" t="str">
        <f t="shared" ref="V707:V770" si="141">IF(N707&gt;=$Z$2,"Far","Close")</f>
        <v>Close</v>
      </c>
      <c r="W707" t="str">
        <f t="shared" ref="W707:W770" si="142">IF(L707&lt;=-$Z$4,"Abnormal","Normal")</f>
        <v>Normal</v>
      </c>
      <c r="X707" t="str">
        <f t="shared" ref="X707:X770" si="143">IF(O707&lt;$Z$3,"Allowed","Maxed Out")</f>
        <v>Allowed</v>
      </c>
    </row>
    <row r="708" spans="1:24" x14ac:dyDescent="0.3">
      <c r="A708" t="s">
        <v>23</v>
      </c>
      <c r="B708" t="s">
        <v>30</v>
      </c>
      <c r="C708" t="s">
        <v>24</v>
      </c>
      <c r="D708" s="3">
        <v>45838</v>
      </c>
      <c r="E708" s="6">
        <v>0.85189999999999999</v>
      </c>
      <c r="F708">
        <v>0</v>
      </c>
      <c r="G708" t="s">
        <v>17</v>
      </c>
      <c r="H708" s="6">
        <v>0.85</v>
      </c>
      <c r="I708" s="8">
        <v>-1.6622417176497709E-2</v>
      </c>
      <c r="J708" s="5">
        <f t="shared" si="132"/>
        <v>4.5902054585511267E-3</v>
      </c>
      <c r="K708" s="5" cm="1">
        <f t="array" ref="K708">_xlfn.STDEV.S(IF($C:$C=C708,$I:$I))</f>
        <v>7.1528610508022367E-2</v>
      </c>
      <c r="L708" s="7">
        <f t="shared" si="135"/>
        <v>-0.29656136872209637</v>
      </c>
      <c r="M708">
        <f t="shared" si="133"/>
        <v>0</v>
      </c>
      <c r="N708" s="9">
        <f t="shared" si="136"/>
        <v>-2.235294117647074E-3</v>
      </c>
      <c r="O708">
        <f>COUNTIFS($B$2:B708,B708,$C$2:C708,C708,$D$2:D708,"&lt;"&amp;D708,$F$2:F708,1)</f>
        <v>1</v>
      </c>
      <c r="P708">
        <f t="shared" si="134"/>
        <v>0</v>
      </c>
      <c r="Q708" t="str">
        <f t="shared" si="137"/>
        <v>Monitor</v>
      </c>
      <c r="R708">
        <v>0</v>
      </c>
      <c r="S708">
        <f t="shared" si="138"/>
        <v>0</v>
      </c>
      <c r="T708">
        <f t="shared" si="139"/>
        <v>0</v>
      </c>
      <c r="U708" t="str">
        <f t="shared" si="140"/>
        <v>Not Improved Enough</v>
      </c>
      <c r="V708" t="str">
        <f t="shared" si="141"/>
        <v>Close</v>
      </c>
      <c r="W708" t="str">
        <f t="shared" si="142"/>
        <v>Normal</v>
      </c>
      <c r="X708" t="str">
        <f t="shared" si="143"/>
        <v>Allowed</v>
      </c>
    </row>
    <row r="709" spans="1:24" x14ac:dyDescent="0.3">
      <c r="A709" t="s">
        <v>23</v>
      </c>
      <c r="B709" t="s">
        <v>30</v>
      </c>
      <c r="C709" t="s">
        <v>24</v>
      </c>
      <c r="D709" s="3">
        <v>45869</v>
      </c>
      <c r="E709" s="6">
        <v>0.872</v>
      </c>
      <c r="F709">
        <v>0</v>
      </c>
      <c r="G709" t="s">
        <v>17</v>
      </c>
      <c r="H709" s="6">
        <v>0.85</v>
      </c>
      <c r="I709" s="8">
        <v>2.35943185819932E-2</v>
      </c>
      <c r="J709" s="5">
        <f t="shared" si="132"/>
        <v>4.5902054585511267E-3</v>
      </c>
      <c r="K709" s="5" cm="1">
        <f t="array" ref="K709">_xlfn.STDEV.S(IF($C:$C=C709,$I:$I))</f>
        <v>7.1528610508022367E-2</v>
      </c>
      <c r="L709" s="7">
        <f t="shared" si="135"/>
        <v>0.26568547869821468</v>
      </c>
      <c r="M709">
        <f t="shared" si="133"/>
        <v>0</v>
      </c>
      <c r="N709" s="9">
        <f t="shared" si="136"/>
        <v>-2.5882352941176495E-2</v>
      </c>
      <c r="O709">
        <f>COUNTIFS($B$2:B709,B709,$C$2:C709,C709,$D$2:D709,"&lt;"&amp;D709,$F$2:F709,1)</f>
        <v>1</v>
      </c>
      <c r="P709">
        <f t="shared" si="134"/>
        <v>0</v>
      </c>
      <c r="Q709" t="str">
        <f t="shared" si="137"/>
        <v>Monitor</v>
      </c>
      <c r="R709">
        <v>0</v>
      </c>
      <c r="S709">
        <f t="shared" si="138"/>
        <v>0</v>
      </c>
      <c r="T709">
        <f t="shared" si="139"/>
        <v>0</v>
      </c>
      <c r="U709" t="str">
        <f t="shared" si="140"/>
        <v>Improved Enough</v>
      </c>
      <c r="V709" t="str">
        <f t="shared" si="141"/>
        <v>Close</v>
      </c>
      <c r="W709" t="str">
        <f t="shared" si="142"/>
        <v>Normal</v>
      </c>
      <c r="X709" t="str">
        <f t="shared" si="143"/>
        <v>Allowed</v>
      </c>
    </row>
    <row r="710" spans="1:24" x14ac:dyDescent="0.3">
      <c r="A710" t="s">
        <v>23</v>
      </c>
      <c r="B710" t="s">
        <v>30</v>
      </c>
      <c r="C710" t="s">
        <v>24</v>
      </c>
      <c r="D710" s="3">
        <v>45900</v>
      </c>
      <c r="E710" s="6">
        <v>0.876</v>
      </c>
      <c r="F710">
        <v>0</v>
      </c>
      <c r="G710" t="s">
        <v>17</v>
      </c>
      <c r="H710" s="6">
        <v>0.85</v>
      </c>
      <c r="I710" s="8">
        <v>4.587155963302756E-3</v>
      </c>
      <c r="J710" s="5">
        <f t="shared" si="132"/>
        <v>4.5902054585511267E-3</v>
      </c>
      <c r="K710" s="5" cm="1">
        <f t="array" ref="K710">_xlfn.STDEV.S(IF($C:$C=C710,$I:$I))</f>
        <v>7.1528610508022367E-2</v>
      </c>
      <c r="L710" s="7">
        <f t="shared" si="135"/>
        <v>-4.263322363893396E-5</v>
      </c>
      <c r="M710">
        <f t="shared" si="133"/>
        <v>0</v>
      </c>
      <c r="N710" s="9">
        <f t="shared" si="136"/>
        <v>-3.0588235294117676E-2</v>
      </c>
      <c r="O710">
        <f>COUNTIFS($B$2:B710,B710,$C$2:C710,C710,$D$2:D710,"&lt;"&amp;D710,$F$2:F710,1)</f>
        <v>1</v>
      </c>
      <c r="P710">
        <f t="shared" si="134"/>
        <v>0</v>
      </c>
      <c r="Q710" t="str">
        <f t="shared" si="137"/>
        <v>Monitor</v>
      </c>
      <c r="R710">
        <v>0</v>
      </c>
      <c r="S710">
        <f t="shared" si="138"/>
        <v>0</v>
      </c>
      <c r="T710">
        <f t="shared" si="139"/>
        <v>0</v>
      </c>
      <c r="U710" t="str">
        <f t="shared" si="140"/>
        <v>Not Improved Enough</v>
      </c>
      <c r="V710" t="str">
        <f t="shared" si="141"/>
        <v>Close</v>
      </c>
      <c r="W710" t="str">
        <f t="shared" si="142"/>
        <v>Normal</v>
      </c>
      <c r="X710" t="str">
        <f t="shared" si="143"/>
        <v>Allowed</v>
      </c>
    </row>
    <row r="711" spans="1:24" x14ac:dyDescent="0.3">
      <c r="A711" t="s">
        <v>23</v>
      </c>
      <c r="B711" t="s">
        <v>30</v>
      </c>
      <c r="C711" t="s">
        <v>24</v>
      </c>
      <c r="D711" s="3">
        <v>45930</v>
      </c>
      <c r="E711" s="6">
        <v>0.89400000000000002</v>
      </c>
      <c r="F711">
        <v>0</v>
      </c>
      <c r="G711" t="s">
        <v>17</v>
      </c>
      <c r="H711" s="6">
        <v>0.85</v>
      </c>
      <c r="I711" s="8">
        <v>2.0547945205479472E-2</v>
      </c>
      <c r="J711" s="5">
        <f t="shared" si="132"/>
        <v>4.5902054585511267E-3</v>
      </c>
      <c r="K711" s="5" cm="1">
        <f t="array" ref="K711">_xlfn.STDEV.S(IF($C:$C=C711,$I:$I))</f>
        <v>7.1528610508022367E-2</v>
      </c>
      <c r="L711" s="7">
        <f t="shared" si="135"/>
        <v>0.22309590013828923</v>
      </c>
      <c r="M711">
        <f t="shared" si="133"/>
        <v>0</v>
      </c>
      <c r="N711" s="9">
        <f t="shared" si="136"/>
        <v>-5.176470588235299E-2</v>
      </c>
      <c r="O711">
        <f>COUNTIFS($B$2:B711,B711,$C$2:C711,C711,$D$2:D711,"&lt;"&amp;D711,$F$2:F711,1)</f>
        <v>1</v>
      </c>
      <c r="P711">
        <f t="shared" si="134"/>
        <v>0</v>
      </c>
      <c r="Q711" t="str">
        <f t="shared" si="137"/>
        <v>Monitor</v>
      </c>
      <c r="R711">
        <v>0</v>
      </c>
      <c r="S711">
        <f t="shared" si="138"/>
        <v>0</v>
      </c>
      <c r="T711">
        <f t="shared" si="139"/>
        <v>0</v>
      </c>
      <c r="U711" t="str">
        <f t="shared" si="140"/>
        <v>Improved Enough</v>
      </c>
      <c r="V711" t="str">
        <f t="shared" si="141"/>
        <v>Close</v>
      </c>
      <c r="W711" t="str">
        <f t="shared" si="142"/>
        <v>Normal</v>
      </c>
      <c r="X711" t="str">
        <f t="shared" si="143"/>
        <v>Allowed</v>
      </c>
    </row>
    <row r="712" spans="1:24" x14ac:dyDescent="0.3">
      <c r="A712" t="s">
        <v>23</v>
      </c>
      <c r="B712" t="s">
        <v>30</v>
      </c>
      <c r="C712" t="s">
        <v>24</v>
      </c>
      <c r="D712" s="3">
        <v>45961</v>
      </c>
      <c r="E712" s="6">
        <v>0.86199999999999999</v>
      </c>
      <c r="F712">
        <v>0</v>
      </c>
      <c r="G712" t="s">
        <v>17</v>
      </c>
      <c r="H712" s="6">
        <v>0.85</v>
      </c>
      <c r="I712" s="8">
        <v>-3.5794183445190191E-2</v>
      </c>
      <c r="J712" s="5">
        <f t="shared" si="132"/>
        <v>4.5902054585511267E-3</v>
      </c>
      <c r="K712" s="5" cm="1">
        <f t="array" ref="K712">_xlfn.STDEV.S(IF($C:$C=C712,$I:$I))</f>
        <v>7.1528610508022367E-2</v>
      </c>
      <c r="L712" s="7">
        <f t="shared" si="135"/>
        <v>-0.56459070876557804</v>
      </c>
      <c r="M712">
        <f t="shared" si="133"/>
        <v>1</v>
      </c>
      <c r="N712" s="9">
        <f t="shared" si="136"/>
        <v>-1.4117647058823542E-2</v>
      </c>
      <c r="O712">
        <f>COUNTIFS($B$2:B712,B712,$C$2:C712,C712,$D$2:D712,"&lt;"&amp;D712,$F$2:F712,1)</f>
        <v>1</v>
      </c>
      <c r="P712">
        <f t="shared" si="134"/>
        <v>0</v>
      </c>
      <c r="Q712" t="str">
        <f t="shared" si="137"/>
        <v>Monitor</v>
      </c>
      <c r="R712">
        <v>0</v>
      </c>
      <c r="S712">
        <f t="shared" si="138"/>
        <v>0</v>
      </c>
      <c r="T712">
        <f t="shared" si="139"/>
        <v>0</v>
      </c>
      <c r="U712" t="str">
        <f t="shared" si="140"/>
        <v>Not Improved Enough</v>
      </c>
      <c r="V712" t="str">
        <f t="shared" si="141"/>
        <v>Close</v>
      </c>
      <c r="W712" t="str">
        <f t="shared" si="142"/>
        <v>Abnormal</v>
      </c>
      <c r="X712" t="str">
        <f t="shared" si="143"/>
        <v>Allowed</v>
      </c>
    </row>
    <row r="713" spans="1:24" x14ac:dyDescent="0.3">
      <c r="A713" t="s">
        <v>23</v>
      </c>
      <c r="B713" t="s">
        <v>30</v>
      </c>
      <c r="C713" t="s">
        <v>24</v>
      </c>
      <c r="D713" s="3">
        <v>45991</v>
      </c>
      <c r="E713" s="6">
        <v>0.89600000000000002</v>
      </c>
      <c r="F713">
        <v>0</v>
      </c>
      <c r="G713" t="s">
        <v>17</v>
      </c>
      <c r="H713" s="6">
        <v>0.85</v>
      </c>
      <c r="I713" s="8">
        <v>3.9443155452436228E-2</v>
      </c>
      <c r="J713" s="5">
        <f t="shared" si="132"/>
        <v>4.5902054585511267E-3</v>
      </c>
      <c r="K713" s="5" cm="1">
        <f t="array" ref="K713">_xlfn.STDEV.S(IF($C:$C=C713,$I:$I))</f>
        <v>7.1528610508022367E-2</v>
      </c>
      <c r="L713" s="7">
        <f t="shared" si="135"/>
        <v>0.48725887090978975</v>
      </c>
      <c r="M713">
        <f t="shared" si="133"/>
        <v>0</v>
      </c>
      <c r="N713" s="9">
        <f t="shared" si="136"/>
        <v>-5.4117647058823576E-2</v>
      </c>
      <c r="O713">
        <f>COUNTIFS($B$2:B713,B713,$C$2:C713,C713,$D$2:D713,"&lt;"&amp;D713,$F$2:F713,1)</f>
        <v>1</v>
      </c>
      <c r="P713">
        <f t="shared" si="134"/>
        <v>0</v>
      </c>
      <c r="Q713" t="str">
        <f t="shared" si="137"/>
        <v>Monitor</v>
      </c>
      <c r="R713">
        <v>0</v>
      </c>
      <c r="S713">
        <f t="shared" si="138"/>
        <v>0</v>
      </c>
      <c r="T713">
        <f t="shared" si="139"/>
        <v>0</v>
      </c>
      <c r="U713" t="str">
        <f t="shared" si="140"/>
        <v>Improved Enough</v>
      </c>
      <c r="V713" t="str">
        <f t="shared" si="141"/>
        <v>Close</v>
      </c>
      <c r="W713" t="str">
        <f t="shared" si="142"/>
        <v>Normal</v>
      </c>
      <c r="X713" t="str">
        <f t="shared" si="143"/>
        <v>Allowed</v>
      </c>
    </row>
    <row r="714" spans="1:24" x14ac:dyDescent="0.3">
      <c r="A714" t="s">
        <v>23</v>
      </c>
      <c r="B714" t="s">
        <v>30</v>
      </c>
      <c r="C714" t="s">
        <v>25</v>
      </c>
      <c r="D714" s="3">
        <v>45535</v>
      </c>
      <c r="E714" s="6">
        <v>0.66320000000000001</v>
      </c>
      <c r="F714">
        <v>0</v>
      </c>
      <c r="G714" t="s">
        <v>17</v>
      </c>
      <c r="H714" s="6">
        <v>0.65</v>
      </c>
      <c r="I714" s="8">
        <v>7.7673058173545778E-2</v>
      </c>
      <c r="J714" s="5">
        <f t="shared" si="132"/>
        <v>1.2057533289701232E-2</v>
      </c>
      <c r="K714" s="5" cm="1">
        <f t="array" ref="K714">_xlfn.STDEV.S(IF($C:$C=C714,$I:$I))</f>
        <v>0.17981498891186962</v>
      </c>
      <c r="L714" s="7">
        <f t="shared" si="135"/>
        <v>0.36490575830696648</v>
      </c>
      <c r="M714">
        <f t="shared" si="133"/>
        <v>0</v>
      </c>
      <c r="N714" s="9">
        <f t="shared" si="136"/>
        <v>-2.0307692307692291E-2</v>
      </c>
      <c r="O714">
        <f>COUNTIFS($B$2:B714,B714,$C$2:C714,C714,$D$2:D714,"&lt;"&amp;D714,$F$2:F714,1)</f>
        <v>0</v>
      </c>
      <c r="P714">
        <f t="shared" si="134"/>
        <v>0</v>
      </c>
      <c r="Q714" t="str">
        <f t="shared" si="137"/>
        <v>Monitor</v>
      </c>
      <c r="R714">
        <v>0</v>
      </c>
      <c r="S714">
        <f t="shared" si="138"/>
        <v>0</v>
      </c>
      <c r="T714">
        <f t="shared" si="139"/>
        <v>0</v>
      </c>
      <c r="U714" t="str">
        <f t="shared" si="140"/>
        <v>Improved Enough</v>
      </c>
      <c r="V714" t="str">
        <f t="shared" si="141"/>
        <v>Close</v>
      </c>
      <c r="W714" t="str">
        <f t="shared" si="142"/>
        <v>Normal</v>
      </c>
      <c r="X714" t="str">
        <f t="shared" si="143"/>
        <v>Allowed</v>
      </c>
    </row>
    <row r="715" spans="1:24" x14ac:dyDescent="0.3">
      <c r="A715" t="s">
        <v>23</v>
      </c>
      <c r="B715" t="s">
        <v>30</v>
      </c>
      <c r="C715" t="s">
        <v>25</v>
      </c>
      <c r="D715" s="3">
        <v>45565</v>
      </c>
      <c r="E715" s="6">
        <v>0.55200000000000005</v>
      </c>
      <c r="F715">
        <v>0</v>
      </c>
      <c r="G715" t="s">
        <v>17</v>
      </c>
      <c r="H715" s="6">
        <v>0.65</v>
      </c>
      <c r="I715" s="8">
        <v>-0.1676718938480096</v>
      </c>
      <c r="J715" s="5">
        <f t="shared" si="132"/>
        <v>1.2057533289701232E-2</v>
      </c>
      <c r="K715" s="5" cm="1">
        <f t="array" ref="K715">_xlfn.STDEV.S(IF($C:$C=C715,$I:$I))</f>
        <v>0.17981498891186962</v>
      </c>
      <c r="L715" s="7">
        <f t="shared" si="135"/>
        <v>-0.99952416773108543</v>
      </c>
      <c r="M715">
        <f t="shared" si="133"/>
        <v>1</v>
      </c>
      <c r="N715" s="9">
        <f t="shared" si="136"/>
        <v>0.15076923076923074</v>
      </c>
      <c r="O715">
        <f>COUNTIFS($B$2:B715,B715,$C$2:C715,C715,$D$2:D715,"&lt;"&amp;D715,$F$2:F715,1)</f>
        <v>0</v>
      </c>
      <c r="P715">
        <f t="shared" si="134"/>
        <v>0</v>
      </c>
      <c r="Q715" t="str">
        <f t="shared" si="137"/>
        <v>Intervene</v>
      </c>
      <c r="R715">
        <v>0</v>
      </c>
      <c r="S715">
        <f t="shared" si="138"/>
        <v>1</v>
      </c>
      <c r="T715">
        <f t="shared" si="139"/>
        <v>1</v>
      </c>
      <c r="U715" t="str">
        <f t="shared" si="140"/>
        <v>Not Improved Enough</v>
      </c>
      <c r="V715" t="str">
        <f t="shared" si="141"/>
        <v>Far</v>
      </c>
      <c r="W715" t="str">
        <f t="shared" si="142"/>
        <v>Abnormal</v>
      </c>
      <c r="X715" t="str">
        <f t="shared" si="143"/>
        <v>Allowed</v>
      </c>
    </row>
    <row r="716" spans="1:24" x14ac:dyDescent="0.3">
      <c r="A716" t="s">
        <v>23</v>
      </c>
      <c r="B716" t="s">
        <v>30</v>
      </c>
      <c r="C716" t="s">
        <v>25</v>
      </c>
      <c r="D716" s="3">
        <v>45596</v>
      </c>
      <c r="E716" s="6">
        <v>0.61609999999999998</v>
      </c>
      <c r="F716">
        <v>0</v>
      </c>
      <c r="G716" t="s">
        <v>17</v>
      </c>
      <c r="H716" s="6">
        <v>0.65</v>
      </c>
      <c r="I716" s="8">
        <v>0.116123188405797</v>
      </c>
      <c r="J716" s="5">
        <f t="shared" si="132"/>
        <v>1.2057533289701232E-2</v>
      </c>
      <c r="K716" s="5" cm="1">
        <f t="array" ref="K716">_xlfn.STDEV.S(IF($C:$C=C716,$I:$I))</f>
        <v>0.17981498891186962</v>
      </c>
      <c r="L716" s="7">
        <f t="shared" si="135"/>
        <v>0.57873737748914866</v>
      </c>
      <c r="M716">
        <f t="shared" si="133"/>
        <v>-1</v>
      </c>
      <c r="N716" s="9">
        <f t="shared" si="136"/>
        <v>5.2153846153846217E-2</v>
      </c>
      <c r="O716">
        <f>COUNTIFS($B$2:B716,B716,$C$2:C716,C716,$D$2:D716,"&lt;"&amp;D716,$F$2:F716,1)</f>
        <v>0</v>
      </c>
      <c r="P716">
        <f t="shared" si="134"/>
        <v>0</v>
      </c>
      <c r="Q716" t="str">
        <f t="shared" si="137"/>
        <v>Monitor</v>
      </c>
      <c r="R716">
        <v>0</v>
      </c>
      <c r="S716">
        <f t="shared" si="138"/>
        <v>0</v>
      </c>
      <c r="T716">
        <f t="shared" si="139"/>
        <v>0</v>
      </c>
      <c r="U716" t="str">
        <f t="shared" si="140"/>
        <v>Improved Enough</v>
      </c>
      <c r="V716" t="str">
        <f t="shared" si="141"/>
        <v>Far</v>
      </c>
      <c r="W716" t="str">
        <f t="shared" si="142"/>
        <v>Normal</v>
      </c>
      <c r="X716" t="str">
        <f t="shared" si="143"/>
        <v>Allowed</v>
      </c>
    </row>
    <row r="717" spans="1:24" x14ac:dyDescent="0.3">
      <c r="A717" t="s">
        <v>23</v>
      </c>
      <c r="B717" t="s">
        <v>30</v>
      </c>
      <c r="C717" t="s">
        <v>25</v>
      </c>
      <c r="D717" s="3">
        <v>45626</v>
      </c>
      <c r="E717" s="6">
        <v>0.61109999999999998</v>
      </c>
      <c r="F717">
        <v>1</v>
      </c>
      <c r="G717" t="s">
        <v>17</v>
      </c>
      <c r="H717" s="6">
        <v>0.65</v>
      </c>
      <c r="I717" s="8">
        <v>-8.1155656549261566E-3</v>
      </c>
      <c r="J717" s="5">
        <f t="shared" si="132"/>
        <v>1.2057533289701232E-2</v>
      </c>
      <c r="K717" s="5" cm="1">
        <f t="array" ref="K717">_xlfn.STDEV.S(IF($C:$C=C717,$I:$I))</f>
        <v>0.17981498891186962</v>
      </c>
      <c r="L717" s="7">
        <f t="shared" si="135"/>
        <v>-0.11218808324435384</v>
      </c>
      <c r="M717">
        <f t="shared" si="133"/>
        <v>0</v>
      </c>
      <c r="N717" s="9">
        <f t="shared" si="136"/>
        <v>5.9846153846153917E-2</v>
      </c>
      <c r="O717">
        <f>COUNTIFS($B$2:B717,B717,$C$2:C717,C717,$D$2:D717,"&lt;"&amp;D717,$F$2:F717,1)</f>
        <v>0</v>
      </c>
      <c r="P717">
        <f t="shared" si="134"/>
        <v>0</v>
      </c>
      <c r="Q717" t="str">
        <f t="shared" si="137"/>
        <v>Monitor</v>
      </c>
      <c r="R717">
        <v>0</v>
      </c>
      <c r="S717">
        <f t="shared" si="138"/>
        <v>0</v>
      </c>
      <c r="T717">
        <f t="shared" si="139"/>
        <v>0</v>
      </c>
      <c r="U717" t="str">
        <f t="shared" si="140"/>
        <v>Not Improved Enough</v>
      </c>
      <c r="V717" t="str">
        <f t="shared" si="141"/>
        <v>Far</v>
      </c>
      <c r="W717" t="str">
        <f t="shared" si="142"/>
        <v>Normal</v>
      </c>
      <c r="X717" t="str">
        <f t="shared" si="143"/>
        <v>Allowed</v>
      </c>
    </row>
    <row r="718" spans="1:24" x14ac:dyDescent="0.3">
      <c r="A718" t="s">
        <v>23</v>
      </c>
      <c r="B718" t="s">
        <v>30</v>
      </c>
      <c r="C718" t="s">
        <v>25</v>
      </c>
      <c r="D718" s="3">
        <v>45657</v>
      </c>
      <c r="E718" s="6">
        <v>0.61109999999999998</v>
      </c>
      <c r="F718">
        <v>1</v>
      </c>
      <c r="G718" t="s">
        <v>17</v>
      </c>
      <c r="H718" s="6">
        <v>0.65</v>
      </c>
      <c r="I718" s="8">
        <v>0</v>
      </c>
      <c r="J718" s="5">
        <f t="shared" si="132"/>
        <v>1.2057533289701232E-2</v>
      </c>
      <c r="K718" s="5" cm="1">
        <f t="array" ref="K718">_xlfn.STDEV.S(IF($C:$C=C718,$I:$I))</f>
        <v>0.17981498891186962</v>
      </c>
      <c r="L718" s="7">
        <f t="shared" si="135"/>
        <v>-6.7055218047539042E-2</v>
      </c>
      <c r="M718">
        <f t="shared" si="133"/>
        <v>0</v>
      </c>
      <c r="N718" s="9">
        <f t="shared" si="136"/>
        <v>5.9846153846153917E-2</v>
      </c>
      <c r="O718">
        <f>COUNTIFS($B$2:B718,B718,$C$2:C718,C718,$D$2:D718,"&lt;"&amp;D718,$F$2:F718,1)</f>
        <v>1</v>
      </c>
      <c r="P718">
        <f t="shared" si="134"/>
        <v>-1</v>
      </c>
      <c r="Q718" t="str">
        <f t="shared" si="137"/>
        <v>Monitor</v>
      </c>
      <c r="R718">
        <v>1</v>
      </c>
      <c r="S718">
        <f t="shared" si="138"/>
        <v>0</v>
      </c>
      <c r="T718">
        <f t="shared" si="139"/>
        <v>0</v>
      </c>
      <c r="U718" t="str">
        <f t="shared" si="140"/>
        <v>Not Improved Enough</v>
      </c>
      <c r="V718" t="str">
        <f t="shared" si="141"/>
        <v>Far</v>
      </c>
      <c r="W718" t="str">
        <f t="shared" si="142"/>
        <v>Normal</v>
      </c>
      <c r="X718" t="str">
        <f t="shared" si="143"/>
        <v>Allowed</v>
      </c>
    </row>
    <row r="719" spans="1:24" x14ac:dyDescent="0.3">
      <c r="A719" t="s">
        <v>23</v>
      </c>
      <c r="B719" t="s">
        <v>30</v>
      </c>
      <c r="C719" t="s">
        <v>25</v>
      </c>
      <c r="D719" s="3">
        <v>45688</v>
      </c>
      <c r="E719" s="6">
        <v>0.58330000000000004</v>
      </c>
      <c r="F719">
        <v>1</v>
      </c>
      <c r="G719" t="s">
        <v>17</v>
      </c>
      <c r="H719" s="6">
        <v>0.65</v>
      </c>
      <c r="I719" s="8">
        <v>-4.5491736213385592E-2</v>
      </c>
      <c r="J719" s="5">
        <f t="shared" si="132"/>
        <v>1.2057533289701232E-2</v>
      </c>
      <c r="K719" s="5" cm="1">
        <f t="array" ref="K719">_xlfn.STDEV.S(IF($C:$C=C719,$I:$I))</f>
        <v>0.17981498891186962</v>
      </c>
      <c r="L719" s="7">
        <f t="shared" si="135"/>
        <v>-0.32004712093991616</v>
      </c>
      <c r="M719">
        <f t="shared" si="133"/>
        <v>0</v>
      </c>
      <c r="N719" s="9">
        <f t="shared" si="136"/>
        <v>0.10261538461538458</v>
      </c>
      <c r="O719">
        <f>COUNTIFS($B$2:B719,B719,$C$2:C719,C719,$D$2:D719,"&lt;"&amp;D719,$F$2:F719,1)</f>
        <v>2</v>
      </c>
      <c r="P719">
        <f t="shared" si="134"/>
        <v>-1</v>
      </c>
      <c r="Q719" t="str">
        <f t="shared" si="137"/>
        <v>Monitor</v>
      </c>
      <c r="R719">
        <v>1</v>
      </c>
      <c r="S719">
        <f t="shared" si="138"/>
        <v>0</v>
      </c>
      <c r="T719">
        <f t="shared" si="139"/>
        <v>0</v>
      </c>
      <c r="U719" t="str">
        <f t="shared" si="140"/>
        <v>Not Improved Enough</v>
      </c>
      <c r="V719" t="str">
        <f t="shared" si="141"/>
        <v>Far</v>
      </c>
      <c r="W719" t="str">
        <f t="shared" si="142"/>
        <v>Normal</v>
      </c>
      <c r="X719" t="str">
        <f t="shared" si="143"/>
        <v>Allowed</v>
      </c>
    </row>
    <row r="720" spans="1:24" x14ac:dyDescent="0.3">
      <c r="A720" t="s">
        <v>23</v>
      </c>
      <c r="B720" t="s">
        <v>30</v>
      </c>
      <c r="C720" t="s">
        <v>25</v>
      </c>
      <c r="D720" s="3">
        <v>45716</v>
      </c>
      <c r="E720" s="6">
        <v>0.6</v>
      </c>
      <c r="F720">
        <v>0</v>
      </c>
      <c r="G720" t="s">
        <v>17</v>
      </c>
      <c r="H720" s="6">
        <v>0.65</v>
      </c>
      <c r="I720" s="8">
        <v>2.8630207440425059E-2</v>
      </c>
      <c r="J720" s="5">
        <f t="shared" si="132"/>
        <v>1.2057533289701232E-2</v>
      </c>
      <c r="K720" s="5" cm="1">
        <f t="array" ref="K720">_xlfn.STDEV.S(IF($C:$C=C720,$I:$I))</f>
        <v>0.17981498891186962</v>
      </c>
      <c r="L720" s="7">
        <f t="shared" si="135"/>
        <v>9.2165142911675588E-2</v>
      </c>
      <c r="M720">
        <f t="shared" si="133"/>
        <v>0</v>
      </c>
      <c r="N720" s="9">
        <f t="shared" si="136"/>
        <v>7.6923076923076983E-2</v>
      </c>
      <c r="O720">
        <f>COUNTIFS($B$2:B720,B720,$C$2:C720,C720,$D$2:D720,"&lt;"&amp;D720,$F$2:F720,1)</f>
        <v>3</v>
      </c>
      <c r="P720">
        <f t="shared" si="134"/>
        <v>1</v>
      </c>
      <c r="Q720" t="str">
        <f t="shared" si="137"/>
        <v>Monitor</v>
      </c>
      <c r="R720">
        <v>1</v>
      </c>
      <c r="S720">
        <f t="shared" si="138"/>
        <v>0</v>
      </c>
      <c r="T720">
        <f t="shared" si="139"/>
        <v>0</v>
      </c>
      <c r="U720" t="str">
        <f t="shared" si="140"/>
        <v>Improved Enough</v>
      </c>
      <c r="V720" t="str">
        <f t="shared" si="141"/>
        <v>Far</v>
      </c>
      <c r="W720" t="str">
        <f t="shared" si="142"/>
        <v>Normal</v>
      </c>
      <c r="X720" t="str">
        <f t="shared" si="143"/>
        <v>Allowed</v>
      </c>
    </row>
    <row r="721" spans="1:24" x14ac:dyDescent="0.3">
      <c r="A721" t="s">
        <v>23</v>
      </c>
      <c r="B721" t="s">
        <v>30</v>
      </c>
      <c r="C721" t="s">
        <v>25</v>
      </c>
      <c r="D721" s="3">
        <v>45747</v>
      </c>
      <c r="E721" s="6">
        <v>0.63290000000000002</v>
      </c>
      <c r="F721">
        <v>0</v>
      </c>
      <c r="G721" t="s">
        <v>17</v>
      </c>
      <c r="H721" s="6">
        <v>0.65</v>
      </c>
      <c r="I721" s="8">
        <v>5.4833333333333401E-2</v>
      </c>
      <c r="J721" s="5">
        <f t="shared" si="132"/>
        <v>1.2057533289701232E-2</v>
      </c>
      <c r="K721" s="5" cm="1">
        <f t="array" ref="K721">_xlfn.STDEV.S(IF($C:$C=C721,$I:$I))</f>
        <v>0.17981498891186962</v>
      </c>
      <c r="L721" s="7">
        <f t="shared" si="135"/>
        <v>0.23788784406953592</v>
      </c>
      <c r="M721">
        <f t="shared" si="133"/>
        <v>0</v>
      </c>
      <c r="N721" s="9">
        <f t="shared" si="136"/>
        <v>2.6307692307692313E-2</v>
      </c>
      <c r="O721">
        <f>COUNTIFS($B$2:B721,B721,$C$2:C721,C721,$D$2:D721,"&lt;"&amp;D721,$F$2:F721,1)</f>
        <v>3</v>
      </c>
      <c r="P721">
        <f t="shared" si="134"/>
        <v>0</v>
      </c>
      <c r="Q721" t="str">
        <f t="shared" si="137"/>
        <v>Monitor</v>
      </c>
      <c r="R721">
        <v>0</v>
      </c>
      <c r="S721">
        <f t="shared" si="138"/>
        <v>0</v>
      </c>
      <c r="T721">
        <f t="shared" si="139"/>
        <v>0</v>
      </c>
      <c r="U721" t="str">
        <f t="shared" si="140"/>
        <v>Improved Enough</v>
      </c>
      <c r="V721" t="str">
        <f t="shared" si="141"/>
        <v>Far</v>
      </c>
      <c r="W721" t="str">
        <f t="shared" si="142"/>
        <v>Normal</v>
      </c>
      <c r="X721" t="str">
        <f t="shared" si="143"/>
        <v>Allowed</v>
      </c>
    </row>
    <row r="722" spans="1:24" x14ac:dyDescent="0.3">
      <c r="A722" t="s">
        <v>23</v>
      </c>
      <c r="B722" t="s">
        <v>30</v>
      </c>
      <c r="C722" t="s">
        <v>25</v>
      </c>
      <c r="D722" s="3">
        <v>45777</v>
      </c>
      <c r="E722" s="6">
        <v>0.62029999999999996</v>
      </c>
      <c r="F722">
        <v>0</v>
      </c>
      <c r="G722" t="s">
        <v>17</v>
      </c>
      <c r="H722" s="6">
        <v>0.65</v>
      </c>
      <c r="I722" s="8">
        <v>-1.9908358350450399E-2</v>
      </c>
      <c r="J722" s="5">
        <f t="shared" si="132"/>
        <v>1.2057533289701232E-2</v>
      </c>
      <c r="K722" s="5" cm="1">
        <f t="array" ref="K722">_xlfn.STDEV.S(IF($C:$C=C722,$I:$I))</f>
        <v>0.17981498891186962</v>
      </c>
      <c r="L722" s="7">
        <f t="shared" si="135"/>
        <v>-0.17777100693101094</v>
      </c>
      <c r="M722">
        <f t="shared" si="133"/>
        <v>0</v>
      </c>
      <c r="N722" s="9">
        <f t="shared" si="136"/>
        <v>4.5692307692307782E-2</v>
      </c>
      <c r="O722">
        <f>COUNTIFS($B$2:B722,B722,$C$2:C722,C722,$D$2:D722,"&lt;"&amp;D722,$F$2:F722,1)</f>
        <v>3</v>
      </c>
      <c r="P722">
        <f t="shared" si="134"/>
        <v>0</v>
      </c>
      <c r="Q722" t="str">
        <f t="shared" si="137"/>
        <v>Monitor</v>
      </c>
      <c r="R722">
        <v>0</v>
      </c>
      <c r="S722">
        <f t="shared" si="138"/>
        <v>0</v>
      </c>
      <c r="T722">
        <f t="shared" si="139"/>
        <v>0</v>
      </c>
      <c r="U722" t="str">
        <f t="shared" si="140"/>
        <v>Not Improved Enough</v>
      </c>
      <c r="V722" t="str">
        <f t="shared" si="141"/>
        <v>Far</v>
      </c>
      <c r="W722" t="str">
        <f t="shared" si="142"/>
        <v>Normal</v>
      </c>
      <c r="X722" t="str">
        <f t="shared" si="143"/>
        <v>Allowed</v>
      </c>
    </row>
    <row r="723" spans="1:24" x14ac:dyDescent="0.3">
      <c r="A723" t="s">
        <v>23</v>
      </c>
      <c r="B723" t="s">
        <v>30</v>
      </c>
      <c r="C723" t="s">
        <v>25</v>
      </c>
      <c r="D723" s="3">
        <v>45808</v>
      </c>
      <c r="E723" s="6">
        <v>0.6179</v>
      </c>
      <c r="F723">
        <v>0</v>
      </c>
      <c r="G723" t="s">
        <v>17</v>
      </c>
      <c r="H723" s="6">
        <v>0.65</v>
      </c>
      <c r="I723" s="8">
        <v>-3.8690955989036878E-3</v>
      </c>
      <c r="J723" s="5">
        <f t="shared" si="132"/>
        <v>1.2057533289701232E-2</v>
      </c>
      <c r="K723" s="5" cm="1">
        <f t="array" ref="K723">_xlfn.STDEV.S(IF($C:$C=C723,$I:$I))</f>
        <v>0.17981498891186962</v>
      </c>
      <c r="L723" s="7">
        <f t="shared" si="135"/>
        <v>-8.8572309711126646E-2</v>
      </c>
      <c r="M723">
        <f t="shared" si="133"/>
        <v>0</v>
      </c>
      <c r="N723" s="9">
        <f t="shared" si="136"/>
        <v>4.9384615384615409E-2</v>
      </c>
      <c r="O723">
        <f>COUNTIFS($B$2:B723,B723,$C$2:C723,C723,$D$2:D723,"&lt;"&amp;D723,$F$2:F723,1)</f>
        <v>3</v>
      </c>
      <c r="P723">
        <f t="shared" si="134"/>
        <v>0</v>
      </c>
      <c r="Q723" t="str">
        <f t="shared" si="137"/>
        <v>Monitor</v>
      </c>
      <c r="R723">
        <v>0</v>
      </c>
      <c r="S723">
        <f t="shared" si="138"/>
        <v>0</v>
      </c>
      <c r="T723">
        <f t="shared" si="139"/>
        <v>0</v>
      </c>
      <c r="U723" t="str">
        <f t="shared" si="140"/>
        <v>Not Improved Enough</v>
      </c>
      <c r="V723" t="str">
        <f t="shared" si="141"/>
        <v>Far</v>
      </c>
      <c r="W723" t="str">
        <f t="shared" si="142"/>
        <v>Normal</v>
      </c>
      <c r="X723" t="str">
        <f t="shared" si="143"/>
        <v>Allowed</v>
      </c>
    </row>
    <row r="724" spans="1:24" x14ac:dyDescent="0.3">
      <c r="A724" t="s">
        <v>23</v>
      </c>
      <c r="B724" t="s">
        <v>30</v>
      </c>
      <c r="C724" t="s">
        <v>25</v>
      </c>
      <c r="D724" s="3">
        <v>45838</v>
      </c>
      <c r="E724" s="6">
        <v>0.68330000000000002</v>
      </c>
      <c r="F724">
        <v>0</v>
      </c>
      <c r="G724" t="s">
        <v>17</v>
      </c>
      <c r="H724" s="6">
        <v>0.65</v>
      </c>
      <c r="I724" s="8">
        <v>0.10584236931542319</v>
      </c>
      <c r="J724" s="5">
        <f t="shared" si="132"/>
        <v>1.2057533289701232E-2</v>
      </c>
      <c r="K724" s="5" cm="1">
        <f t="array" ref="K724">_xlfn.STDEV.S(IF($C:$C=C724,$I:$I))</f>
        <v>0.17981498891186962</v>
      </c>
      <c r="L724" s="7">
        <f t="shared" si="135"/>
        <v>0.52156294974768491</v>
      </c>
      <c r="M724">
        <f t="shared" si="133"/>
        <v>-1</v>
      </c>
      <c r="N724" s="9">
        <f t="shared" si="136"/>
        <v>-5.1230769230769226E-2</v>
      </c>
      <c r="O724">
        <f>COUNTIFS($B$2:B724,B724,$C$2:C724,C724,$D$2:D724,"&lt;"&amp;D724,$F$2:F724,1)</f>
        <v>3</v>
      </c>
      <c r="P724">
        <f t="shared" si="134"/>
        <v>0</v>
      </c>
      <c r="Q724" t="str">
        <f t="shared" si="137"/>
        <v>Monitor</v>
      </c>
      <c r="R724">
        <v>0</v>
      </c>
      <c r="S724">
        <f t="shared" si="138"/>
        <v>0</v>
      </c>
      <c r="T724">
        <f t="shared" si="139"/>
        <v>0</v>
      </c>
      <c r="U724" t="str">
        <f t="shared" si="140"/>
        <v>Improved Enough</v>
      </c>
      <c r="V724" t="str">
        <f t="shared" si="141"/>
        <v>Close</v>
      </c>
      <c r="W724" t="str">
        <f t="shared" si="142"/>
        <v>Normal</v>
      </c>
      <c r="X724" t="str">
        <f t="shared" si="143"/>
        <v>Allowed</v>
      </c>
    </row>
    <row r="725" spans="1:24" x14ac:dyDescent="0.3">
      <c r="A725" t="s">
        <v>23</v>
      </c>
      <c r="B725" t="s">
        <v>30</v>
      </c>
      <c r="C725" t="s">
        <v>25</v>
      </c>
      <c r="D725" s="3">
        <v>45869</v>
      </c>
      <c r="E725" s="6">
        <v>0.72499999999999998</v>
      </c>
      <c r="F725">
        <v>0</v>
      </c>
      <c r="G725" t="s">
        <v>17</v>
      </c>
      <c r="H725" s="6">
        <v>0.65</v>
      </c>
      <c r="I725" s="8">
        <v>6.1027367188643288E-2</v>
      </c>
      <c r="J725" s="5">
        <f t="shared" si="132"/>
        <v>1.2057533289701232E-2</v>
      </c>
      <c r="K725" s="5" cm="1">
        <f t="array" ref="K725">_xlfn.STDEV.S(IF($C:$C=C725,$I:$I))</f>
        <v>0.17981498891186962</v>
      </c>
      <c r="L725" s="7">
        <f t="shared" si="135"/>
        <v>0.27233454894543307</v>
      </c>
      <c r="M725">
        <f t="shared" si="133"/>
        <v>0</v>
      </c>
      <c r="N725" s="9">
        <f t="shared" si="136"/>
        <v>-0.11538461538461531</v>
      </c>
      <c r="O725">
        <f>COUNTIFS($B$2:B725,B725,$C$2:C725,C725,$D$2:D725,"&lt;"&amp;D725,$F$2:F725,1)</f>
        <v>3</v>
      </c>
      <c r="P725">
        <f t="shared" si="134"/>
        <v>0</v>
      </c>
      <c r="Q725" t="str">
        <f t="shared" si="137"/>
        <v>Monitor</v>
      </c>
      <c r="R725">
        <v>0</v>
      </c>
      <c r="S725">
        <f t="shared" si="138"/>
        <v>0</v>
      </c>
      <c r="T725">
        <f t="shared" si="139"/>
        <v>0</v>
      </c>
      <c r="U725" t="str">
        <f t="shared" si="140"/>
        <v>Improved Enough</v>
      </c>
      <c r="V725" t="str">
        <f t="shared" si="141"/>
        <v>Close</v>
      </c>
      <c r="W725" t="str">
        <f t="shared" si="142"/>
        <v>Normal</v>
      </c>
      <c r="X725" t="str">
        <f t="shared" si="143"/>
        <v>Allowed</v>
      </c>
    </row>
    <row r="726" spans="1:24" x14ac:dyDescent="0.3">
      <c r="A726" t="s">
        <v>23</v>
      </c>
      <c r="B726" t="s">
        <v>30</v>
      </c>
      <c r="C726" t="s">
        <v>25</v>
      </c>
      <c r="D726" s="3">
        <v>45900</v>
      </c>
      <c r="E726" s="6">
        <v>0.70199999999999996</v>
      </c>
      <c r="F726">
        <v>0</v>
      </c>
      <c r="G726" t="s">
        <v>17</v>
      </c>
      <c r="H726" s="6">
        <v>0.65</v>
      </c>
      <c r="I726" s="8">
        <v>-3.1724137931034513E-2</v>
      </c>
      <c r="J726" s="5">
        <f t="shared" si="132"/>
        <v>1.2057533289701232E-2</v>
      </c>
      <c r="K726" s="5" cm="1">
        <f t="array" ref="K726">_xlfn.STDEV.S(IF($C:$C=C726,$I:$I))</f>
        <v>0.17981498891186962</v>
      </c>
      <c r="L726" s="7">
        <f t="shared" si="135"/>
        <v>-0.24348176692986304</v>
      </c>
      <c r="M726">
        <f t="shared" si="133"/>
        <v>0</v>
      </c>
      <c r="N726" s="9">
        <f t="shared" si="136"/>
        <v>-7.9999999999999891E-2</v>
      </c>
      <c r="O726">
        <f>COUNTIFS($B$2:B726,B726,$C$2:C726,C726,$D$2:D726,"&lt;"&amp;D726,$F$2:F726,1)</f>
        <v>3</v>
      </c>
      <c r="P726">
        <f t="shared" si="134"/>
        <v>0</v>
      </c>
      <c r="Q726" t="str">
        <f t="shared" si="137"/>
        <v>Monitor</v>
      </c>
      <c r="R726">
        <v>0</v>
      </c>
      <c r="S726">
        <f t="shared" si="138"/>
        <v>0</v>
      </c>
      <c r="T726">
        <f t="shared" si="139"/>
        <v>0</v>
      </c>
      <c r="U726" t="str">
        <f t="shared" si="140"/>
        <v>Not Improved Enough</v>
      </c>
      <c r="V726" t="str">
        <f t="shared" si="141"/>
        <v>Close</v>
      </c>
      <c r="W726" t="str">
        <f t="shared" si="142"/>
        <v>Normal</v>
      </c>
      <c r="X726" t="str">
        <f t="shared" si="143"/>
        <v>Allowed</v>
      </c>
    </row>
    <row r="727" spans="1:24" x14ac:dyDescent="0.3">
      <c r="A727" t="s">
        <v>23</v>
      </c>
      <c r="B727" t="s">
        <v>30</v>
      </c>
      <c r="C727" t="s">
        <v>25</v>
      </c>
      <c r="D727" s="3">
        <v>45930</v>
      </c>
      <c r="E727" s="6">
        <v>0.68300000000000005</v>
      </c>
      <c r="F727">
        <v>0</v>
      </c>
      <c r="G727" t="s">
        <v>17</v>
      </c>
      <c r="H727" s="6">
        <v>0.65</v>
      </c>
      <c r="I727" s="8">
        <v>-2.706552706552693E-2</v>
      </c>
      <c r="J727" s="5">
        <f t="shared" si="132"/>
        <v>1.2057533289701232E-2</v>
      </c>
      <c r="K727" s="5" cm="1">
        <f t="array" ref="K727">_xlfn.STDEV.S(IF($C:$C=C727,$I:$I))</f>
        <v>0.17981498891186962</v>
      </c>
      <c r="L727" s="7">
        <f t="shared" si="135"/>
        <v>-0.21757396639722307</v>
      </c>
      <c r="M727">
        <f t="shared" si="133"/>
        <v>0</v>
      </c>
      <c r="N727" s="9">
        <f t="shared" si="136"/>
        <v>-5.076923076923081E-2</v>
      </c>
      <c r="O727">
        <f>COUNTIFS($B$2:B727,B727,$C$2:C727,C727,$D$2:D727,"&lt;"&amp;D727,$F$2:F727,1)</f>
        <v>3</v>
      </c>
      <c r="P727">
        <f t="shared" si="134"/>
        <v>0</v>
      </c>
      <c r="Q727" t="str">
        <f t="shared" si="137"/>
        <v>Monitor</v>
      </c>
      <c r="R727">
        <v>0</v>
      </c>
      <c r="S727">
        <f t="shared" si="138"/>
        <v>0</v>
      </c>
      <c r="T727">
        <f t="shared" si="139"/>
        <v>0</v>
      </c>
      <c r="U727" t="str">
        <f t="shared" si="140"/>
        <v>Not Improved Enough</v>
      </c>
      <c r="V727" t="str">
        <f t="shared" si="141"/>
        <v>Close</v>
      </c>
      <c r="W727" t="str">
        <f t="shared" si="142"/>
        <v>Normal</v>
      </c>
      <c r="X727" t="str">
        <f t="shared" si="143"/>
        <v>Allowed</v>
      </c>
    </row>
    <row r="728" spans="1:24" x14ac:dyDescent="0.3">
      <c r="A728" t="s">
        <v>23</v>
      </c>
      <c r="B728" t="s">
        <v>30</v>
      </c>
      <c r="C728" t="s">
        <v>25</v>
      </c>
      <c r="D728" s="3">
        <v>45961</v>
      </c>
      <c r="E728" s="6">
        <v>0.69499999999999995</v>
      </c>
      <c r="F728">
        <v>0</v>
      </c>
      <c r="G728" t="s">
        <v>17</v>
      </c>
      <c r="H728" s="6">
        <v>0.65</v>
      </c>
      <c r="I728" s="8">
        <v>1.756954612005842E-2</v>
      </c>
      <c r="J728" s="5">
        <f t="shared" si="132"/>
        <v>1.2057533289701232E-2</v>
      </c>
      <c r="K728" s="5" cm="1">
        <f t="array" ref="K728">_xlfn.STDEV.S(IF($C:$C=C728,$I:$I))</f>
        <v>0.17981498891186962</v>
      </c>
      <c r="L728" s="7">
        <f t="shared" si="135"/>
        <v>3.0653800685429618E-2</v>
      </c>
      <c r="M728">
        <f t="shared" si="133"/>
        <v>0</v>
      </c>
      <c r="N728" s="9">
        <f t="shared" si="136"/>
        <v>-6.9230769230769124E-2</v>
      </c>
      <c r="O728">
        <f>COUNTIFS($B$2:B728,B728,$C$2:C728,C728,$D$2:D728,"&lt;"&amp;D728,$F$2:F728,1)</f>
        <v>3</v>
      </c>
      <c r="P728">
        <f t="shared" si="134"/>
        <v>0</v>
      </c>
      <c r="Q728" t="str">
        <f t="shared" si="137"/>
        <v>Monitor</v>
      </c>
      <c r="R728">
        <v>0</v>
      </c>
      <c r="S728">
        <f t="shared" si="138"/>
        <v>0</v>
      </c>
      <c r="T728">
        <f t="shared" si="139"/>
        <v>0</v>
      </c>
      <c r="U728" t="str">
        <f t="shared" si="140"/>
        <v>Improved Enough</v>
      </c>
      <c r="V728" t="str">
        <f t="shared" si="141"/>
        <v>Close</v>
      </c>
      <c r="W728" t="str">
        <f t="shared" si="142"/>
        <v>Normal</v>
      </c>
      <c r="X728" t="str">
        <f t="shared" si="143"/>
        <v>Allowed</v>
      </c>
    </row>
    <row r="729" spans="1:24" x14ac:dyDescent="0.3">
      <c r="A729" t="s">
        <v>23</v>
      </c>
      <c r="B729" t="s">
        <v>30</v>
      </c>
      <c r="C729" t="s">
        <v>25</v>
      </c>
      <c r="D729" s="3">
        <v>45991</v>
      </c>
      <c r="E729" s="6">
        <v>0.73499999999999999</v>
      </c>
      <c r="F729">
        <v>0</v>
      </c>
      <c r="G729" t="s">
        <v>17</v>
      </c>
      <c r="H729" s="6">
        <v>0.65</v>
      </c>
      <c r="I729" s="8">
        <v>5.7553956834532433E-2</v>
      </c>
      <c r="J729" s="5">
        <f t="shared" si="132"/>
        <v>1.2057533289701232E-2</v>
      </c>
      <c r="K729" s="5" cm="1">
        <f t="array" ref="K729">_xlfn.STDEV.S(IF($C:$C=C729,$I:$I))</f>
        <v>0.17981498891186962</v>
      </c>
      <c r="L729" s="7">
        <f t="shared" si="135"/>
        <v>0.25301797041585766</v>
      </c>
      <c r="M729">
        <f t="shared" si="133"/>
        <v>0</v>
      </c>
      <c r="N729" s="9">
        <f t="shared" si="136"/>
        <v>-0.13076923076923072</v>
      </c>
      <c r="O729">
        <f>COUNTIFS($B$2:B729,B729,$C$2:C729,C729,$D$2:D729,"&lt;"&amp;D729,$F$2:F729,1)</f>
        <v>3</v>
      </c>
      <c r="P729">
        <f t="shared" si="134"/>
        <v>0</v>
      </c>
      <c r="Q729" t="str">
        <f t="shared" si="137"/>
        <v>Monitor</v>
      </c>
      <c r="R729">
        <v>0</v>
      </c>
      <c r="S729">
        <f t="shared" si="138"/>
        <v>0</v>
      </c>
      <c r="T729">
        <f t="shared" si="139"/>
        <v>0</v>
      </c>
      <c r="U729" t="str">
        <f t="shared" si="140"/>
        <v>Improved Enough</v>
      </c>
      <c r="V729" t="str">
        <f t="shared" si="141"/>
        <v>Close</v>
      </c>
      <c r="W729" t="str">
        <f t="shared" si="142"/>
        <v>Normal</v>
      </c>
      <c r="X729" t="str">
        <f t="shared" si="143"/>
        <v>Allowed</v>
      </c>
    </row>
    <row r="730" spans="1:24" x14ac:dyDescent="0.3">
      <c r="A730" t="s">
        <v>23</v>
      </c>
      <c r="B730" t="s">
        <v>30</v>
      </c>
      <c r="C730" t="s">
        <v>26</v>
      </c>
      <c r="D730" s="3">
        <v>45535</v>
      </c>
      <c r="E730" s="6">
        <v>0.78490000000000004</v>
      </c>
      <c r="F730">
        <v>1</v>
      </c>
      <c r="G730" t="s">
        <v>17</v>
      </c>
      <c r="H730" s="6">
        <v>0.85</v>
      </c>
      <c r="I730" s="8">
        <v>-6.4815918026927197E-2</v>
      </c>
      <c r="J730" s="5">
        <f t="shared" si="132"/>
        <v>1.8209321594669165E-2</v>
      </c>
      <c r="K730" s="5" cm="1">
        <f t="array" ref="K730">_xlfn.STDEV.S(IF($C:$C=C730,$I:$I))</f>
        <v>0.22834931756330515</v>
      </c>
      <c r="L730" s="7">
        <f t="shared" si="135"/>
        <v>-0.36358873548452503</v>
      </c>
      <c r="M730">
        <f t="shared" si="133"/>
        <v>0</v>
      </c>
      <c r="N730" s="9">
        <f t="shared" si="136"/>
        <v>7.6588235294117568E-2</v>
      </c>
      <c r="O730">
        <f>COUNTIFS($B$2:B730,B730,$C$2:C730,C730,$D$2:D730,"&lt;"&amp;D730,$F$2:F730,1)</f>
        <v>0</v>
      </c>
      <c r="P730">
        <f t="shared" si="134"/>
        <v>0</v>
      </c>
      <c r="Q730" t="str">
        <f t="shared" si="137"/>
        <v>Monitor</v>
      </c>
      <c r="R730">
        <v>0</v>
      </c>
      <c r="S730">
        <f t="shared" si="138"/>
        <v>0</v>
      </c>
      <c r="T730">
        <f t="shared" si="139"/>
        <v>0</v>
      </c>
      <c r="U730" t="str">
        <f t="shared" si="140"/>
        <v>Not Improved Enough</v>
      </c>
      <c r="V730" t="str">
        <f t="shared" si="141"/>
        <v>Far</v>
      </c>
      <c r="W730" t="str">
        <f t="shared" si="142"/>
        <v>Normal</v>
      </c>
      <c r="X730" t="str">
        <f t="shared" si="143"/>
        <v>Allowed</v>
      </c>
    </row>
    <row r="731" spans="1:24" x14ac:dyDescent="0.3">
      <c r="A731" t="s">
        <v>23</v>
      </c>
      <c r="B731" t="s">
        <v>30</v>
      </c>
      <c r="C731" t="s">
        <v>26</v>
      </c>
      <c r="D731" s="3">
        <v>45565</v>
      </c>
      <c r="E731" s="6">
        <v>0.74380000000000002</v>
      </c>
      <c r="F731">
        <v>0</v>
      </c>
      <c r="G731" t="s">
        <v>17</v>
      </c>
      <c r="H731" s="6">
        <v>0.85</v>
      </c>
      <c r="I731" s="8">
        <v>-5.2363358389603799E-2</v>
      </c>
      <c r="J731" s="5">
        <f t="shared" si="132"/>
        <v>1.8209321594669165E-2</v>
      </c>
      <c r="K731" s="5" cm="1">
        <f t="array" ref="K731">_xlfn.STDEV.S(IF($C:$C=C731,$I:$I))</f>
        <v>0.22834931756330515</v>
      </c>
      <c r="L731" s="7">
        <f t="shared" si="135"/>
        <v>-0.30905579546874778</v>
      </c>
      <c r="M731">
        <f t="shared" si="133"/>
        <v>0</v>
      </c>
      <c r="N731" s="9">
        <f t="shared" si="136"/>
        <v>0.12494117647058819</v>
      </c>
      <c r="O731">
        <f>COUNTIFS($B$2:B731,B731,$C$2:C731,C731,$D$2:D731,"&lt;"&amp;D731,$F$2:F731,1)</f>
        <v>1</v>
      </c>
      <c r="P731">
        <f t="shared" si="134"/>
        <v>-1</v>
      </c>
      <c r="Q731" t="str">
        <f t="shared" si="137"/>
        <v>Monitor</v>
      </c>
      <c r="R731">
        <v>1</v>
      </c>
      <c r="S731">
        <f t="shared" si="138"/>
        <v>0</v>
      </c>
      <c r="T731">
        <f t="shared" si="139"/>
        <v>0</v>
      </c>
      <c r="U731" t="str">
        <f t="shared" si="140"/>
        <v>Not Improved Enough</v>
      </c>
      <c r="V731" t="str">
        <f t="shared" si="141"/>
        <v>Far</v>
      </c>
      <c r="W731" t="str">
        <f t="shared" si="142"/>
        <v>Normal</v>
      </c>
      <c r="X731" t="str">
        <f t="shared" si="143"/>
        <v>Allowed</v>
      </c>
    </row>
    <row r="732" spans="1:24" x14ac:dyDescent="0.3">
      <c r="A732" t="s">
        <v>23</v>
      </c>
      <c r="B732" t="s">
        <v>30</v>
      </c>
      <c r="C732" t="s">
        <v>26</v>
      </c>
      <c r="D732" s="3">
        <v>45596</v>
      </c>
      <c r="E732" s="6">
        <v>0.84950000000000003</v>
      </c>
      <c r="F732">
        <v>0</v>
      </c>
      <c r="G732" t="s">
        <v>17</v>
      </c>
      <c r="H732" s="6">
        <v>0.85</v>
      </c>
      <c r="I732" s="8">
        <v>0.14210809357354129</v>
      </c>
      <c r="J732" s="5">
        <f t="shared" si="132"/>
        <v>1.8209321594669165E-2</v>
      </c>
      <c r="K732" s="5" cm="1">
        <f t="array" ref="K732">_xlfn.STDEV.S(IF($C:$C=C732,$I:$I))</f>
        <v>0.22834931756330515</v>
      </c>
      <c r="L732" s="7">
        <f t="shared" si="135"/>
        <v>0.54258437599457132</v>
      </c>
      <c r="M732">
        <f t="shared" si="133"/>
        <v>-1</v>
      </c>
      <c r="N732" s="9">
        <f t="shared" si="136"/>
        <v>5.8823529411758228E-4</v>
      </c>
      <c r="O732">
        <f>COUNTIFS($B$2:B732,B732,$C$2:C732,C732,$D$2:D732,"&lt;"&amp;D732,$F$2:F732,1)</f>
        <v>1</v>
      </c>
      <c r="P732">
        <f t="shared" si="134"/>
        <v>0</v>
      </c>
      <c r="Q732" t="str">
        <f t="shared" si="137"/>
        <v>Monitor</v>
      </c>
      <c r="R732">
        <v>0</v>
      </c>
      <c r="S732">
        <f t="shared" si="138"/>
        <v>0</v>
      </c>
      <c r="T732">
        <f t="shared" si="139"/>
        <v>0</v>
      </c>
      <c r="U732" t="str">
        <f t="shared" si="140"/>
        <v>Improved Enough</v>
      </c>
      <c r="V732" t="str">
        <f t="shared" si="141"/>
        <v>Close</v>
      </c>
      <c r="W732" t="str">
        <f t="shared" si="142"/>
        <v>Normal</v>
      </c>
      <c r="X732" t="str">
        <f t="shared" si="143"/>
        <v>Allowed</v>
      </c>
    </row>
    <row r="733" spans="1:24" x14ac:dyDescent="0.3">
      <c r="A733" t="s">
        <v>23</v>
      </c>
      <c r="B733" t="s">
        <v>30</v>
      </c>
      <c r="C733" t="s">
        <v>26</v>
      </c>
      <c r="D733" s="3">
        <v>45626</v>
      </c>
      <c r="E733" s="6">
        <v>0.76149999999999995</v>
      </c>
      <c r="F733">
        <v>1</v>
      </c>
      <c r="G733" t="s">
        <v>17</v>
      </c>
      <c r="H733" s="6">
        <v>0.85</v>
      </c>
      <c r="I733" s="8">
        <v>-0.103590347263096</v>
      </c>
      <c r="J733" s="5">
        <f t="shared" si="132"/>
        <v>1.8209321594669165E-2</v>
      </c>
      <c r="K733" s="5" cm="1">
        <f t="array" ref="K733">_xlfn.STDEV.S(IF($C:$C=C733,$I:$I))</f>
        <v>0.22834931756330515</v>
      </c>
      <c r="L733" s="7">
        <f t="shared" si="135"/>
        <v>-0.53339186715107534</v>
      </c>
      <c r="M733">
        <f t="shared" si="133"/>
        <v>1</v>
      </c>
      <c r="N733" s="9">
        <f t="shared" si="136"/>
        <v>0.10411764705882356</v>
      </c>
      <c r="O733">
        <f>COUNTIFS($B$2:B733,B733,$C$2:C733,C733,$D$2:D733,"&lt;"&amp;D733,$F$2:F733,1)</f>
        <v>1</v>
      </c>
      <c r="P733">
        <f t="shared" si="134"/>
        <v>0</v>
      </c>
      <c r="Q733" t="str">
        <f t="shared" si="137"/>
        <v>Intervene</v>
      </c>
      <c r="R733">
        <v>0</v>
      </c>
      <c r="S733">
        <f t="shared" si="138"/>
        <v>1</v>
      </c>
      <c r="T733">
        <f t="shared" si="139"/>
        <v>1</v>
      </c>
      <c r="U733" t="str">
        <f t="shared" si="140"/>
        <v>Not Improved Enough</v>
      </c>
      <c r="V733" t="str">
        <f t="shared" si="141"/>
        <v>Far</v>
      </c>
      <c r="W733" t="str">
        <f t="shared" si="142"/>
        <v>Abnormal</v>
      </c>
      <c r="X733" t="str">
        <f t="shared" si="143"/>
        <v>Allowed</v>
      </c>
    </row>
    <row r="734" spans="1:24" x14ac:dyDescent="0.3">
      <c r="A734" t="s">
        <v>23</v>
      </c>
      <c r="B734" t="s">
        <v>30</v>
      </c>
      <c r="C734" t="s">
        <v>26</v>
      </c>
      <c r="D734" s="3">
        <v>45657</v>
      </c>
      <c r="E734" s="6">
        <v>0.85719999999999996</v>
      </c>
      <c r="F734">
        <v>0</v>
      </c>
      <c r="G734" t="s">
        <v>17</v>
      </c>
      <c r="H734" s="6">
        <v>0.85</v>
      </c>
      <c r="I734" s="8">
        <v>0.12567301378857521</v>
      </c>
      <c r="J734" s="5">
        <f t="shared" si="132"/>
        <v>1.8209321594669165E-2</v>
      </c>
      <c r="K734" s="5" cm="1">
        <f t="array" ref="K734">_xlfn.STDEV.S(IF($C:$C=C734,$I:$I))</f>
        <v>0.22834931756330515</v>
      </c>
      <c r="L734" s="7">
        <f t="shared" si="135"/>
        <v>0.4706109628031358</v>
      </c>
      <c r="M734">
        <f t="shared" si="133"/>
        <v>0</v>
      </c>
      <c r="N734" s="9">
        <f t="shared" si="136"/>
        <v>-8.4705882352940996E-3</v>
      </c>
      <c r="O734">
        <f>COUNTIFS($B$2:B734,B734,$C$2:C734,C734,$D$2:D734,"&lt;"&amp;D734,$F$2:F734,1)</f>
        <v>2</v>
      </c>
      <c r="P734">
        <f t="shared" si="134"/>
        <v>1</v>
      </c>
      <c r="Q734" t="str">
        <f t="shared" si="137"/>
        <v>Monitor</v>
      </c>
      <c r="R734">
        <v>1</v>
      </c>
      <c r="S734">
        <f t="shared" si="138"/>
        <v>0</v>
      </c>
      <c r="T734">
        <f t="shared" si="139"/>
        <v>0</v>
      </c>
      <c r="U734" t="str">
        <f t="shared" si="140"/>
        <v>Improved Enough</v>
      </c>
      <c r="V734" t="str">
        <f t="shared" si="141"/>
        <v>Close</v>
      </c>
      <c r="W734" t="str">
        <f t="shared" si="142"/>
        <v>Normal</v>
      </c>
      <c r="X734" t="str">
        <f t="shared" si="143"/>
        <v>Allowed</v>
      </c>
    </row>
    <row r="735" spans="1:24" x14ac:dyDescent="0.3">
      <c r="A735" t="s">
        <v>23</v>
      </c>
      <c r="B735" t="s">
        <v>30</v>
      </c>
      <c r="C735" t="s">
        <v>26</v>
      </c>
      <c r="D735" s="3">
        <v>45688</v>
      </c>
      <c r="E735" s="6">
        <v>0.80300000000000005</v>
      </c>
      <c r="F735">
        <v>0</v>
      </c>
      <c r="G735" t="s">
        <v>17</v>
      </c>
      <c r="H735" s="6">
        <v>0.85</v>
      </c>
      <c r="I735" s="8">
        <v>-6.3229118058795983E-2</v>
      </c>
      <c r="J735" s="5">
        <f t="shared" si="132"/>
        <v>1.8209321594669165E-2</v>
      </c>
      <c r="K735" s="5" cm="1">
        <f t="array" ref="K735">_xlfn.STDEV.S(IF($C:$C=C735,$I:$I))</f>
        <v>0.22834931756330515</v>
      </c>
      <c r="L735" s="7">
        <f t="shared" si="135"/>
        <v>-0.35663973303046115</v>
      </c>
      <c r="M735">
        <f t="shared" si="133"/>
        <v>0</v>
      </c>
      <c r="N735" s="9">
        <f t="shared" si="136"/>
        <v>5.5294117647058744E-2</v>
      </c>
      <c r="O735">
        <f>COUNTIFS($B$2:B735,B735,$C$2:C735,C735,$D$2:D735,"&lt;"&amp;D735,$F$2:F735,1)</f>
        <v>2</v>
      </c>
      <c r="P735">
        <f t="shared" si="134"/>
        <v>0</v>
      </c>
      <c r="Q735" t="str">
        <f t="shared" si="137"/>
        <v>Monitor</v>
      </c>
      <c r="R735">
        <v>0</v>
      </c>
      <c r="S735">
        <f t="shared" si="138"/>
        <v>0</v>
      </c>
      <c r="T735">
        <f t="shared" si="139"/>
        <v>0</v>
      </c>
      <c r="U735" t="str">
        <f t="shared" si="140"/>
        <v>Not Improved Enough</v>
      </c>
      <c r="V735" t="str">
        <f t="shared" si="141"/>
        <v>Far</v>
      </c>
      <c r="W735" t="str">
        <f t="shared" si="142"/>
        <v>Normal</v>
      </c>
      <c r="X735" t="str">
        <f t="shared" si="143"/>
        <v>Allowed</v>
      </c>
    </row>
    <row r="736" spans="1:24" x14ac:dyDescent="0.3">
      <c r="A736" t="s">
        <v>23</v>
      </c>
      <c r="B736" t="s">
        <v>30</v>
      </c>
      <c r="C736" t="s">
        <v>26</v>
      </c>
      <c r="D736" s="3">
        <v>45716</v>
      </c>
      <c r="E736" s="6">
        <v>0.78900000000000003</v>
      </c>
      <c r="F736">
        <v>0</v>
      </c>
      <c r="G736" t="s">
        <v>17</v>
      </c>
      <c r="H736" s="6">
        <v>0.85</v>
      </c>
      <c r="I736" s="8">
        <v>-1.7434620174346219E-2</v>
      </c>
      <c r="J736" s="5">
        <f t="shared" si="132"/>
        <v>1.8209321594669165E-2</v>
      </c>
      <c r="K736" s="5" cm="1">
        <f t="array" ref="K736">_xlfn.STDEV.S(IF($C:$C=C736,$I:$I))</f>
        <v>0.22834931756330515</v>
      </c>
      <c r="L736" s="7">
        <f t="shared" si="135"/>
        <v>-0.15609392727496912</v>
      </c>
      <c r="M736">
        <f t="shared" si="133"/>
        <v>0</v>
      </c>
      <c r="N736" s="9">
        <f t="shared" si="136"/>
        <v>7.1764705882352869E-2</v>
      </c>
      <c r="O736">
        <f>COUNTIFS($B$2:B736,B736,$C$2:C736,C736,$D$2:D736,"&lt;"&amp;D736,$F$2:F736,1)</f>
        <v>2</v>
      </c>
      <c r="P736">
        <f t="shared" si="134"/>
        <v>0</v>
      </c>
      <c r="Q736" t="str">
        <f t="shared" si="137"/>
        <v>Monitor</v>
      </c>
      <c r="R736">
        <v>0</v>
      </c>
      <c r="S736">
        <f t="shared" si="138"/>
        <v>0</v>
      </c>
      <c r="T736">
        <f t="shared" si="139"/>
        <v>0</v>
      </c>
      <c r="U736" t="str">
        <f t="shared" si="140"/>
        <v>Not Improved Enough</v>
      </c>
      <c r="V736" t="str">
        <f t="shared" si="141"/>
        <v>Far</v>
      </c>
      <c r="W736" t="str">
        <f t="shared" si="142"/>
        <v>Normal</v>
      </c>
      <c r="X736" t="str">
        <f t="shared" si="143"/>
        <v>Allowed</v>
      </c>
    </row>
    <row r="737" spans="1:24" x14ac:dyDescent="0.3">
      <c r="A737" t="s">
        <v>23</v>
      </c>
      <c r="B737" t="s">
        <v>30</v>
      </c>
      <c r="C737" t="s">
        <v>26</v>
      </c>
      <c r="D737" s="3">
        <v>45747</v>
      </c>
      <c r="E737" s="6">
        <v>0.81410000000000005</v>
      </c>
      <c r="F737">
        <v>0</v>
      </c>
      <c r="G737" t="s">
        <v>17</v>
      </c>
      <c r="H737" s="6">
        <v>0.85</v>
      </c>
      <c r="I737" s="8">
        <v>3.1812420785804832E-2</v>
      </c>
      <c r="J737" s="5">
        <f t="shared" si="132"/>
        <v>1.8209321594669165E-2</v>
      </c>
      <c r="K737" s="5" cm="1">
        <f t="array" ref="K737">_xlfn.STDEV.S(IF($C:$C=C737,$I:$I))</f>
        <v>0.22834931756330515</v>
      </c>
      <c r="L737" s="7">
        <f t="shared" si="135"/>
        <v>5.9571446660288296E-2</v>
      </c>
      <c r="M737">
        <f t="shared" si="133"/>
        <v>0</v>
      </c>
      <c r="N737" s="9">
        <f t="shared" si="136"/>
        <v>4.2235294117646982E-2</v>
      </c>
      <c r="O737">
        <f>COUNTIFS($B$2:B737,B737,$C$2:C737,C737,$D$2:D737,"&lt;"&amp;D737,$F$2:F737,1)</f>
        <v>2</v>
      </c>
      <c r="P737">
        <f t="shared" si="134"/>
        <v>0</v>
      </c>
      <c r="Q737" t="str">
        <f t="shared" si="137"/>
        <v>Monitor</v>
      </c>
      <c r="R737">
        <v>0</v>
      </c>
      <c r="S737">
        <f t="shared" si="138"/>
        <v>0</v>
      </c>
      <c r="T737">
        <f t="shared" si="139"/>
        <v>0</v>
      </c>
      <c r="U737" t="str">
        <f t="shared" si="140"/>
        <v>Improved Enough</v>
      </c>
      <c r="V737" t="str">
        <f t="shared" si="141"/>
        <v>Far</v>
      </c>
      <c r="W737" t="str">
        <f t="shared" si="142"/>
        <v>Normal</v>
      </c>
      <c r="X737" t="str">
        <f t="shared" si="143"/>
        <v>Allowed</v>
      </c>
    </row>
    <row r="738" spans="1:24" x14ac:dyDescent="0.3">
      <c r="A738" t="s">
        <v>23</v>
      </c>
      <c r="B738" t="s">
        <v>30</v>
      </c>
      <c r="C738" t="s">
        <v>26</v>
      </c>
      <c r="D738" s="3">
        <v>45777</v>
      </c>
      <c r="E738" s="6">
        <v>0.79879999999999995</v>
      </c>
      <c r="F738">
        <v>0</v>
      </c>
      <c r="G738" t="s">
        <v>17</v>
      </c>
      <c r="H738" s="6">
        <v>0.85</v>
      </c>
      <c r="I738" s="8">
        <v>-1.8793759980346509E-2</v>
      </c>
      <c r="J738" s="5">
        <f t="shared" si="132"/>
        <v>1.8209321594669165E-2</v>
      </c>
      <c r="K738" s="5" cm="1">
        <f t="array" ref="K738">_xlfn.STDEV.S(IF($C:$C=C738,$I:$I))</f>
        <v>0.22834931756330515</v>
      </c>
      <c r="L738" s="7">
        <f t="shared" si="135"/>
        <v>-0.16204594771673592</v>
      </c>
      <c r="M738">
        <f t="shared" si="133"/>
        <v>0</v>
      </c>
      <c r="N738" s="9">
        <f t="shared" si="136"/>
        <v>6.0235294117647088E-2</v>
      </c>
      <c r="O738">
        <f>COUNTIFS($B$2:B738,B738,$C$2:C738,C738,$D$2:D738,"&lt;"&amp;D738,$F$2:F738,1)</f>
        <v>2</v>
      </c>
      <c r="P738">
        <f t="shared" si="134"/>
        <v>0</v>
      </c>
      <c r="Q738" t="str">
        <f t="shared" si="137"/>
        <v>Monitor</v>
      </c>
      <c r="R738">
        <v>0</v>
      </c>
      <c r="S738">
        <f t="shared" si="138"/>
        <v>0</v>
      </c>
      <c r="T738">
        <f t="shared" si="139"/>
        <v>0</v>
      </c>
      <c r="U738" t="str">
        <f t="shared" si="140"/>
        <v>Not Improved Enough</v>
      </c>
      <c r="V738" t="str">
        <f t="shared" si="141"/>
        <v>Far</v>
      </c>
      <c r="W738" t="str">
        <f t="shared" si="142"/>
        <v>Normal</v>
      </c>
      <c r="X738" t="str">
        <f t="shared" si="143"/>
        <v>Allowed</v>
      </c>
    </row>
    <row r="739" spans="1:24" x14ac:dyDescent="0.3">
      <c r="A739" t="s">
        <v>23</v>
      </c>
      <c r="B739" t="s">
        <v>30</v>
      </c>
      <c r="C739" t="s">
        <v>26</v>
      </c>
      <c r="D739" s="3">
        <v>45808</v>
      </c>
      <c r="E739" s="6">
        <v>0.85950000000000004</v>
      </c>
      <c r="F739">
        <v>0</v>
      </c>
      <c r="G739" t="s">
        <v>17</v>
      </c>
      <c r="H739" s="6">
        <v>0.85</v>
      </c>
      <c r="I739" s="8">
        <v>7.5988983475212935E-2</v>
      </c>
      <c r="J739" s="5">
        <f t="shared" si="132"/>
        <v>1.8209321594669165E-2</v>
      </c>
      <c r="K739" s="5" cm="1">
        <f t="array" ref="K739">_xlfn.STDEV.S(IF($C:$C=C739,$I:$I))</f>
        <v>0.22834931756330515</v>
      </c>
      <c r="L739" s="7">
        <f t="shared" si="135"/>
        <v>0.25303190084868787</v>
      </c>
      <c r="M739">
        <f t="shared" si="133"/>
        <v>0</v>
      </c>
      <c r="N739" s="9">
        <f t="shared" si="136"/>
        <v>-1.1176470588235369E-2</v>
      </c>
      <c r="O739">
        <f>COUNTIFS($B$2:B739,B739,$C$2:C739,C739,$D$2:D739,"&lt;"&amp;D739,$F$2:F739,1)</f>
        <v>2</v>
      </c>
      <c r="P739">
        <f t="shared" si="134"/>
        <v>0</v>
      </c>
      <c r="Q739" t="str">
        <f t="shared" si="137"/>
        <v>Monitor</v>
      </c>
      <c r="R739">
        <v>0</v>
      </c>
      <c r="S739">
        <f t="shared" si="138"/>
        <v>0</v>
      </c>
      <c r="T739">
        <f t="shared" si="139"/>
        <v>0</v>
      </c>
      <c r="U739" t="str">
        <f t="shared" si="140"/>
        <v>Improved Enough</v>
      </c>
      <c r="V739" t="str">
        <f t="shared" si="141"/>
        <v>Close</v>
      </c>
      <c r="W739" t="str">
        <f t="shared" si="142"/>
        <v>Normal</v>
      </c>
      <c r="X739" t="str">
        <f t="shared" si="143"/>
        <v>Allowed</v>
      </c>
    </row>
    <row r="740" spans="1:24" x14ac:dyDescent="0.3">
      <c r="A740" t="s">
        <v>23</v>
      </c>
      <c r="B740" t="s">
        <v>30</v>
      </c>
      <c r="C740" t="s">
        <v>26</v>
      </c>
      <c r="D740" s="3">
        <v>45838</v>
      </c>
      <c r="E740" s="6">
        <v>0.86560000000000004</v>
      </c>
      <c r="F740">
        <v>0</v>
      </c>
      <c r="G740" t="s">
        <v>17</v>
      </c>
      <c r="H740" s="6">
        <v>0.85</v>
      </c>
      <c r="I740" s="8">
        <v>7.0971495055264623E-3</v>
      </c>
      <c r="J740" s="5">
        <f t="shared" si="132"/>
        <v>1.8209321594669165E-2</v>
      </c>
      <c r="K740" s="5" cm="1">
        <f t="array" ref="K740">_xlfn.STDEV.S(IF($C:$C=C740,$I:$I))</f>
        <v>0.22834931756330515</v>
      </c>
      <c r="L740" s="7">
        <f t="shared" si="135"/>
        <v>-4.8663040501805234E-2</v>
      </c>
      <c r="M740">
        <f t="shared" si="133"/>
        <v>0</v>
      </c>
      <c r="N740" s="9">
        <f t="shared" si="136"/>
        <v>-1.8352941176470659E-2</v>
      </c>
      <c r="O740">
        <f>COUNTIFS($B$2:B740,B740,$C$2:C740,C740,$D$2:D740,"&lt;"&amp;D740,$F$2:F740,1)</f>
        <v>2</v>
      </c>
      <c r="P740">
        <f t="shared" si="134"/>
        <v>0</v>
      </c>
      <c r="Q740" t="str">
        <f t="shared" si="137"/>
        <v>Monitor</v>
      </c>
      <c r="R740">
        <v>0</v>
      </c>
      <c r="S740">
        <f t="shared" si="138"/>
        <v>0</v>
      </c>
      <c r="T740">
        <f t="shared" si="139"/>
        <v>0</v>
      </c>
      <c r="U740" t="str">
        <f t="shared" si="140"/>
        <v>Not Improved Enough</v>
      </c>
      <c r="V740" t="str">
        <f t="shared" si="141"/>
        <v>Close</v>
      </c>
      <c r="W740" t="str">
        <f t="shared" si="142"/>
        <v>Normal</v>
      </c>
      <c r="X740" t="str">
        <f t="shared" si="143"/>
        <v>Allowed</v>
      </c>
    </row>
    <row r="741" spans="1:24" x14ac:dyDescent="0.3">
      <c r="A741" t="s">
        <v>23</v>
      </c>
      <c r="B741" t="s">
        <v>30</v>
      </c>
      <c r="C741" t="s">
        <v>26</v>
      </c>
      <c r="D741" s="3">
        <v>45869</v>
      </c>
      <c r="E741" s="6">
        <v>0.76</v>
      </c>
      <c r="F741">
        <v>0</v>
      </c>
      <c r="G741" t="s">
        <v>17</v>
      </c>
      <c r="H741" s="6">
        <v>0.85</v>
      </c>
      <c r="I741" s="8">
        <v>-0.12199630314232909</v>
      </c>
      <c r="J741" s="5">
        <f t="shared" si="132"/>
        <v>1.8209321594669165E-2</v>
      </c>
      <c r="K741" s="5" cm="1">
        <f t="array" ref="K741">_xlfn.STDEV.S(IF($C:$C=C741,$I:$I))</f>
        <v>0.22834931756330515</v>
      </c>
      <c r="L741" s="7">
        <f t="shared" si="135"/>
        <v>-0.61399625027619864</v>
      </c>
      <c r="M741">
        <f t="shared" si="133"/>
        <v>1</v>
      </c>
      <c r="N741" s="9">
        <f t="shared" si="136"/>
        <v>0.10588235294117644</v>
      </c>
      <c r="O741">
        <f>COUNTIFS($B$2:B741,B741,$C$2:C741,C741,$D$2:D741,"&lt;"&amp;D741,$F$2:F741,1)</f>
        <v>2</v>
      </c>
      <c r="P741">
        <f t="shared" si="134"/>
        <v>0</v>
      </c>
      <c r="Q741" t="str">
        <f t="shared" si="137"/>
        <v>Intervene</v>
      </c>
      <c r="R741">
        <v>0</v>
      </c>
      <c r="S741">
        <f t="shared" si="138"/>
        <v>1</v>
      </c>
      <c r="T741">
        <f t="shared" si="139"/>
        <v>1</v>
      </c>
      <c r="U741" t="str">
        <f t="shared" si="140"/>
        <v>Not Improved Enough</v>
      </c>
      <c r="V741" t="str">
        <f t="shared" si="141"/>
        <v>Far</v>
      </c>
      <c r="W741" t="str">
        <f t="shared" si="142"/>
        <v>Abnormal</v>
      </c>
      <c r="X741" t="str">
        <f t="shared" si="143"/>
        <v>Allowed</v>
      </c>
    </row>
    <row r="742" spans="1:24" x14ac:dyDescent="0.3">
      <c r="A742" t="s">
        <v>23</v>
      </c>
      <c r="B742" t="s">
        <v>30</v>
      </c>
      <c r="C742" t="s">
        <v>26</v>
      </c>
      <c r="D742" s="3">
        <v>45900</v>
      </c>
      <c r="E742" s="6">
        <v>0.76100000000000001</v>
      </c>
      <c r="F742">
        <v>0</v>
      </c>
      <c r="G742" t="s">
        <v>17</v>
      </c>
      <c r="H742" s="6">
        <v>0.85</v>
      </c>
      <c r="I742" s="8">
        <v>1.315789473684212E-3</v>
      </c>
      <c r="J742" s="5">
        <f t="shared" si="132"/>
        <v>1.8209321594669165E-2</v>
      </c>
      <c r="K742" s="5" cm="1">
        <f t="array" ref="K742">_xlfn.STDEV.S(IF($C:$C=C742,$I:$I))</f>
        <v>0.22834931756330515</v>
      </c>
      <c r="L742" s="7">
        <f t="shared" si="135"/>
        <v>-7.3981093095675965E-2</v>
      </c>
      <c r="M742">
        <f t="shared" si="133"/>
        <v>0</v>
      </c>
      <c r="N742" s="9">
        <f t="shared" si="136"/>
        <v>0.10470588235294113</v>
      </c>
      <c r="O742">
        <f>COUNTIFS($B$2:B742,B742,$C$2:C742,C742,$D$2:D742,"&lt;"&amp;D742,$F$2:F742,1)</f>
        <v>2</v>
      </c>
      <c r="P742">
        <f t="shared" si="134"/>
        <v>0</v>
      </c>
      <c r="Q742" t="str">
        <f t="shared" si="137"/>
        <v>Monitor</v>
      </c>
      <c r="R742">
        <v>0</v>
      </c>
      <c r="S742">
        <f t="shared" si="138"/>
        <v>0</v>
      </c>
      <c r="T742">
        <f t="shared" si="139"/>
        <v>0</v>
      </c>
      <c r="U742" t="str">
        <f t="shared" si="140"/>
        <v>Not Improved Enough</v>
      </c>
      <c r="V742" t="str">
        <f t="shared" si="141"/>
        <v>Far</v>
      </c>
      <c r="W742" t="str">
        <f t="shared" si="142"/>
        <v>Normal</v>
      </c>
      <c r="X742" t="str">
        <f t="shared" si="143"/>
        <v>Allowed</v>
      </c>
    </row>
    <row r="743" spans="1:24" x14ac:dyDescent="0.3">
      <c r="A743" t="s">
        <v>23</v>
      </c>
      <c r="B743" t="s">
        <v>30</v>
      </c>
      <c r="C743" t="s">
        <v>26</v>
      </c>
      <c r="D743" s="3">
        <v>45930</v>
      </c>
      <c r="E743" s="6">
        <v>0.83799999999999997</v>
      </c>
      <c r="F743">
        <v>0</v>
      </c>
      <c r="G743" t="s">
        <v>17</v>
      </c>
      <c r="H743" s="6">
        <v>0.85</v>
      </c>
      <c r="I743" s="8">
        <v>0.1011826544021024</v>
      </c>
      <c r="J743" s="5">
        <f t="shared" si="132"/>
        <v>1.8209321594669165E-2</v>
      </c>
      <c r="K743" s="5" cm="1">
        <f t="array" ref="K743">_xlfn.STDEV.S(IF($C:$C=C743,$I:$I))</f>
        <v>0.22834931756330515</v>
      </c>
      <c r="L743" s="7">
        <f t="shared" si="135"/>
        <v>0.36336142228421853</v>
      </c>
      <c r="M743">
        <f t="shared" si="133"/>
        <v>0</v>
      </c>
      <c r="N743" s="9">
        <f t="shared" si="136"/>
        <v>1.4117647058823542E-2</v>
      </c>
      <c r="O743">
        <f>COUNTIFS($B$2:B743,B743,$C$2:C743,C743,$D$2:D743,"&lt;"&amp;D743,$F$2:F743,1)</f>
        <v>2</v>
      </c>
      <c r="P743">
        <f t="shared" si="134"/>
        <v>0</v>
      </c>
      <c r="Q743" t="str">
        <f t="shared" si="137"/>
        <v>Monitor</v>
      </c>
      <c r="R743">
        <v>0</v>
      </c>
      <c r="S743">
        <f t="shared" si="138"/>
        <v>0</v>
      </c>
      <c r="T743">
        <f t="shared" si="139"/>
        <v>0</v>
      </c>
      <c r="U743" t="str">
        <f t="shared" si="140"/>
        <v>Improved Enough</v>
      </c>
      <c r="V743" t="str">
        <f t="shared" si="141"/>
        <v>Close</v>
      </c>
      <c r="W743" t="str">
        <f t="shared" si="142"/>
        <v>Normal</v>
      </c>
      <c r="X743" t="str">
        <f t="shared" si="143"/>
        <v>Allowed</v>
      </c>
    </row>
    <row r="744" spans="1:24" x14ac:dyDescent="0.3">
      <c r="A744" t="s">
        <v>23</v>
      </c>
      <c r="B744" t="s">
        <v>30</v>
      </c>
      <c r="C744" t="s">
        <v>26</v>
      </c>
      <c r="D744" s="3">
        <v>45961</v>
      </c>
      <c r="E744" s="6">
        <v>0.874</v>
      </c>
      <c r="F744">
        <v>0</v>
      </c>
      <c r="G744" t="s">
        <v>17</v>
      </c>
      <c r="H744" s="6">
        <v>0.85</v>
      </c>
      <c r="I744" s="8">
        <v>4.295942720763727E-2</v>
      </c>
      <c r="J744" s="5">
        <f t="shared" si="132"/>
        <v>1.8209321594669165E-2</v>
      </c>
      <c r="K744" s="5" cm="1">
        <f t="array" ref="K744">_xlfn.STDEV.S(IF($C:$C=C744,$I:$I))</f>
        <v>0.22834931756330515</v>
      </c>
      <c r="L744" s="7">
        <f t="shared" si="135"/>
        <v>0.10838703560437245</v>
      </c>
      <c r="M744">
        <f t="shared" si="133"/>
        <v>0</v>
      </c>
      <c r="N744" s="9">
        <f t="shared" si="136"/>
        <v>-2.8235294117647084E-2</v>
      </c>
      <c r="O744">
        <f>COUNTIFS($B$2:B744,B744,$C$2:C744,C744,$D$2:D744,"&lt;"&amp;D744,$F$2:F744,1)</f>
        <v>2</v>
      </c>
      <c r="P744">
        <f t="shared" si="134"/>
        <v>0</v>
      </c>
      <c r="Q744" t="str">
        <f t="shared" si="137"/>
        <v>Monitor</v>
      </c>
      <c r="R744">
        <v>0</v>
      </c>
      <c r="S744">
        <f t="shared" si="138"/>
        <v>0</v>
      </c>
      <c r="T744">
        <f t="shared" si="139"/>
        <v>0</v>
      </c>
      <c r="U744" t="str">
        <f t="shared" si="140"/>
        <v>Improved Enough</v>
      </c>
      <c r="V744" t="str">
        <f t="shared" si="141"/>
        <v>Close</v>
      </c>
      <c r="W744" t="str">
        <f t="shared" si="142"/>
        <v>Normal</v>
      </c>
      <c r="X744" t="str">
        <f t="shared" si="143"/>
        <v>Allowed</v>
      </c>
    </row>
    <row r="745" spans="1:24" x14ac:dyDescent="0.3">
      <c r="A745" t="s">
        <v>23</v>
      </c>
      <c r="B745" t="s">
        <v>30</v>
      </c>
      <c r="C745" t="s">
        <v>26</v>
      </c>
      <c r="D745" s="3">
        <v>45991</v>
      </c>
      <c r="E745" s="6">
        <v>0.874</v>
      </c>
      <c r="F745">
        <v>0</v>
      </c>
      <c r="G745" t="s">
        <v>17</v>
      </c>
      <c r="H745" s="6">
        <v>0.85</v>
      </c>
      <c r="I745" s="8">
        <v>0</v>
      </c>
      <c r="J745" s="5">
        <f t="shared" si="132"/>
        <v>1.8209321594669165E-2</v>
      </c>
      <c r="K745" s="5" cm="1">
        <f t="array" ref="K745">_xlfn.STDEV.S(IF($C:$C=C745,$I:$I))</f>
        <v>0.22834931756330515</v>
      </c>
      <c r="L745" s="7">
        <f t="shared" si="135"/>
        <v>-7.9743271357143444E-2</v>
      </c>
      <c r="M745">
        <f t="shared" si="133"/>
        <v>0</v>
      </c>
      <c r="N745" s="9">
        <f t="shared" si="136"/>
        <v>-2.8235294117647084E-2</v>
      </c>
      <c r="O745">
        <f>COUNTIFS($B$2:B745,B745,$C$2:C745,C745,$D$2:D745,"&lt;"&amp;D745,$F$2:F745,1)</f>
        <v>2</v>
      </c>
      <c r="P745">
        <f t="shared" si="134"/>
        <v>0</v>
      </c>
      <c r="Q745" t="str">
        <f t="shared" si="137"/>
        <v>Monitor</v>
      </c>
      <c r="R745">
        <v>0</v>
      </c>
      <c r="S745">
        <f t="shared" si="138"/>
        <v>0</v>
      </c>
      <c r="T745">
        <f t="shared" si="139"/>
        <v>0</v>
      </c>
      <c r="U745" t="str">
        <f t="shared" si="140"/>
        <v>Not Improved Enough</v>
      </c>
      <c r="V745" t="str">
        <f t="shared" si="141"/>
        <v>Close</v>
      </c>
      <c r="W745" t="str">
        <f t="shared" si="142"/>
        <v>Normal</v>
      </c>
      <c r="X745" t="str">
        <f t="shared" si="143"/>
        <v>Allowed</v>
      </c>
    </row>
    <row r="746" spans="1:24" x14ac:dyDescent="0.3">
      <c r="A746" t="s">
        <v>23</v>
      </c>
      <c r="B746" t="s">
        <v>30</v>
      </c>
      <c r="C746" t="s">
        <v>27</v>
      </c>
      <c r="D746" s="3">
        <v>45535</v>
      </c>
      <c r="E746" s="6">
        <v>0.70109999999999995</v>
      </c>
      <c r="F746">
        <v>0</v>
      </c>
      <c r="G746" t="s">
        <v>17</v>
      </c>
      <c r="H746" s="6">
        <v>0.7</v>
      </c>
      <c r="I746" s="8">
        <v>9.0527298180121188E-2</v>
      </c>
      <c r="J746" s="5">
        <f t="shared" si="132"/>
        <v>1.9288787744816144E-2</v>
      </c>
      <c r="K746" s="5" cm="1">
        <f t="array" ref="K746">_xlfn.STDEV.S(IF($C:$C=C746,$I:$I))</f>
        <v>0.27585788879837708</v>
      </c>
      <c r="L746" s="7">
        <f t="shared" si="135"/>
        <v>0.25824351351928476</v>
      </c>
      <c r="M746">
        <f t="shared" si="133"/>
        <v>0</v>
      </c>
      <c r="N746" s="9">
        <f t="shared" si="136"/>
        <v>-1.571428571428557E-3</v>
      </c>
      <c r="O746">
        <f>COUNTIFS($B$2:B746,B746,$C$2:C746,C746,$D$2:D746,"&lt;"&amp;D746,$F$2:F746,1)</f>
        <v>0</v>
      </c>
      <c r="P746">
        <f t="shared" si="134"/>
        <v>0</v>
      </c>
      <c r="Q746" t="str">
        <f t="shared" si="137"/>
        <v>Monitor</v>
      </c>
      <c r="R746">
        <v>0</v>
      </c>
      <c r="S746">
        <f t="shared" si="138"/>
        <v>0</v>
      </c>
      <c r="T746">
        <f t="shared" si="139"/>
        <v>0</v>
      </c>
      <c r="U746" t="str">
        <f t="shared" si="140"/>
        <v>Improved Enough</v>
      </c>
      <c r="V746" t="str">
        <f t="shared" si="141"/>
        <v>Close</v>
      </c>
      <c r="W746" t="str">
        <f t="shared" si="142"/>
        <v>Normal</v>
      </c>
      <c r="X746" t="str">
        <f t="shared" si="143"/>
        <v>Allowed</v>
      </c>
    </row>
    <row r="747" spans="1:24" x14ac:dyDescent="0.3">
      <c r="A747" t="s">
        <v>23</v>
      </c>
      <c r="B747" t="s">
        <v>30</v>
      </c>
      <c r="C747" t="s">
        <v>27</v>
      </c>
      <c r="D747" s="3">
        <v>45565</v>
      </c>
      <c r="E747" s="6">
        <v>0.57889999999999997</v>
      </c>
      <c r="F747">
        <v>0</v>
      </c>
      <c r="G747" t="s">
        <v>17</v>
      </c>
      <c r="H747" s="6">
        <v>0.7</v>
      </c>
      <c r="I747" s="8">
        <v>-0.1742975324490087</v>
      </c>
      <c r="J747" s="5">
        <f t="shared" si="132"/>
        <v>1.9288787744816144E-2</v>
      </c>
      <c r="K747" s="5" cm="1">
        <f t="array" ref="K747">_xlfn.STDEV.S(IF($C:$C=C747,$I:$I))</f>
        <v>0.27585788879837708</v>
      </c>
      <c r="L747" s="7">
        <f t="shared" si="135"/>
        <v>-0.70176104456202792</v>
      </c>
      <c r="M747">
        <f t="shared" si="133"/>
        <v>1</v>
      </c>
      <c r="N747" s="9">
        <f t="shared" si="136"/>
        <v>0.17299999999999999</v>
      </c>
      <c r="O747">
        <f>COUNTIFS($B$2:B747,B747,$C$2:C747,C747,$D$2:D747,"&lt;"&amp;D747,$F$2:F747,1)</f>
        <v>0</v>
      </c>
      <c r="P747">
        <f t="shared" si="134"/>
        <v>0</v>
      </c>
      <c r="Q747" t="str">
        <f t="shared" si="137"/>
        <v>Intervene</v>
      </c>
      <c r="R747">
        <v>0</v>
      </c>
      <c r="S747">
        <f t="shared" si="138"/>
        <v>1</v>
      </c>
      <c r="T747">
        <f t="shared" si="139"/>
        <v>1</v>
      </c>
      <c r="U747" t="str">
        <f t="shared" si="140"/>
        <v>Not Improved Enough</v>
      </c>
      <c r="V747" t="str">
        <f t="shared" si="141"/>
        <v>Far</v>
      </c>
      <c r="W747" t="str">
        <f t="shared" si="142"/>
        <v>Abnormal</v>
      </c>
      <c r="X747" t="str">
        <f t="shared" si="143"/>
        <v>Allowed</v>
      </c>
    </row>
    <row r="748" spans="1:24" x14ac:dyDescent="0.3">
      <c r="A748" t="s">
        <v>23</v>
      </c>
      <c r="B748" t="s">
        <v>30</v>
      </c>
      <c r="C748" t="s">
        <v>27</v>
      </c>
      <c r="D748" s="3">
        <v>45596</v>
      </c>
      <c r="E748" s="6">
        <v>0.64549999999999996</v>
      </c>
      <c r="F748">
        <v>0</v>
      </c>
      <c r="G748" t="s">
        <v>17</v>
      </c>
      <c r="H748" s="6">
        <v>0.7</v>
      </c>
      <c r="I748" s="8">
        <v>0.1150457764726205</v>
      </c>
      <c r="J748" s="5">
        <f t="shared" si="132"/>
        <v>1.9288787744816144E-2</v>
      </c>
      <c r="K748" s="5" cm="1">
        <f t="array" ref="K748">_xlfn.STDEV.S(IF($C:$C=C748,$I:$I))</f>
        <v>0.27585788879837708</v>
      </c>
      <c r="L748" s="7">
        <f t="shared" si="135"/>
        <v>0.3471243441502323</v>
      </c>
      <c r="M748">
        <f t="shared" si="133"/>
        <v>0</v>
      </c>
      <c r="N748" s="9">
        <f t="shared" si="136"/>
        <v>7.7857142857142847E-2</v>
      </c>
      <c r="O748">
        <f>COUNTIFS($B$2:B748,B748,$C$2:C748,C748,$D$2:D748,"&lt;"&amp;D748,$F$2:F748,1)</f>
        <v>0</v>
      </c>
      <c r="P748">
        <f t="shared" si="134"/>
        <v>0</v>
      </c>
      <c r="Q748" t="str">
        <f t="shared" si="137"/>
        <v>Monitor</v>
      </c>
      <c r="R748">
        <v>0</v>
      </c>
      <c r="S748">
        <f t="shared" si="138"/>
        <v>0</v>
      </c>
      <c r="T748">
        <f t="shared" si="139"/>
        <v>0</v>
      </c>
      <c r="U748" t="str">
        <f t="shared" si="140"/>
        <v>Improved Enough</v>
      </c>
      <c r="V748" t="str">
        <f t="shared" si="141"/>
        <v>Far</v>
      </c>
      <c r="W748" t="str">
        <f t="shared" si="142"/>
        <v>Normal</v>
      </c>
      <c r="X748" t="str">
        <f t="shared" si="143"/>
        <v>Allowed</v>
      </c>
    </row>
    <row r="749" spans="1:24" x14ac:dyDescent="0.3">
      <c r="A749" t="s">
        <v>23</v>
      </c>
      <c r="B749" t="s">
        <v>30</v>
      </c>
      <c r="C749" t="s">
        <v>27</v>
      </c>
      <c r="D749" s="3">
        <v>45626</v>
      </c>
      <c r="E749" s="6">
        <v>0.70589999999999997</v>
      </c>
      <c r="F749">
        <v>0</v>
      </c>
      <c r="G749" t="s">
        <v>17</v>
      </c>
      <c r="H749" s="6">
        <v>0.7</v>
      </c>
      <c r="I749" s="8">
        <v>9.3570875290472519E-2</v>
      </c>
      <c r="J749" s="5">
        <f t="shared" si="132"/>
        <v>1.9288787744816144E-2</v>
      </c>
      <c r="K749" s="5" cm="1">
        <f t="array" ref="K749">_xlfn.STDEV.S(IF($C:$C=C749,$I:$I))</f>
        <v>0.27585788879837708</v>
      </c>
      <c r="L749" s="7">
        <f t="shared" si="135"/>
        <v>0.26927664773055926</v>
      </c>
      <c r="M749">
        <f t="shared" si="133"/>
        <v>0</v>
      </c>
      <c r="N749" s="9">
        <f t="shared" si="136"/>
        <v>-8.4285714285714519E-3</v>
      </c>
      <c r="O749">
        <f>COUNTIFS($B$2:B749,B749,$C$2:C749,C749,$D$2:D749,"&lt;"&amp;D749,$F$2:F749,1)</f>
        <v>0</v>
      </c>
      <c r="P749">
        <f t="shared" si="134"/>
        <v>0</v>
      </c>
      <c r="Q749" t="str">
        <f t="shared" si="137"/>
        <v>Monitor</v>
      </c>
      <c r="R749">
        <v>0</v>
      </c>
      <c r="S749">
        <f t="shared" si="138"/>
        <v>0</v>
      </c>
      <c r="T749">
        <f t="shared" si="139"/>
        <v>0</v>
      </c>
      <c r="U749" t="str">
        <f t="shared" si="140"/>
        <v>Improved Enough</v>
      </c>
      <c r="V749" t="str">
        <f t="shared" si="141"/>
        <v>Close</v>
      </c>
      <c r="W749" t="str">
        <f t="shared" si="142"/>
        <v>Normal</v>
      </c>
      <c r="X749" t="str">
        <f t="shared" si="143"/>
        <v>Allowed</v>
      </c>
    </row>
    <row r="750" spans="1:24" x14ac:dyDescent="0.3">
      <c r="A750" t="s">
        <v>23</v>
      </c>
      <c r="B750" t="s">
        <v>30</v>
      </c>
      <c r="C750" t="s">
        <v>27</v>
      </c>
      <c r="D750" s="3">
        <v>45657</v>
      </c>
      <c r="E750" s="6">
        <v>0.65739999999999998</v>
      </c>
      <c r="F750">
        <v>0</v>
      </c>
      <c r="G750" t="s">
        <v>17</v>
      </c>
      <c r="H750" s="6">
        <v>0.7</v>
      </c>
      <c r="I750" s="8">
        <v>-6.8706615667941617E-2</v>
      </c>
      <c r="J750" s="5">
        <f t="shared" si="132"/>
        <v>1.9288787744816144E-2</v>
      </c>
      <c r="K750" s="5" cm="1">
        <f t="array" ref="K750">_xlfn.STDEV.S(IF($C:$C=C750,$I:$I))</f>
        <v>0.27585788879837708</v>
      </c>
      <c r="L750" s="7">
        <f t="shared" si="135"/>
        <v>-0.31898817103277799</v>
      </c>
      <c r="M750">
        <f t="shared" si="133"/>
        <v>0</v>
      </c>
      <c r="N750" s="9">
        <f t="shared" si="136"/>
        <v>6.0857142857142818E-2</v>
      </c>
      <c r="O750">
        <f>COUNTIFS($B$2:B750,B750,$C$2:C750,C750,$D$2:D750,"&lt;"&amp;D750,$F$2:F750,1)</f>
        <v>0</v>
      </c>
      <c r="P750">
        <f t="shared" si="134"/>
        <v>0</v>
      </c>
      <c r="Q750" t="str">
        <f t="shared" si="137"/>
        <v>Monitor</v>
      </c>
      <c r="R750">
        <v>0</v>
      </c>
      <c r="S750">
        <f t="shared" si="138"/>
        <v>0</v>
      </c>
      <c r="T750">
        <f t="shared" si="139"/>
        <v>0</v>
      </c>
      <c r="U750" t="str">
        <f t="shared" si="140"/>
        <v>Not Improved Enough</v>
      </c>
      <c r="V750" t="str">
        <f t="shared" si="141"/>
        <v>Far</v>
      </c>
      <c r="W750" t="str">
        <f t="shared" si="142"/>
        <v>Normal</v>
      </c>
      <c r="X750" t="str">
        <f t="shared" si="143"/>
        <v>Allowed</v>
      </c>
    </row>
    <row r="751" spans="1:24" x14ac:dyDescent="0.3">
      <c r="A751" t="s">
        <v>23</v>
      </c>
      <c r="B751" t="s">
        <v>30</v>
      </c>
      <c r="C751" t="s">
        <v>27</v>
      </c>
      <c r="D751" s="3">
        <v>45688</v>
      </c>
      <c r="E751" s="6">
        <v>0.61419999999999997</v>
      </c>
      <c r="F751">
        <v>0</v>
      </c>
      <c r="G751" t="s">
        <v>17</v>
      </c>
      <c r="H751" s="6">
        <v>0.7</v>
      </c>
      <c r="I751" s="8">
        <v>-6.57134164891999E-2</v>
      </c>
      <c r="J751" s="5">
        <f t="shared" si="132"/>
        <v>1.9288787744816144E-2</v>
      </c>
      <c r="K751" s="5" cm="1">
        <f t="array" ref="K751">_xlfn.STDEV.S(IF($C:$C=C751,$I:$I))</f>
        <v>0.27585788879837708</v>
      </c>
      <c r="L751" s="7">
        <f t="shared" si="135"/>
        <v>-0.30813765959089051</v>
      </c>
      <c r="M751">
        <f t="shared" si="133"/>
        <v>0</v>
      </c>
      <c r="N751" s="9">
        <f t="shared" si="136"/>
        <v>0.12257142857142857</v>
      </c>
      <c r="O751">
        <f>COUNTIFS($B$2:B751,B751,$C$2:C751,C751,$D$2:D751,"&lt;"&amp;D751,$F$2:F751,1)</f>
        <v>0</v>
      </c>
      <c r="P751">
        <f t="shared" si="134"/>
        <v>0</v>
      </c>
      <c r="Q751" t="str">
        <f t="shared" si="137"/>
        <v>Monitor</v>
      </c>
      <c r="R751">
        <v>0</v>
      </c>
      <c r="S751">
        <f t="shared" si="138"/>
        <v>0</v>
      </c>
      <c r="T751">
        <f t="shared" si="139"/>
        <v>0</v>
      </c>
      <c r="U751" t="str">
        <f t="shared" si="140"/>
        <v>Not Improved Enough</v>
      </c>
      <c r="V751" t="str">
        <f t="shared" si="141"/>
        <v>Far</v>
      </c>
      <c r="W751" t="str">
        <f t="shared" si="142"/>
        <v>Normal</v>
      </c>
      <c r="X751" t="str">
        <f t="shared" si="143"/>
        <v>Allowed</v>
      </c>
    </row>
    <row r="752" spans="1:24" x14ac:dyDescent="0.3">
      <c r="A752" t="s">
        <v>23</v>
      </c>
      <c r="B752" t="s">
        <v>30</v>
      </c>
      <c r="C752" t="s">
        <v>27</v>
      </c>
      <c r="D752" s="3">
        <v>45716</v>
      </c>
      <c r="E752" s="6">
        <v>0.73019999999999996</v>
      </c>
      <c r="F752">
        <v>0</v>
      </c>
      <c r="G752" t="s">
        <v>17</v>
      </c>
      <c r="H752" s="6">
        <v>0.7</v>
      </c>
      <c r="I752" s="8">
        <v>0.18886356235753829</v>
      </c>
      <c r="J752" s="5">
        <f t="shared" si="132"/>
        <v>1.9288787744816144E-2</v>
      </c>
      <c r="K752" s="5" cm="1">
        <f t="array" ref="K752">_xlfn.STDEV.S(IF($C:$C=C752,$I:$I))</f>
        <v>0.27585788879837708</v>
      </c>
      <c r="L752" s="7">
        <f t="shared" si="135"/>
        <v>0.61471787285613333</v>
      </c>
      <c r="M752">
        <f t="shared" si="133"/>
        <v>-1</v>
      </c>
      <c r="N752" s="9">
        <f t="shared" si="136"/>
        <v>-4.3142857142857149E-2</v>
      </c>
      <c r="O752">
        <f>COUNTIFS($B$2:B752,B752,$C$2:C752,C752,$D$2:D752,"&lt;"&amp;D752,$F$2:F752,1)</f>
        <v>0</v>
      </c>
      <c r="P752">
        <f t="shared" si="134"/>
        <v>0</v>
      </c>
      <c r="Q752" t="str">
        <f t="shared" si="137"/>
        <v>Monitor</v>
      </c>
      <c r="R752">
        <v>0</v>
      </c>
      <c r="S752">
        <f t="shared" si="138"/>
        <v>0</v>
      </c>
      <c r="T752">
        <f t="shared" si="139"/>
        <v>0</v>
      </c>
      <c r="U752" t="str">
        <f t="shared" si="140"/>
        <v>Improved Enough</v>
      </c>
      <c r="V752" t="str">
        <f t="shared" si="141"/>
        <v>Close</v>
      </c>
      <c r="W752" t="str">
        <f t="shared" si="142"/>
        <v>Normal</v>
      </c>
      <c r="X752" t="str">
        <f t="shared" si="143"/>
        <v>Allowed</v>
      </c>
    </row>
    <row r="753" spans="1:24" x14ac:dyDescent="0.3">
      <c r="A753" t="s">
        <v>23</v>
      </c>
      <c r="B753" t="s">
        <v>30</v>
      </c>
      <c r="C753" t="s">
        <v>27</v>
      </c>
      <c r="D753" s="3">
        <v>45747</v>
      </c>
      <c r="E753" s="6">
        <v>0.76160000000000005</v>
      </c>
      <c r="F753">
        <v>0</v>
      </c>
      <c r="G753" t="s">
        <v>17</v>
      </c>
      <c r="H753" s="6">
        <v>0.7</v>
      </c>
      <c r="I753" s="8">
        <v>4.3001917282936307E-2</v>
      </c>
      <c r="J753" s="5">
        <f t="shared" si="132"/>
        <v>1.9288787744816144E-2</v>
      </c>
      <c r="K753" s="5" cm="1">
        <f t="array" ref="K753">_xlfn.STDEV.S(IF($C:$C=C753,$I:$I))</f>
        <v>0.27585788879837708</v>
      </c>
      <c r="L753" s="7">
        <f t="shared" si="135"/>
        <v>8.5961397157838584E-2</v>
      </c>
      <c r="M753">
        <f t="shared" si="133"/>
        <v>0</v>
      </c>
      <c r="N753" s="9">
        <f t="shared" si="136"/>
        <v>-8.8000000000000148E-2</v>
      </c>
      <c r="O753">
        <f>COUNTIFS($B$2:B753,B753,$C$2:C753,C753,$D$2:D753,"&lt;"&amp;D753,$F$2:F753,1)</f>
        <v>0</v>
      </c>
      <c r="P753">
        <f t="shared" si="134"/>
        <v>0</v>
      </c>
      <c r="Q753" t="str">
        <f t="shared" si="137"/>
        <v>Monitor</v>
      </c>
      <c r="R753">
        <v>0</v>
      </c>
      <c r="S753">
        <f t="shared" si="138"/>
        <v>0</v>
      </c>
      <c r="T753">
        <f t="shared" si="139"/>
        <v>0</v>
      </c>
      <c r="U753" t="str">
        <f t="shared" si="140"/>
        <v>Improved Enough</v>
      </c>
      <c r="V753" t="str">
        <f t="shared" si="141"/>
        <v>Close</v>
      </c>
      <c r="W753" t="str">
        <f t="shared" si="142"/>
        <v>Normal</v>
      </c>
      <c r="X753" t="str">
        <f t="shared" si="143"/>
        <v>Allowed</v>
      </c>
    </row>
    <row r="754" spans="1:24" x14ac:dyDescent="0.3">
      <c r="A754" t="s">
        <v>23</v>
      </c>
      <c r="B754" t="s">
        <v>30</v>
      </c>
      <c r="C754" t="s">
        <v>27</v>
      </c>
      <c r="D754" s="3">
        <v>45777</v>
      </c>
      <c r="E754" s="6">
        <v>0.75</v>
      </c>
      <c r="F754">
        <v>0</v>
      </c>
      <c r="G754" t="s">
        <v>17</v>
      </c>
      <c r="H754" s="6">
        <v>0.7</v>
      </c>
      <c r="I754" s="8">
        <v>-1.5231092436974861E-2</v>
      </c>
      <c r="J754" s="5">
        <f t="shared" si="132"/>
        <v>1.9288787744816144E-2</v>
      </c>
      <c r="K754" s="5" cm="1">
        <f t="array" ref="K754">_xlfn.STDEV.S(IF($C:$C=C754,$I:$I))</f>
        <v>0.27585788879837708</v>
      </c>
      <c r="L754" s="7">
        <f t="shared" si="135"/>
        <v>-0.12513646186504884</v>
      </c>
      <c r="M754">
        <f t="shared" si="133"/>
        <v>0</v>
      </c>
      <c r="N754" s="9">
        <f t="shared" si="136"/>
        <v>-7.1428571428571494E-2</v>
      </c>
      <c r="O754">
        <f>COUNTIFS($B$2:B754,B754,$C$2:C754,C754,$D$2:D754,"&lt;"&amp;D754,$F$2:F754,1)</f>
        <v>0</v>
      </c>
      <c r="P754">
        <f t="shared" si="134"/>
        <v>0</v>
      </c>
      <c r="Q754" t="str">
        <f t="shared" si="137"/>
        <v>Monitor</v>
      </c>
      <c r="R754">
        <v>0</v>
      </c>
      <c r="S754">
        <f t="shared" si="138"/>
        <v>0</v>
      </c>
      <c r="T754">
        <f t="shared" si="139"/>
        <v>0</v>
      </c>
      <c r="U754" t="str">
        <f t="shared" si="140"/>
        <v>Not Improved Enough</v>
      </c>
      <c r="V754" t="str">
        <f t="shared" si="141"/>
        <v>Close</v>
      </c>
      <c r="W754" t="str">
        <f t="shared" si="142"/>
        <v>Normal</v>
      </c>
      <c r="X754" t="str">
        <f t="shared" si="143"/>
        <v>Allowed</v>
      </c>
    </row>
    <row r="755" spans="1:24" x14ac:dyDescent="0.3">
      <c r="A755" t="s">
        <v>23</v>
      </c>
      <c r="B755" t="s">
        <v>30</v>
      </c>
      <c r="C755" t="s">
        <v>27</v>
      </c>
      <c r="D755" s="3">
        <v>45808</v>
      </c>
      <c r="E755" s="6">
        <v>0.71899999999999997</v>
      </c>
      <c r="F755">
        <v>0</v>
      </c>
      <c r="G755" t="s">
        <v>17</v>
      </c>
      <c r="H755" s="6">
        <v>0.7</v>
      </c>
      <c r="I755" s="8">
        <v>-4.1333333333333368E-2</v>
      </c>
      <c r="J755" s="5">
        <f t="shared" si="132"/>
        <v>1.9288787744816144E-2</v>
      </c>
      <c r="K755" s="5" cm="1">
        <f t="array" ref="K755">_xlfn.STDEV.S(IF($C:$C=C755,$I:$I))</f>
        <v>0.27585788879837708</v>
      </c>
      <c r="L755" s="7">
        <f t="shared" si="135"/>
        <v>-0.21975851893239809</v>
      </c>
      <c r="M755">
        <f t="shared" si="133"/>
        <v>0</v>
      </c>
      <c r="N755" s="9">
        <f t="shared" si="136"/>
        <v>-2.714285714285717E-2</v>
      </c>
      <c r="O755">
        <f>COUNTIFS($B$2:B755,B755,$C$2:C755,C755,$D$2:D755,"&lt;"&amp;D755,$F$2:F755,1)</f>
        <v>0</v>
      </c>
      <c r="P755">
        <f t="shared" si="134"/>
        <v>0</v>
      </c>
      <c r="Q755" t="str">
        <f t="shared" si="137"/>
        <v>Monitor</v>
      </c>
      <c r="R755">
        <v>0</v>
      </c>
      <c r="S755">
        <f t="shared" si="138"/>
        <v>0</v>
      </c>
      <c r="T755">
        <f t="shared" si="139"/>
        <v>0</v>
      </c>
      <c r="U755" t="str">
        <f t="shared" si="140"/>
        <v>Not Improved Enough</v>
      </c>
      <c r="V755" t="str">
        <f t="shared" si="141"/>
        <v>Close</v>
      </c>
      <c r="W755" t="str">
        <f t="shared" si="142"/>
        <v>Normal</v>
      </c>
      <c r="X755" t="str">
        <f t="shared" si="143"/>
        <v>Allowed</v>
      </c>
    </row>
    <row r="756" spans="1:24" x14ac:dyDescent="0.3">
      <c r="A756" t="s">
        <v>23</v>
      </c>
      <c r="B756" t="s">
        <v>30</v>
      </c>
      <c r="C756" t="s">
        <v>27</v>
      </c>
      <c r="D756" s="3">
        <v>45838</v>
      </c>
      <c r="E756" s="6">
        <v>0.8034</v>
      </c>
      <c r="F756">
        <v>0</v>
      </c>
      <c r="G756" t="s">
        <v>17</v>
      </c>
      <c r="H756" s="6">
        <v>0.7</v>
      </c>
      <c r="I756" s="8">
        <v>0.1173852573018081</v>
      </c>
      <c r="J756" s="5">
        <f t="shared" si="132"/>
        <v>1.9288787744816144E-2</v>
      </c>
      <c r="K756" s="5" cm="1">
        <f t="array" ref="K756">_xlfn.STDEV.S(IF($C:$C=C756,$I:$I))</f>
        <v>0.27585788879837708</v>
      </c>
      <c r="L756" s="7">
        <f t="shared" si="135"/>
        <v>0.35560509066568724</v>
      </c>
      <c r="M756">
        <f t="shared" si="133"/>
        <v>0</v>
      </c>
      <c r="N756" s="9">
        <f t="shared" si="136"/>
        <v>-0.1477142857142858</v>
      </c>
      <c r="O756">
        <f>COUNTIFS($B$2:B756,B756,$C$2:C756,C756,$D$2:D756,"&lt;"&amp;D756,$F$2:F756,1)</f>
        <v>0</v>
      </c>
      <c r="P756">
        <f t="shared" si="134"/>
        <v>0</v>
      </c>
      <c r="Q756" t="str">
        <f t="shared" si="137"/>
        <v>Monitor</v>
      </c>
      <c r="R756">
        <v>0</v>
      </c>
      <c r="S756">
        <f t="shared" si="138"/>
        <v>0</v>
      </c>
      <c r="T756">
        <f t="shared" si="139"/>
        <v>0</v>
      </c>
      <c r="U756" t="str">
        <f t="shared" si="140"/>
        <v>Improved Enough</v>
      </c>
      <c r="V756" t="str">
        <f t="shared" si="141"/>
        <v>Close</v>
      </c>
      <c r="W756" t="str">
        <f t="shared" si="142"/>
        <v>Normal</v>
      </c>
      <c r="X756" t="str">
        <f t="shared" si="143"/>
        <v>Allowed</v>
      </c>
    </row>
    <row r="757" spans="1:24" x14ac:dyDescent="0.3">
      <c r="A757" t="s">
        <v>23</v>
      </c>
      <c r="B757" t="s">
        <v>30</v>
      </c>
      <c r="C757" t="s">
        <v>27</v>
      </c>
      <c r="D757" s="3">
        <v>45869</v>
      </c>
      <c r="E757" s="6">
        <v>0.79900000000000004</v>
      </c>
      <c r="F757">
        <v>0</v>
      </c>
      <c r="G757" t="s">
        <v>17</v>
      </c>
      <c r="H757" s="6">
        <v>0.7</v>
      </c>
      <c r="I757" s="8">
        <v>-5.4767239233258144E-3</v>
      </c>
      <c r="J757" s="5">
        <f t="shared" si="132"/>
        <v>1.9288787744816144E-2</v>
      </c>
      <c r="K757" s="5" cm="1">
        <f t="array" ref="K757">_xlfn.STDEV.S(IF($C:$C=C757,$I:$I))</f>
        <v>0.27585788879837708</v>
      </c>
      <c r="L757" s="7">
        <f t="shared" si="135"/>
        <v>-8.9776340187403256E-2</v>
      </c>
      <c r="M757">
        <f t="shared" si="133"/>
        <v>0</v>
      </c>
      <c r="N757" s="9">
        <f t="shared" si="136"/>
        <v>-0.14142857142857157</v>
      </c>
      <c r="O757">
        <f>COUNTIFS($B$2:B757,B757,$C$2:C757,C757,$D$2:D757,"&lt;"&amp;D757,$F$2:F757,1)</f>
        <v>0</v>
      </c>
      <c r="P757">
        <f t="shared" si="134"/>
        <v>0</v>
      </c>
      <c r="Q757" t="str">
        <f t="shared" si="137"/>
        <v>Monitor</v>
      </c>
      <c r="R757">
        <v>0</v>
      </c>
      <c r="S757">
        <f t="shared" si="138"/>
        <v>0</v>
      </c>
      <c r="T757">
        <f t="shared" si="139"/>
        <v>0</v>
      </c>
      <c r="U757" t="str">
        <f t="shared" si="140"/>
        <v>Not Improved Enough</v>
      </c>
      <c r="V757" t="str">
        <f t="shared" si="141"/>
        <v>Close</v>
      </c>
      <c r="W757" t="str">
        <f t="shared" si="142"/>
        <v>Normal</v>
      </c>
      <c r="X757" t="str">
        <f t="shared" si="143"/>
        <v>Allowed</v>
      </c>
    </row>
    <row r="758" spans="1:24" x14ac:dyDescent="0.3">
      <c r="A758" t="s">
        <v>23</v>
      </c>
      <c r="B758" t="s">
        <v>30</v>
      </c>
      <c r="C758" t="s">
        <v>27</v>
      </c>
      <c r="D758" s="3">
        <v>45900</v>
      </c>
      <c r="E758" s="6">
        <v>0.78300000000000003</v>
      </c>
      <c r="F758">
        <v>0</v>
      </c>
      <c r="G758" t="s">
        <v>17</v>
      </c>
      <c r="H758" s="6">
        <v>0.7</v>
      </c>
      <c r="I758" s="8">
        <v>-2.0025031289111411E-2</v>
      </c>
      <c r="J758" s="5">
        <f t="shared" si="132"/>
        <v>1.9288787744816144E-2</v>
      </c>
      <c r="K758" s="5" cm="1">
        <f t="array" ref="K758">_xlfn.STDEV.S(IF($C:$C=C758,$I:$I))</f>
        <v>0.27585788879837708</v>
      </c>
      <c r="L758" s="7">
        <f t="shared" si="135"/>
        <v>-0.14251475353913767</v>
      </c>
      <c r="M758">
        <f t="shared" si="133"/>
        <v>0</v>
      </c>
      <c r="N758" s="9">
        <f t="shared" si="136"/>
        <v>-0.11857142857142869</v>
      </c>
      <c r="O758">
        <f>COUNTIFS($B$2:B758,B758,$C$2:C758,C758,$D$2:D758,"&lt;"&amp;D758,$F$2:F758,1)</f>
        <v>0</v>
      </c>
      <c r="P758">
        <f t="shared" si="134"/>
        <v>0</v>
      </c>
      <c r="Q758" t="str">
        <f t="shared" si="137"/>
        <v>Monitor</v>
      </c>
      <c r="R758">
        <v>0</v>
      </c>
      <c r="S758">
        <f t="shared" si="138"/>
        <v>0</v>
      </c>
      <c r="T758">
        <f t="shared" si="139"/>
        <v>0</v>
      </c>
      <c r="U758" t="str">
        <f t="shared" si="140"/>
        <v>Not Improved Enough</v>
      </c>
      <c r="V758" t="str">
        <f t="shared" si="141"/>
        <v>Close</v>
      </c>
      <c r="W758" t="str">
        <f t="shared" si="142"/>
        <v>Normal</v>
      </c>
      <c r="X758" t="str">
        <f t="shared" si="143"/>
        <v>Allowed</v>
      </c>
    </row>
    <row r="759" spans="1:24" x14ac:dyDescent="0.3">
      <c r="A759" t="s">
        <v>23</v>
      </c>
      <c r="B759" t="s">
        <v>30</v>
      </c>
      <c r="C759" t="s">
        <v>27</v>
      </c>
      <c r="D759" s="3">
        <v>45930</v>
      </c>
      <c r="E759" s="6">
        <v>0.71199999999999997</v>
      </c>
      <c r="F759">
        <v>0</v>
      </c>
      <c r="G759" t="s">
        <v>17</v>
      </c>
      <c r="H759" s="6">
        <v>0.7</v>
      </c>
      <c r="I759" s="8">
        <v>-9.0676883780332132E-2</v>
      </c>
      <c r="J759" s="5">
        <f t="shared" si="132"/>
        <v>1.9288787744816144E-2</v>
      </c>
      <c r="K759" s="5" cm="1">
        <f t="array" ref="K759">_xlfn.STDEV.S(IF($C:$C=C759,$I:$I))</f>
        <v>0.27585788879837708</v>
      </c>
      <c r="L759" s="7">
        <f t="shared" si="135"/>
        <v>-0.39863159978550239</v>
      </c>
      <c r="M759">
        <f t="shared" si="133"/>
        <v>0</v>
      </c>
      <c r="N759" s="9">
        <f t="shared" si="136"/>
        <v>-1.7142857142857158E-2</v>
      </c>
      <c r="O759">
        <f>COUNTIFS($B$2:B759,B759,$C$2:C759,C759,$D$2:D759,"&lt;"&amp;D759,$F$2:F759,1)</f>
        <v>0</v>
      </c>
      <c r="P759">
        <f t="shared" si="134"/>
        <v>0</v>
      </c>
      <c r="Q759" t="str">
        <f t="shared" si="137"/>
        <v>Monitor</v>
      </c>
      <c r="R759">
        <v>0</v>
      </c>
      <c r="S759">
        <f t="shared" si="138"/>
        <v>0</v>
      </c>
      <c r="T759">
        <f t="shared" si="139"/>
        <v>0</v>
      </c>
      <c r="U759" t="str">
        <f t="shared" si="140"/>
        <v>Not Improved Enough</v>
      </c>
      <c r="V759" t="str">
        <f t="shared" si="141"/>
        <v>Close</v>
      </c>
      <c r="W759" t="str">
        <f t="shared" si="142"/>
        <v>Normal</v>
      </c>
      <c r="X759" t="str">
        <f t="shared" si="143"/>
        <v>Allowed</v>
      </c>
    </row>
    <row r="760" spans="1:24" x14ac:dyDescent="0.3">
      <c r="A760" t="s">
        <v>23</v>
      </c>
      <c r="B760" t="s">
        <v>30</v>
      </c>
      <c r="C760" t="s">
        <v>27</v>
      </c>
      <c r="D760" s="3">
        <v>45961</v>
      </c>
      <c r="E760" s="6">
        <v>0.81699999999999995</v>
      </c>
      <c r="F760">
        <v>0</v>
      </c>
      <c r="G760" t="s">
        <v>17</v>
      </c>
      <c r="H760" s="6">
        <v>0.7</v>
      </c>
      <c r="I760" s="8">
        <v>0.14747191011235949</v>
      </c>
      <c r="J760" s="5">
        <f t="shared" si="132"/>
        <v>1.9288787744816144E-2</v>
      </c>
      <c r="K760" s="5" cm="1">
        <f t="array" ref="K760">_xlfn.STDEV.S(IF($C:$C=C760,$I:$I))</f>
        <v>0.27585788879837708</v>
      </c>
      <c r="L760" s="7">
        <f t="shared" si="135"/>
        <v>0.46467085978908379</v>
      </c>
      <c r="M760">
        <f t="shared" si="133"/>
        <v>0</v>
      </c>
      <c r="N760" s="9">
        <f t="shared" si="136"/>
        <v>-0.16714285714285715</v>
      </c>
      <c r="O760">
        <f>COUNTIFS($B$2:B760,B760,$C$2:C760,C760,$D$2:D760,"&lt;"&amp;D760,$F$2:F760,1)</f>
        <v>0</v>
      </c>
      <c r="P760">
        <f t="shared" si="134"/>
        <v>0</v>
      </c>
      <c r="Q760" t="str">
        <f t="shared" si="137"/>
        <v>Monitor</v>
      </c>
      <c r="R760">
        <v>0</v>
      </c>
      <c r="S760">
        <f t="shared" si="138"/>
        <v>0</v>
      </c>
      <c r="T760">
        <f t="shared" si="139"/>
        <v>0</v>
      </c>
      <c r="U760" t="str">
        <f t="shared" si="140"/>
        <v>Improved Enough</v>
      </c>
      <c r="V760" t="str">
        <f t="shared" si="141"/>
        <v>Close</v>
      </c>
      <c r="W760" t="str">
        <f t="shared" si="142"/>
        <v>Normal</v>
      </c>
      <c r="X760" t="str">
        <f t="shared" si="143"/>
        <v>Allowed</v>
      </c>
    </row>
    <row r="761" spans="1:24" x14ac:dyDescent="0.3">
      <c r="A761" t="s">
        <v>23</v>
      </c>
      <c r="B761" t="s">
        <v>30</v>
      </c>
      <c r="C761" t="s">
        <v>27</v>
      </c>
      <c r="D761" s="3">
        <v>45991</v>
      </c>
      <c r="E761" s="6">
        <v>0.753</v>
      </c>
      <c r="F761">
        <v>0</v>
      </c>
      <c r="G761" t="s">
        <v>17</v>
      </c>
      <c r="H761" s="6">
        <v>0.7</v>
      </c>
      <c r="I761" s="8">
        <v>-7.8335373317013401E-2</v>
      </c>
      <c r="J761" s="5">
        <f t="shared" si="132"/>
        <v>1.9288787744816144E-2</v>
      </c>
      <c r="K761" s="5" cm="1">
        <f t="array" ref="K761">_xlfn.STDEV.S(IF($C:$C=C761,$I:$I))</f>
        <v>0.27585788879837708</v>
      </c>
      <c r="L761" s="7">
        <f t="shared" si="135"/>
        <v>-0.35389294642642055</v>
      </c>
      <c r="M761">
        <f t="shared" si="133"/>
        <v>0</v>
      </c>
      <c r="N761" s="9">
        <f t="shared" si="136"/>
        <v>-7.5714285714285789E-2</v>
      </c>
      <c r="O761">
        <f>COUNTIFS($B$2:B761,B761,$C$2:C761,C761,$D$2:D761,"&lt;"&amp;D761,$F$2:F761,1)</f>
        <v>0</v>
      </c>
      <c r="P761">
        <f t="shared" si="134"/>
        <v>0</v>
      </c>
      <c r="Q761" t="str">
        <f t="shared" si="137"/>
        <v>Monitor</v>
      </c>
      <c r="R761">
        <v>0</v>
      </c>
      <c r="S761">
        <f t="shared" si="138"/>
        <v>0</v>
      </c>
      <c r="T761">
        <f t="shared" si="139"/>
        <v>0</v>
      </c>
      <c r="U761" t="str">
        <f t="shared" si="140"/>
        <v>Not Improved Enough</v>
      </c>
      <c r="V761" t="str">
        <f t="shared" si="141"/>
        <v>Close</v>
      </c>
      <c r="W761" t="str">
        <f t="shared" si="142"/>
        <v>Normal</v>
      </c>
      <c r="X761" t="str">
        <f t="shared" si="143"/>
        <v>Allowed</v>
      </c>
    </row>
    <row r="762" spans="1:24" x14ac:dyDescent="0.3">
      <c r="A762" t="s">
        <v>10</v>
      </c>
      <c r="B762" t="s">
        <v>31</v>
      </c>
      <c r="C762" t="s">
        <v>12</v>
      </c>
      <c r="D762" s="3">
        <v>45747</v>
      </c>
      <c r="E762" s="6">
        <v>0.42857142857142849</v>
      </c>
      <c r="F762">
        <v>0</v>
      </c>
      <c r="G762" t="s">
        <v>13</v>
      </c>
      <c r="H762" s="6">
        <v>0.27</v>
      </c>
      <c r="I762" s="8">
        <v>-3.57142857142854E-2</v>
      </c>
      <c r="J762" s="5">
        <f t="shared" si="132"/>
        <v>1.2504550363164104E-2</v>
      </c>
      <c r="K762" s="5" cm="1">
        <f t="array" ref="K762">_xlfn.STDEV.S(IF($C:$C=C762,$I:$I))</f>
        <v>5.3924507863027986E-2</v>
      </c>
      <c r="L762" s="7">
        <f t="shared" si="135"/>
        <v>-0.89419149081394889</v>
      </c>
      <c r="M762">
        <f t="shared" si="133"/>
        <v>1</v>
      </c>
      <c r="N762" s="9">
        <f t="shared" si="136"/>
        <v>0.58730158730158688</v>
      </c>
      <c r="O762">
        <f>COUNTIFS($B$2:B762,B762,$C$2:C762,C762,$D$2:D762,"&lt;"&amp;D762,$F$2:F762,1)</f>
        <v>0</v>
      </c>
      <c r="P762">
        <f t="shared" si="134"/>
        <v>0</v>
      </c>
      <c r="Q762" t="str">
        <f t="shared" si="137"/>
        <v>Intervene</v>
      </c>
      <c r="R762">
        <v>0</v>
      </c>
      <c r="S762">
        <f t="shared" si="138"/>
        <v>1</v>
      </c>
      <c r="T762">
        <f t="shared" si="139"/>
        <v>1</v>
      </c>
      <c r="U762" t="str">
        <f t="shared" si="140"/>
        <v>Not Improved Enough</v>
      </c>
      <c r="V762" t="str">
        <f t="shared" si="141"/>
        <v>Far</v>
      </c>
      <c r="W762" t="str">
        <f t="shared" si="142"/>
        <v>Abnormal</v>
      </c>
      <c r="X762" t="str">
        <f t="shared" si="143"/>
        <v>Allowed</v>
      </c>
    </row>
    <row r="763" spans="1:24" x14ac:dyDescent="0.3">
      <c r="A763" t="s">
        <v>10</v>
      </c>
      <c r="B763" t="s">
        <v>31</v>
      </c>
      <c r="C763" t="s">
        <v>12</v>
      </c>
      <c r="D763" s="3">
        <v>45777</v>
      </c>
      <c r="E763" s="6">
        <v>0.4</v>
      </c>
      <c r="F763">
        <v>0</v>
      </c>
      <c r="G763" t="s">
        <v>13</v>
      </c>
      <c r="H763" s="6">
        <v>0.27</v>
      </c>
      <c r="I763" s="8">
        <v>6.6666666666666444E-2</v>
      </c>
      <c r="J763" s="5">
        <f t="shared" si="132"/>
        <v>1.2504550363164104E-2</v>
      </c>
      <c r="K763" s="5" cm="1">
        <f t="array" ref="K763">_xlfn.STDEV.S(IF($C:$C=C763,$I:$I))</f>
        <v>5.3924507863027986E-2</v>
      </c>
      <c r="L763" s="7">
        <f t="shared" si="135"/>
        <v>1.0044063163465098</v>
      </c>
      <c r="M763">
        <f t="shared" si="133"/>
        <v>-1</v>
      </c>
      <c r="N763" s="9">
        <f t="shared" si="136"/>
        <v>0.48148148148148145</v>
      </c>
      <c r="O763">
        <f>COUNTIFS($B$2:B763,B763,$C$2:C763,C763,$D$2:D763,"&lt;"&amp;D763,$F$2:F763,1)</f>
        <v>0</v>
      </c>
      <c r="P763">
        <f t="shared" si="134"/>
        <v>0</v>
      </c>
      <c r="Q763" t="str">
        <f t="shared" si="137"/>
        <v>Monitor</v>
      </c>
      <c r="R763">
        <v>0</v>
      </c>
      <c r="S763">
        <f t="shared" si="138"/>
        <v>0</v>
      </c>
      <c r="T763">
        <f t="shared" si="139"/>
        <v>0</v>
      </c>
      <c r="U763" t="str">
        <f t="shared" si="140"/>
        <v>Improved Enough</v>
      </c>
      <c r="V763" t="str">
        <f t="shared" si="141"/>
        <v>Far</v>
      </c>
      <c r="W763" t="str">
        <f t="shared" si="142"/>
        <v>Normal</v>
      </c>
      <c r="X763" t="str">
        <f t="shared" si="143"/>
        <v>Allowed</v>
      </c>
    </row>
    <row r="764" spans="1:24" x14ac:dyDescent="0.3">
      <c r="A764" t="s">
        <v>10</v>
      </c>
      <c r="B764" t="s">
        <v>31</v>
      </c>
      <c r="C764" t="s">
        <v>12</v>
      </c>
      <c r="D764" s="3">
        <v>45808</v>
      </c>
      <c r="E764" s="6">
        <v>0.3529411764705882</v>
      </c>
      <c r="F764">
        <v>0</v>
      </c>
      <c r="G764" t="s">
        <v>13</v>
      </c>
      <c r="H764" s="6">
        <v>0.27</v>
      </c>
      <c r="I764" s="8">
        <v>0.11764705882352949</v>
      </c>
      <c r="J764" s="5">
        <f t="shared" si="132"/>
        <v>1.2504550363164104E-2</v>
      </c>
      <c r="K764" s="5" cm="1">
        <f t="array" ref="K764">_xlfn.STDEV.S(IF($C:$C=C764,$I:$I))</f>
        <v>5.3924507863027986E-2</v>
      </c>
      <c r="L764" s="7">
        <f t="shared" si="135"/>
        <v>1.9498093283935887</v>
      </c>
      <c r="M764">
        <f t="shared" si="133"/>
        <v>-1</v>
      </c>
      <c r="N764" s="9">
        <f t="shared" si="136"/>
        <v>0.30718954248365993</v>
      </c>
      <c r="O764">
        <f>COUNTIFS($B$2:B764,B764,$C$2:C764,C764,$D$2:D764,"&lt;"&amp;D764,$F$2:F764,1)</f>
        <v>0</v>
      </c>
      <c r="P764">
        <f t="shared" si="134"/>
        <v>0</v>
      </c>
      <c r="Q764" t="str">
        <f t="shared" si="137"/>
        <v>Monitor</v>
      </c>
      <c r="R764">
        <v>0</v>
      </c>
      <c r="S764">
        <f t="shared" si="138"/>
        <v>0</v>
      </c>
      <c r="T764">
        <f t="shared" si="139"/>
        <v>0</v>
      </c>
      <c r="U764" t="str">
        <f t="shared" si="140"/>
        <v>Improved Enough</v>
      </c>
      <c r="V764" t="str">
        <f t="shared" si="141"/>
        <v>Far</v>
      </c>
      <c r="W764" t="str">
        <f t="shared" si="142"/>
        <v>Normal</v>
      </c>
      <c r="X764" t="str">
        <f t="shared" si="143"/>
        <v>Allowed</v>
      </c>
    </row>
    <row r="765" spans="1:24" x14ac:dyDescent="0.3">
      <c r="A765" t="s">
        <v>10</v>
      </c>
      <c r="B765" t="s">
        <v>31</v>
      </c>
      <c r="C765" t="s">
        <v>12</v>
      </c>
      <c r="D765" s="3">
        <v>45838</v>
      </c>
      <c r="E765" s="6">
        <v>0.3</v>
      </c>
      <c r="F765">
        <v>0</v>
      </c>
      <c r="G765" t="s">
        <v>13</v>
      </c>
      <c r="H765" s="6">
        <v>0.27</v>
      </c>
      <c r="I765" s="8">
        <v>0.14999999999999991</v>
      </c>
      <c r="J765" s="5">
        <f t="shared" si="132"/>
        <v>1.2504550363164104E-2</v>
      </c>
      <c r="K765" s="5" cm="1">
        <f t="array" ref="K765">_xlfn.STDEV.S(IF($C:$C=C765,$I:$I))</f>
        <v>5.3924507863027986E-2</v>
      </c>
      <c r="L765" s="7">
        <f t="shared" si="135"/>
        <v>2.5497766245003817</v>
      </c>
      <c r="M765">
        <f t="shared" si="133"/>
        <v>-1</v>
      </c>
      <c r="N765" s="9">
        <f t="shared" si="136"/>
        <v>0.11111111111111099</v>
      </c>
      <c r="O765">
        <f>COUNTIFS($B$2:B765,B765,$C$2:C765,C765,$D$2:D765,"&lt;"&amp;D765,$F$2:F765,1)</f>
        <v>0</v>
      </c>
      <c r="P765">
        <f t="shared" si="134"/>
        <v>0</v>
      </c>
      <c r="Q765" t="str">
        <f t="shared" si="137"/>
        <v>Monitor</v>
      </c>
      <c r="R765">
        <v>0</v>
      </c>
      <c r="S765">
        <f t="shared" si="138"/>
        <v>0</v>
      </c>
      <c r="T765">
        <f t="shared" si="139"/>
        <v>0</v>
      </c>
      <c r="U765" t="str">
        <f t="shared" si="140"/>
        <v>Improved Enough</v>
      </c>
      <c r="V765" t="str">
        <f t="shared" si="141"/>
        <v>Far</v>
      </c>
      <c r="W765" t="str">
        <f t="shared" si="142"/>
        <v>Normal</v>
      </c>
      <c r="X765" t="str">
        <f t="shared" si="143"/>
        <v>Allowed</v>
      </c>
    </row>
    <row r="766" spans="1:24" x14ac:dyDescent="0.3">
      <c r="A766" t="s">
        <v>10</v>
      </c>
      <c r="B766" t="s">
        <v>31</v>
      </c>
      <c r="C766" t="s">
        <v>12</v>
      </c>
      <c r="D766" s="3">
        <v>45869</v>
      </c>
      <c r="E766" s="6">
        <v>0.25531914893617019</v>
      </c>
      <c r="F766">
        <v>0</v>
      </c>
      <c r="G766" t="s">
        <v>13</v>
      </c>
      <c r="H766" s="6">
        <v>0.27</v>
      </c>
      <c r="I766" s="8">
        <v>0.14893617021276601</v>
      </c>
      <c r="J766" s="5">
        <f t="shared" si="132"/>
        <v>1.2504550363164104E-2</v>
      </c>
      <c r="K766" s="5" cm="1">
        <f t="array" ref="K766">_xlfn.STDEV.S(IF($C:$C=C766,$I:$I))</f>
        <v>5.3924507863027986E-2</v>
      </c>
      <c r="L766" s="7">
        <f t="shared" si="135"/>
        <v>2.5300484929069307</v>
      </c>
      <c r="M766">
        <f t="shared" si="133"/>
        <v>-1</v>
      </c>
      <c r="N766" s="9">
        <f t="shared" si="136"/>
        <v>-5.4373522458628976E-2</v>
      </c>
      <c r="O766">
        <f>COUNTIFS($B$2:B766,B766,$C$2:C766,C766,$D$2:D766,"&lt;"&amp;D766,$F$2:F766,1)</f>
        <v>0</v>
      </c>
      <c r="P766">
        <f t="shared" si="134"/>
        <v>0</v>
      </c>
      <c r="Q766" t="str">
        <f t="shared" si="137"/>
        <v>Monitor</v>
      </c>
      <c r="R766">
        <v>0</v>
      </c>
      <c r="S766">
        <f t="shared" si="138"/>
        <v>0</v>
      </c>
      <c r="T766">
        <f t="shared" si="139"/>
        <v>0</v>
      </c>
      <c r="U766" t="str">
        <f t="shared" si="140"/>
        <v>Improved Enough</v>
      </c>
      <c r="V766" t="str">
        <f t="shared" si="141"/>
        <v>Close</v>
      </c>
      <c r="W766" t="str">
        <f t="shared" si="142"/>
        <v>Normal</v>
      </c>
      <c r="X766" t="str">
        <f t="shared" si="143"/>
        <v>Allowed</v>
      </c>
    </row>
    <row r="767" spans="1:24" x14ac:dyDescent="0.3">
      <c r="A767" t="s">
        <v>10</v>
      </c>
      <c r="B767" t="s">
        <v>31</v>
      </c>
      <c r="C767" t="s">
        <v>12</v>
      </c>
      <c r="D767" s="3">
        <v>45900</v>
      </c>
      <c r="E767" s="6">
        <v>0.22222222222222221</v>
      </c>
      <c r="F767">
        <v>0</v>
      </c>
      <c r="G767" t="s">
        <v>13</v>
      </c>
      <c r="H767" s="6">
        <v>0.27</v>
      </c>
      <c r="I767" s="8">
        <v>0.12962962962962959</v>
      </c>
      <c r="J767" s="5">
        <f t="shared" si="132"/>
        <v>1.2504550363164104E-2</v>
      </c>
      <c r="K767" s="5" cm="1">
        <f t="array" ref="K767">_xlfn.STDEV.S(IF($C:$C=C767,$I:$I))</f>
        <v>5.3924507863027986E-2</v>
      </c>
      <c r="L767" s="7">
        <f t="shared" si="135"/>
        <v>2.1720194380627706</v>
      </c>
      <c r="M767">
        <f t="shared" si="133"/>
        <v>-1</v>
      </c>
      <c r="N767" s="9">
        <f t="shared" si="136"/>
        <v>-0.17695473251028818</v>
      </c>
      <c r="O767">
        <f>COUNTIFS($B$2:B767,B767,$C$2:C767,C767,$D$2:D767,"&lt;"&amp;D767,$F$2:F767,1)</f>
        <v>0</v>
      </c>
      <c r="P767">
        <f t="shared" si="134"/>
        <v>0</v>
      </c>
      <c r="Q767" t="str">
        <f t="shared" si="137"/>
        <v>Monitor</v>
      </c>
      <c r="R767">
        <v>0</v>
      </c>
      <c r="S767">
        <f t="shared" si="138"/>
        <v>0</v>
      </c>
      <c r="T767">
        <f t="shared" si="139"/>
        <v>0</v>
      </c>
      <c r="U767" t="str">
        <f t="shared" si="140"/>
        <v>Improved Enough</v>
      </c>
      <c r="V767" t="str">
        <f t="shared" si="141"/>
        <v>Close</v>
      </c>
      <c r="W767" t="str">
        <f t="shared" si="142"/>
        <v>Normal</v>
      </c>
      <c r="X767" t="str">
        <f t="shared" si="143"/>
        <v>Allowed</v>
      </c>
    </row>
    <row r="768" spans="1:24" x14ac:dyDescent="0.3">
      <c r="A768" t="s">
        <v>10</v>
      </c>
      <c r="B768" t="s">
        <v>31</v>
      </c>
      <c r="C768" t="s">
        <v>12</v>
      </c>
      <c r="D768" s="3">
        <v>45930</v>
      </c>
      <c r="E768" s="6">
        <v>0.2</v>
      </c>
      <c r="F768">
        <v>0</v>
      </c>
      <c r="G768" t="s">
        <v>13</v>
      </c>
      <c r="H768" s="6">
        <v>0.27</v>
      </c>
      <c r="I768" s="8">
        <v>9.9999999999999895E-2</v>
      </c>
      <c r="J768" s="5">
        <f t="shared" si="132"/>
        <v>1.2504550363164104E-2</v>
      </c>
      <c r="K768" s="5" cm="1">
        <f t="array" ref="K768">_xlfn.STDEV.S(IF($C:$C=C768,$I:$I))</f>
        <v>5.3924507863027986E-2</v>
      </c>
      <c r="L768" s="7">
        <f t="shared" si="135"/>
        <v>1.62255443960806</v>
      </c>
      <c r="M768">
        <f t="shared" si="133"/>
        <v>-1</v>
      </c>
      <c r="N768" s="9">
        <f t="shared" si="136"/>
        <v>-0.25925925925925924</v>
      </c>
      <c r="O768">
        <f>COUNTIFS($B$2:B768,B768,$C$2:C768,C768,$D$2:D768,"&lt;"&amp;D768,$F$2:F768,1)</f>
        <v>0</v>
      </c>
      <c r="P768">
        <f t="shared" si="134"/>
        <v>0</v>
      </c>
      <c r="Q768" t="str">
        <f t="shared" si="137"/>
        <v>Monitor</v>
      </c>
      <c r="R768">
        <v>0</v>
      </c>
      <c r="S768">
        <f t="shared" si="138"/>
        <v>0</v>
      </c>
      <c r="T768">
        <f t="shared" si="139"/>
        <v>0</v>
      </c>
      <c r="U768" t="str">
        <f t="shared" si="140"/>
        <v>Improved Enough</v>
      </c>
      <c r="V768" t="str">
        <f t="shared" si="141"/>
        <v>Close</v>
      </c>
      <c r="W768" t="str">
        <f t="shared" si="142"/>
        <v>Normal</v>
      </c>
      <c r="X768" t="str">
        <f t="shared" si="143"/>
        <v>Allowed</v>
      </c>
    </row>
    <row r="769" spans="1:24" x14ac:dyDescent="0.3">
      <c r="A769" t="s">
        <v>10</v>
      </c>
      <c r="B769" t="s">
        <v>31</v>
      </c>
      <c r="C769" t="s">
        <v>12</v>
      </c>
      <c r="D769" s="3">
        <v>45961</v>
      </c>
      <c r="E769" s="6">
        <v>0.1818181818181818</v>
      </c>
      <c r="F769">
        <v>0</v>
      </c>
      <c r="G769" t="s">
        <v>13</v>
      </c>
      <c r="H769" s="6">
        <v>0.27</v>
      </c>
      <c r="I769" s="8">
        <v>9.0909090909091078E-2</v>
      </c>
      <c r="J769" s="5">
        <f t="shared" si="132"/>
        <v>1.2504550363164104E-2</v>
      </c>
      <c r="K769" s="5" cm="1">
        <f t="array" ref="K769">_xlfn.STDEV.S(IF($C:$C=C769,$I:$I))</f>
        <v>5.3924507863027986E-2</v>
      </c>
      <c r="L769" s="7">
        <f t="shared" si="135"/>
        <v>1.453968587809461</v>
      </c>
      <c r="M769">
        <f t="shared" si="133"/>
        <v>-1</v>
      </c>
      <c r="N769" s="9">
        <f t="shared" si="136"/>
        <v>-0.32659932659932672</v>
      </c>
      <c r="O769">
        <f>COUNTIFS($B$2:B769,B769,$C$2:C769,C769,$D$2:D769,"&lt;"&amp;D769,$F$2:F769,1)</f>
        <v>0</v>
      </c>
      <c r="P769">
        <f t="shared" si="134"/>
        <v>0</v>
      </c>
      <c r="Q769" t="str">
        <f t="shared" si="137"/>
        <v>Monitor</v>
      </c>
      <c r="R769">
        <v>0</v>
      </c>
      <c r="S769">
        <f t="shared" si="138"/>
        <v>0</v>
      </c>
      <c r="T769">
        <f t="shared" si="139"/>
        <v>0</v>
      </c>
      <c r="U769" t="str">
        <f t="shared" si="140"/>
        <v>Improved Enough</v>
      </c>
      <c r="V769" t="str">
        <f t="shared" si="141"/>
        <v>Close</v>
      </c>
      <c r="W769" t="str">
        <f t="shared" si="142"/>
        <v>Normal</v>
      </c>
      <c r="X769" t="str">
        <f t="shared" si="143"/>
        <v>Allowed</v>
      </c>
    </row>
    <row r="770" spans="1:24" x14ac:dyDescent="0.3">
      <c r="A770" t="s">
        <v>10</v>
      </c>
      <c r="B770" t="s">
        <v>31</v>
      </c>
      <c r="C770" t="s">
        <v>12</v>
      </c>
      <c r="D770" s="3">
        <v>45991</v>
      </c>
      <c r="E770" s="6">
        <v>0.16901408450704231</v>
      </c>
      <c r="F770">
        <v>0</v>
      </c>
      <c r="G770" t="s">
        <v>13</v>
      </c>
      <c r="H770" s="6">
        <v>0.27</v>
      </c>
      <c r="I770" s="8">
        <v>7.0422535211267207E-2</v>
      </c>
      <c r="J770" s="5">
        <f t="shared" ref="J770:J833" si="144">AVERAGEIF($C:$C,C770,$I:$I)</f>
        <v>1.2504550363164104E-2</v>
      </c>
      <c r="K770" s="5" cm="1">
        <f t="array" ref="K770">_xlfn.STDEV.S(IF($C:$C=C770,$I:$I))</f>
        <v>5.3924507863027986E-2</v>
      </c>
      <c r="L770" s="7">
        <f t="shared" si="135"/>
        <v>1.0740568091083711</v>
      </c>
      <c r="M770">
        <f t="shared" ref="M770:M833" si="145">IF(L770&lt;=-$Z$4,1,IF(L770&gt;=$Z$4,-1,0))</f>
        <v>-1</v>
      </c>
      <c r="N770" s="9">
        <f t="shared" si="136"/>
        <v>-0.37402190923317669</v>
      </c>
      <c r="O770">
        <f>COUNTIFS($B$2:B770,B770,$C$2:C770,C770,$D$2:D770,"&lt;"&amp;D770,$F$2:F770,1)</f>
        <v>0</v>
      </c>
      <c r="P770">
        <f t="shared" ref="P770:P833" si="146">IF(AND(R770=1,I770&gt;0),1,IF(R770=1,-1,0))</f>
        <v>0</v>
      </c>
      <c r="Q770" t="str">
        <f t="shared" si="137"/>
        <v>Monitor</v>
      </c>
      <c r="R770">
        <v>0</v>
      </c>
      <c r="S770">
        <f t="shared" si="138"/>
        <v>0</v>
      </c>
      <c r="T770">
        <f t="shared" si="139"/>
        <v>0</v>
      </c>
      <c r="U770" t="str">
        <f t="shared" si="140"/>
        <v>Improved Enough</v>
      </c>
      <c r="V770" t="str">
        <f t="shared" si="141"/>
        <v>Close</v>
      </c>
      <c r="W770" t="str">
        <f t="shared" si="142"/>
        <v>Normal</v>
      </c>
      <c r="X770" t="str">
        <f t="shared" si="143"/>
        <v>Allowed</v>
      </c>
    </row>
    <row r="771" spans="1:24" x14ac:dyDescent="0.3">
      <c r="A771" t="s">
        <v>10</v>
      </c>
      <c r="B771" t="s">
        <v>31</v>
      </c>
      <c r="C771" t="s">
        <v>14</v>
      </c>
      <c r="D771" s="3">
        <v>45535</v>
      </c>
      <c r="E771" s="6">
        <v>6.2992125984251968E-2</v>
      </c>
      <c r="F771">
        <v>0</v>
      </c>
      <c r="G771" t="s">
        <v>13</v>
      </c>
      <c r="H771" s="6">
        <v>5.3999999999999999E-2</v>
      </c>
      <c r="I771" s="8">
        <v>2.3622047244094471E-2</v>
      </c>
      <c r="J771" s="5">
        <f t="shared" si="144"/>
        <v>1.0109678696460058E-2</v>
      </c>
      <c r="K771" s="5" cm="1">
        <f t="array" ref="K771">_xlfn.STDEV.S(IF($C:$C=C771,$I:$I))</f>
        <v>0.17556416633612926</v>
      </c>
      <c r="L771" s="7">
        <f t="shared" ref="L771:L834" si="147">IFERROR((I771-J771)/K771,0)</f>
        <v>7.6965412872260539E-2</v>
      </c>
      <c r="M771">
        <f t="shared" si="145"/>
        <v>0</v>
      </c>
      <c r="N771" s="9">
        <f t="shared" ref="N771:N834" si="148">IFERROR(IF(G771="DOWN",(E771-H771)/H771,(H771-E771)/H771),0)</f>
        <v>0.16652085156022164</v>
      </c>
      <c r="O771">
        <f>COUNTIFS($B$2:B771,B771,$C$2:C771,C771,$D$2:D771,"&lt;"&amp;D771,$F$2:F771,1)</f>
        <v>0</v>
      </c>
      <c r="P771">
        <f t="shared" si="146"/>
        <v>0</v>
      </c>
      <c r="Q771" t="str">
        <f t="shared" ref="Q771:Q834" si="149">IF(I771&gt;=$Z$1,"Monitor",IF(AND(N771&gt;=$Z$2,L771&lt;=-$Z$4),IF(O771&lt;$Z$3,"Intervene","Escalate / Bigger Fix"),"Monitor"))</f>
        <v>Monitor</v>
      </c>
      <c r="R771">
        <v>0</v>
      </c>
      <c r="S771">
        <f t="shared" ref="S771:S834" si="150">IF(Q771="Intervene",1,IF(Q771="Escalate / Bigger Fix",-1,0))</f>
        <v>0</v>
      </c>
      <c r="T771">
        <f t="shared" ref="T771:T834" si="151">IF(Q771="Intervene",1,0)</f>
        <v>0</v>
      </c>
      <c r="U771" t="str">
        <f t="shared" ref="U771:U834" si="152">IF(I771&gt;=$Z$1,"Improved Enough","Not Improved Enough")</f>
        <v>Improved Enough</v>
      </c>
      <c r="V771" t="str">
        <f t="shared" ref="V771:V834" si="153">IF(N771&gt;=$Z$2,"Far","Close")</f>
        <v>Far</v>
      </c>
      <c r="W771" t="str">
        <f t="shared" ref="W771:W834" si="154">IF(L771&lt;=-$Z$4,"Abnormal","Normal")</f>
        <v>Normal</v>
      </c>
      <c r="X771" t="str">
        <f t="shared" ref="X771:X834" si="155">IF(O771&lt;$Z$3,"Allowed","Maxed Out")</f>
        <v>Allowed</v>
      </c>
    </row>
    <row r="772" spans="1:24" x14ac:dyDescent="0.3">
      <c r="A772" t="s">
        <v>10</v>
      </c>
      <c r="B772" t="s">
        <v>31</v>
      </c>
      <c r="C772" t="s">
        <v>14</v>
      </c>
      <c r="D772" s="3">
        <v>45565</v>
      </c>
      <c r="E772" s="6">
        <v>7.7519379844961239E-2</v>
      </c>
      <c r="F772">
        <v>0</v>
      </c>
      <c r="G772" t="s">
        <v>13</v>
      </c>
      <c r="H772" s="6">
        <v>5.3999999999999999E-2</v>
      </c>
      <c r="I772" s="8">
        <v>-0.23062015503875971</v>
      </c>
      <c r="J772" s="5">
        <f t="shared" si="144"/>
        <v>1.0109678696460058E-2</v>
      </c>
      <c r="K772" s="5" cm="1">
        <f t="array" ref="K772">_xlfn.STDEV.S(IF($C:$C=C772,$I:$I))</f>
        <v>0.17556416633612926</v>
      </c>
      <c r="L772" s="7">
        <f t="shared" si="147"/>
        <v>-1.3711786337670213</v>
      </c>
      <c r="M772">
        <f t="shared" si="145"/>
        <v>1</v>
      </c>
      <c r="N772" s="9">
        <f t="shared" si="148"/>
        <v>0.43554407120298594</v>
      </c>
      <c r="O772">
        <f>COUNTIFS($B$2:B772,B772,$C$2:C772,C772,$D$2:D772,"&lt;"&amp;D772,$F$2:F772,1)</f>
        <v>0</v>
      </c>
      <c r="P772">
        <f t="shared" si="146"/>
        <v>0</v>
      </c>
      <c r="Q772" t="str">
        <f t="shared" si="149"/>
        <v>Intervene</v>
      </c>
      <c r="R772">
        <v>0</v>
      </c>
      <c r="S772">
        <f t="shared" si="150"/>
        <v>1</v>
      </c>
      <c r="T772">
        <f t="shared" si="151"/>
        <v>1</v>
      </c>
      <c r="U772" t="str">
        <f t="shared" si="152"/>
        <v>Not Improved Enough</v>
      </c>
      <c r="V772" t="str">
        <f t="shared" si="153"/>
        <v>Far</v>
      </c>
      <c r="W772" t="str">
        <f t="shared" si="154"/>
        <v>Abnormal</v>
      </c>
      <c r="X772" t="str">
        <f t="shared" si="155"/>
        <v>Allowed</v>
      </c>
    </row>
    <row r="773" spans="1:24" x14ac:dyDescent="0.3">
      <c r="A773" t="s">
        <v>10</v>
      </c>
      <c r="B773" t="s">
        <v>31</v>
      </c>
      <c r="C773" t="s">
        <v>14</v>
      </c>
      <c r="D773" s="3">
        <v>45596</v>
      </c>
      <c r="E773" s="6">
        <v>4.8000000000000001E-2</v>
      </c>
      <c r="F773">
        <v>0</v>
      </c>
      <c r="G773" t="s">
        <v>13</v>
      </c>
      <c r="H773" s="6">
        <v>5.3999999999999999E-2</v>
      </c>
      <c r="I773" s="8">
        <v>0.38080000000000003</v>
      </c>
      <c r="J773" s="5">
        <f t="shared" si="144"/>
        <v>1.0109678696460058E-2</v>
      </c>
      <c r="K773" s="5" cm="1">
        <f t="array" ref="K773">_xlfn.STDEV.S(IF($C:$C=C773,$I:$I))</f>
        <v>0.17556416633612926</v>
      </c>
      <c r="L773" s="7">
        <f t="shared" si="147"/>
        <v>2.1114235839780009</v>
      </c>
      <c r="M773">
        <f t="shared" si="145"/>
        <v>-1</v>
      </c>
      <c r="N773" s="9">
        <f t="shared" si="148"/>
        <v>-0.11111111111111108</v>
      </c>
      <c r="O773">
        <f>COUNTIFS($B$2:B773,B773,$C$2:C773,C773,$D$2:D773,"&lt;"&amp;D773,$F$2:F773,1)</f>
        <v>0</v>
      </c>
      <c r="P773">
        <f t="shared" si="146"/>
        <v>0</v>
      </c>
      <c r="Q773" t="str">
        <f t="shared" si="149"/>
        <v>Monitor</v>
      </c>
      <c r="R773">
        <v>0</v>
      </c>
      <c r="S773">
        <f t="shared" si="150"/>
        <v>0</v>
      </c>
      <c r="T773">
        <f t="shared" si="151"/>
        <v>0</v>
      </c>
      <c r="U773" t="str">
        <f t="shared" si="152"/>
        <v>Improved Enough</v>
      </c>
      <c r="V773" t="str">
        <f t="shared" si="153"/>
        <v>Close</v>
      </c>
      <c r="W773" t="str">
        <f t="shared" si="154"/>
        <v>Normal</v>
      </c>
      <c r="X773" t="str">
        <f t="shared" si="155"/>
        <v>Allowed</v>
      </c>
    </row>
    <row r="774" spans="1:24" x14ac:dyDescent="0.3">
      <c r="A774" t="s">
        <v>10</v>
      </c>
      <c r="B774" t="s">
        <v>31</v>
      </c>
      <c r="C774" t="s">
        <v>14</v>
      </c>
      <c r="D774" s="3">
        <v>45626</v>
      </c>
      <c r="E774" s="6">
        <v>4.7619047999999997E-2</v>
      </c>
      <c r="F774">
        <v>0</v>
      </c>
      <c r="G774" t="s">
        <v>13</v>
      </c>
      <c r="H774" s="6">
        <v>5.3999999999999999E-2</v>
      </c>
      <c r="I774" s="8">
        <v>7.9365000000000806E-3</v>
      </c>
      <c r="J774" s="5">
        <f t="shared" si="144"/>
        <v>1.0109678696460058E-2</v>
      </c>
      <c r="K774" s="5" cm="1">
        <f t="array" ref="K774">_xlfn.STDEV.S(IF($C:$C=C774,$I:$I))</f>
        <v>0.17556416633612926</v>
      </c>
      <c r="L774" s="7">
        <f t="shared" si="147"/>
        <v>-1.2378258854368282E-2</v>
      </c>
      <c r="M774">
        <f t="shared" si="145"/>
        <v>0</v>
      </c>
      <c r="N774" s="9">
        <f t="shared" si="148"/>
        <v>-0.11816577777777781</v>
      </c>
      <c r="O774">
        <f>COUNTIFS($B$2:B774,B774,$C$2:C774,C774,$D$2:D774,"&lt;"&amp;D774,$F$2:F774,1)</f>
        <v>0</v>
      </c>
      <c r="P774">
        <f t="shared" si="146"/>
        <v>0</v>
      </c>
      <c r="Q774" t="str">
        <f t="shared" si="149"/>
        <v>Monitor</v>
      </c>
      <c r="R774">
        <v>0</v>
      </c>
      <c r="S774">
        <f t="shared" si="150"/>
        <v>0</v>
      </c>
      <c r="T774">
        <f t="shared" si="151"/>
        <v>0</v>
      </c>
      <c r="U774" t="str">
        <f t="shared" si="152"/>
        <v>Not Improved Enough</v>
      </c>
      <c r="V774" t="str">
        <f t="shared" si="153"/>
        <v>Close</v>
      </c>
      <c r="W774" t="str">
        <f t="shared" si="154"/>
        <v>Normal</v>
      </c>
      <c r="X774" t="str">
        <f t="shared" si="155"/>
        <v>Allowed</v>
      </c>
    </row>
    <row r="775" spans="1:24" x14ac:dyDescent="0.3">
      <c r="A775" t="s">
        <v>10</v>
      </c>
      <c r="B775" t="s">
        <v>31</v>
      </c>
      <c r="C775" t="s">
        <v>14</v>
      </c>
      <c r="D775" s="3">
        <v>45657</v>
      </c>
      <c r="E775" s="6">
        <v>4.8387096774193547E-2</v>
      </c>
      <c r="F775">
        <v>0</v>
      </c>
      <c r="G775" t="s">
        <v>13</v>
      </c>
      <c r="H775" s="6">
        <v>5.3999999999999999E-2</v>
      </c>
      <c r="I775" s="8">
        <v>-1.612902412903236E-2</v>
      </c>
      <c r="J775" s="5">
        <f t="shared" si="144"/>
        <v>1.0109678696460058E-2</v>
      </c>
      <c r="K775" s="5" cm="1">
        <f t="array" ref="K775">_xlfn.STDEV.S(IF($C:$C=C775,$I:$I))</f>
        <v>0.17556416633612926</v>
      </c>
      <c r="L775" s="7">
        <f t="shared" si="147"/>
        <v>-0.14945363494767311</v>
      </c>
      <c r="M775">
        <f t="shared" si="145"/>
        <v>0</v>
      </c>
      <c r="N775" s="9">
        <f t="shared" si="148"/>
        <v>-0.10394265232974911</v>
      </c>
      <c r="O775">
        <f>COUNTIFS($B$2:B775,B775,$C$2:C775,C775,$D$2:D775,"&lt;"&amp;D775,$F$2:F775,1)</f>
        <v>0</v>
      </c>
      <c r="P775">
        <f t="shared" si="146"/>
        <v>0</v>
      </c>
      <c r="Q775" t="str">
        <f t="shared" si="149"/>
        <v>Monitor</v>
      </c>
      <c r="R775">
        <v>0</v>
      </c>
      <c r="S775">
        <f t="shared" si="150"/>
        <v>0</v>
      </c>
      <c r="T775">
        <f t="shared" si="151"/>
        <v>0</v>
      </c>
      <c r="U775" t="str">
        <f t="shared" si="152"/>
        <v>Not Improved Enough</v>
      </c>
      <c r="V775" t="str">
        <f t="shared" si="153"/>
        <v>Close</v>
      </c>
      <c r="W775" t="str">
        <f t="shared" si="154"/>
        <v>Normal</v>
      </c>
      <c r="X775" t="str">
        <f t="shared" si="155"/>
        <v>Allowed</v>
      </c>
    </row>
    <row r="776" spans="1:24" x14ac:dyDescent="0.3">
      <c r="A776" t="s">
        <v>10</v>
      </c>
      <c r="B776" t="s">
        <v>31</v>
      </c>
      <c r="C776" t="s">
        <v>14</v>
      </c>
      <c r="D776" s="3">
        <v>45688</v>
      </c>
      <c r="E776" s="6">
        <v>8.6614173228346455E-2</v>
      </c>
      <c r="F776">
        <v>0</v>
      </c>
      <c r="G776" t="s">
        <v>13</v>
      </c>
      <c r="H776" s="6">
        <v>5.3999999999999999E-2</v>
      </c>
      <c r="I776" s="8">
        <v>-0.79002624671916011</v>
      </c>
      <c r="J776" s="5">
        <f t="shared" si="144"/>
        <v>1.0109678696460058E-2</v>
      </c>
      <c r="K776" s="5" cm="1">
        <f t="array" ref="K776">_xlfn.STDEV.S(IF($C:$C=C776,$I:$I))</f>
        <v>0.17556416633612926</v>
      </c>
      <c r="L776" s="7">
        <f t="shared" si="147"/>
        <v>-4.557512743709367</v>
      </c>
      <c r="M776">
        <f t="shared" si="145"/>
        <v>1</v>
      </c>
      <c r="N776" s="9">
        <f t="shared" si="148"/>
        <v>0.6039661708953048</v>
      </c>
      <c r="O776">
        <f>COUNTIFS($B$2:B776,B776,$C$2:C776,C776,$D$2:D776,"&lt;"&amp;D776,$F$2:F776,1)</f>
        <v>0</v>
      </c>
      <c r="P776">
        <f t="shared" si="146"/>
        <v>0</v>
      </c>
      <c r="Q776" t="str">
        <f t="shared" si="149"/>
        <v>Intervene</v>
      </c>
      <c r="R776">
        <v>0</v>
      </c>
      <c r="S776">
        <f t="shared" si="150"/>
        <v>1</v>
      </c>
      <c r="T776">
        <f t="shared" si="151"/>
        <v>1</v>
      </c>
      <c r="U776" t="str">
        <f t="shared" si="152"/>
        <v>Not Improved Enough</v>
      </c>
      <c r="V776" t="str">
        <f t="shared" si="153"/>
        <v>Far</v>
      </c>
      <c r="W776" t="str">
        <f t="shared" si="154"/>
        <v>Abnormal</v>
      </c>
      <c r="X776" t="str">
        <f t="shared" si="155"/>
        <v>Allowed</v>
      </c>
    </row>
    <row r="777" spans="1:24" x14ac:dyDescent="0.3">
      <c r="A777" t="s">
        <v>10</v>
      </c>
      <c r="B777" t="s">
        <v>31</v>
      </c>
      <c r="C777" t="s">
        <v>14</v>
      </c>
      <c r="D777" s="3">
        <v>45716</v>
      </c>
      <c r="E777" s="6">
        <v>9.6774193548387094E-2</v>
      </c>
      <c r="F777">
        <v>0</v>
      </c>
      <c r="G777" t="s">
        <v>13</v>
      </c>
      <c r="H777" s="6">
        <v>5.3999999999999999E-2</v>
      </c>
      <c r="I777" s="8">
        <v>-0.1173020527859237</v>
      </c>
      <c r="J777" s="5">
        <f t="shared" si="144"/>
        <v>1.0109678696460058E-2</v>
      </c>
      <c r="K777" s="5" cm="1">
        <f t="array" ref="K777">_xlfn.STDEV.S(IF($C:$C=C777,$I:$I))</f>
        <v>0.17556416633612926</v>
      </c>
      <c r="L777" s="7">
        <f t="shared" si="147"/>
        <v>-0.72572743140787366</v>
      </c>
      <c r="M777">
        <f t="shared" si="145"/>
        <v>1</v>
      </c>
      <c r="N777" s="9">
        <f t="shared" si="148"/>
        <v>0.79211469534050172</v>
      </c>
      <c r="O777">
        <f>COUNTIFS($B$2:B777,B777,$C$2:C777,C777,$D$2:D777,"&lt;"&amp;D777,$F$2:F777,1)</f>
        <v>0</v>
      </c>
      <c r="P777">
        <f t="shared" si="146"/>
        <v>0</v>
      </c>
      <c r="Q777" t="str">
        <f t="shared" si="149"/>
        <v>Intervene</v>
      </c>
      <c r="R777">
        <v>0</v>
      </c>
      <c r="S777">
        <f t="shared" si="150"/>
        <v>1</v>
      </c>
      <c r="T777">
        <f t="shared" si="151"/>
        <v>1</v>
      </c>
      <c r="U777" t="str">
        <f t="shared" si="152"/>
        <v>Not Improved Enough</v>
      </c>
      <c r="V777" t="str">
        <f t="shared" si="153"/>
        <v>Far</v>
      </c>
      <c r="W777" t="str">
        <f t="shared" si="154"/>
        <v>Abnormal</v>
      </c>
      <c r="X777" t="str">
        <f t="shared" si="155"/>
        <v>Allowed</v>
      </c>
    </row>
    <row r="778" spans="1:24" x14ac:dyDescent="0.3">
      <c r="A778" t="s">
        <v>10</v>
      </c>
      <c r="B778" t="s">
        <v>31</v>
      </c>
      <c r="C778" t="s">
        <v>14</v>
      </c>
      <c r="D778" s="3">
        <v>45747</v>
      </c>
      <c r="E778" s="6">
        <v>6.6666666666666666E-2</v>
      </c>
      <c r="F778">
        <v>0</v>
      </c>
      <c r="G778" t="s">
        <v>13</v>
      </c>
      <c r="H778" s="6">
        <v>5.3999999999999999E-2</v>
      </c>
      <c r="I778" s="8">
        <v>0.31111111111111112</v>
      </c>
      <c r="J778" s="5">
        <f t="shared" si="144"/>
        <v>1.0109678696460058E-2</v>
      </c>
      <c r="K778" s="5" cm="1">
        <f t="array" ref="K778">_xlfn.STDEV.S(IF($C:$C=C778,$I:$I))</f>
        <v>0.17556416633612926</v>
      </c>
      <c r="L778" s="7">
        <f t="shared" si="147"/>
        <v>1.7144810281977692</v>
      </c>
      <c r="M778">
        <f t="shared" si="145"/>
        <v>-1</v>
      </c>
      <c r="N778" s="9">
        <f t="shared" si="148"/>
        <v>0.23456790123456789</v>
      </c>
      <c r="O778">
        <f>COUNTIFS($B$2:B778,B778,$C$2:C778,C778,$D$2:D778,"&lt;"&amp;D778,$F$2:F778,1)</f>
        <v>0</v>
      </c>
      <c r="P778">
        <f t="shared" si="146"/>
        <v>0</v>
      </c>
      <c r="Q778" t="str">
        <f t="shared" si="149"/>
        <v>Monitor</v>
      </c>
      <c r="R778">
        <v>0</v>
      </c>
      <c r="S778">
        <f t="shared" si="150"/>
        <v>0</v>
      </c>
      <c r="T778">
        <f t="shared" si="151"/>
        <v>0</v>
      </c>
      <c r="U778" t="str">
        <f t="shared" si="152"/>
        <v>Improved Enough</v>
      </c>
      <c r="V778" t="str">
        <f t="shared" si="153"/>
        <v>Far</v>
      </c>
      <c r="W778" t="str">
        <f t="shared" si="154"/>
        <v>Normal</v>
      </c>
      <c r="X778" t="str">
        <f t="shared" si="155"/>
        <v>Allowed</v>
      </c>
    </row>
    <row r="779" spans="1:24" x14ac:dyDescent="0.3">
      <c r="A779" t="s">
        <v>10</v>
      </c>
      <c r="B779" t="s">
        <v>31</v>
      </c>
      <c r="C779" t="s">
        <v>14</v>
      </c>
      <c r="D779" s="3">
        <v>45777</v>
      </c>
      <c r="E779" s="6">
        <v>3.3333333333333333E-2</v>
      </c>
      <c r="F779">
        <v>0</v>
      </c>
      <c r="G779" t="s">
        <v>13</v>
      </c>
      <c r="H779" s="6">
        <v>5.3999999999999999E-2</v>
      </c>
      <c r="I779" s="8">
        <v>0.5</v>
      </c>
      <c r="J779" s="5">
        <f t="shared" si="144"/>
        <v>1.0109678696460058E-2</v>
      </c>
      <c r="K779" s="5" cm="1">
        <f t="array" ref="K779">_xlfn.STDEV.S(IF($C:$C=C779,$I:$I))</f>
        <v>0.17556416633612926</v>
      </c>
      <c r="L779" s="7">
        <f t="shared" si="147"/>
        <v>2.7903776239031171</v>
      </c>
      <c r="M779">
        <f t="shared" si="145"/>
        <v>-1</v>
      </c>
      <c r="N779" s="9">
        <f t="shared" si="148"/>
        <v>-0.38271604938271603</v>
      </c>
      <c r="O779">
        <f>COUNTIFS($B$2:B779,B779,$C$2:C779,C779,$D$2:D779,"&lt;"&amp;D779,$F$2:F779,1)</f>
        <v>0</v>
      </c>
      <c r="P779">
        <f t="shared" si="146"/>
        <v>0</v>
      </c>
      <c r="Q779" t="str">
        <f t="shared" si="149"/>
        <v>Monitor</v>
      </c>
      <c r="R779">
        <v>0</v>
      </c>
      <c r="S779">
        <f t="shared" si="150"/>
        <v>0</v>
      </c>
      <c r="T779">
        <f t="shared" si="151"/>
        <v>0</v>
      </c>
      <c r="U779" t="str">
        <f t="shared" si="152"/>
        <v>Improved Enough</v>
      </c>
      <c r="V779" t="str">
        <f t="shared" si="153"/>
        <v>Close</v>
      </c>
      <c r="W779" t="str">
        <f t="shared" si="154"/>
        <v>Normal</v>
      </c>
      <c r="X779" t="str">
        <f t="shared" si="155"/>
        <v>Allowed</v>
      </c>
    </row>
    <row r="780" spans="1:24" x14ac:dyDescent="0.3">
      <c r="A780" t="s">
        <v>10</v>
      </c>
      <c r="B780" t="s">
        <v>31</v>
      </c>
      <c r="C780" t="s">
        <v>14</v>
      </c>
      <c r="D780" s="3">
        <v>45808</v>
      </c>
      <c r="E780" s="6">
        <v>4.9586776859504127E-2</v>
      </c>
      <c r="F780">
        <v>0</v>
      </c>
      <c r="G780" t="s">
        <v>13</v>
      </c>
      <c r="H780" s="6">
        <v>5.3999999999999999E-2</v>
      </c>
      <c r="I780" s="8">
        <v>-0.48760330578512379</v>
      </c>
      <c r="J780" s="5">
        <f t="shared" si="144"/>
        <v>1.0109678696460058E-2</v>
      </c>
      <c r="K780" s="5" cm="1">
        <f t="array" ref="K780">_xlfn.STDEV.S(IF($C:$C=C780,$I:$I))</f>
        <v>0.17556416633612926</v>
      </c>
      <c r="L780" s="7">
        <f t="shared" si="147"/>
        <v>-2.8349349122228009</v>
      </c>
      <c r="M780">
        <f t="shared" si="145"/>
        <v>1</v>
      </c>
      <c r="N780" s="9">
        <f t="shared" si="148"/>
        <v>-8.1726354453627276E-2</v>
      </c>
      <c r="O780">
        <f>COUNTIFS($B$2:B780,B780,$C$2:C780,C780,$D$2:D780,"&lt;"&amp;D780,$F$2:F780,1)</f>
        <v>0</v>
      </c>
      <c r="P780">
        <f t="shared" si="146"/>
        <v>0</v>
      </c>
      <c r="Q780" t="str">
        <f t="shared" si="149"/>
        <v>Monitor</v>
      </c>
      <c r="R780">
        <v>0</v>
      </c>
      <c r="S780">
        <f t="shared" si="150"/>
        <v>0</v>
      </c>
      <c r="T780">
        <f t="shared" si="151"/>
        <v>0</v>
      </c>
      <c r="U780" t="str">
        <f t="shared" si="152"/>
        <v>Not Improved Enough</v>
      </c>
      <c r="V780" t="str">
        <f t="shared" si="153"/>
        <v>Close</v>
      </c>
      <c r="W780" t="str">
        <f t="shared" si="154"/>
        <v>Abnormal</v>
      </c>
      <c r="X780" t="str">
        <f t="shared" si="155"/>
        <v>Allowed</v>
      </c>
    </row>
    <row r="781" spans="1:24" x14ac:dyDescent="0.3">
      <c r="A781" t="s">
        <v>10</v>
      </c>
      <c r="B781" t="s">
        <v>31</v>
      </c>
      <c r="C781" t="s">
        <v>14</v>
      </c>
      <c r="D781" s="3">
        <v>45838</v>
      </c>
      <c r="E781" s="6">
        <v>4.9586776859504127E-2</v>
      </c>
      <c r="F781">
        <v>0</v>
      </c>
      <c r="G781" t="s">
        <v>13</v>
      </c>
      <c r="H781" s="6">
        <v>5.3999999999999999E-2</v>
      </c>
      <c r="I781" s="8">
        <v>0</v>
      </c>
      <c r="J781" s="5">
        <f t="shared" si="144"/>
        <v>1.0109678696460058E-2</v>
      </c>
      <c r="K781" s="5" cm="1">
        <f t="array" ref="K781">_xlfn.STDEV.S(IF($C:$C=C781,$I:$I))</f>
        <v>0.17556416633612926</v>
      </c>
      <c r="L781" s="7">
        <f t="shared" si="147"/>
        <v>-5.7583952963980174E-2</v>
      </c>
      <c r="M781">
        <f t="shared" si="145"/>
        <v>0</v>
      </c>
      <c r="N781" s="9">
        <f t="shared" si="148"/>
        <v>-8.1726354453627276E-2</v>
      </c>
      <c r="O781">
        <f>COUNTIFS($B$2:B781,B781,$C$2:C781,C781,$D$2:D781,"&lt;"&amp;D781,$F$2:F781,1)</f>
        <v>0</v>
      </c>
      <c r="P781">
        <f t="shared" si="146"/>
        <v>0</v>
      </c>
      <c r="Q781" t="str">
        <f t="shared" si="149"/>
        <v>Monitor</v>
      </c>
      <c r="R781">
        <v>0</v>
      </c>
      <c r="S781">
        <f t="shared" si="150"/>
        <v>0</v>
      </c>
      <c r="T781">
        <f t="shared" si="151"/>
        <v>0</v>
      </c>
      <c r="U781" t="str">
        <f t="shared" si="152"/>
        <v>Not Improved Enough</v>
      </c>
      <c r="V781" t="str">
        <f t="shared" si="153"/>
        <v>Close</v>
      </c>
      <c r="W781" t="str">
        <f t="shared" si="154"/>
        <v>Normal</v>
      </c>
      <c r="X781" t="str">
        <f t="shared" si="155"/>
        <v>Allowed</v>
      </c>
    </row>
    <row r="782" spans="1:24" x14ac:dyDescent="0.3">
      <c r="A782" t="s">
        <v>10</v>
      </c>
      <c r="B782" t="s">
        <v>31</v>
      </c>
      <c r="C782" t="s">
        <v>14</v>
      </c>
      <c r="D782" s="3">
        <v>45869</v>
      </c>
      <c r="E782" s="6">
        <v>2.5000000000000001E-2</v>
      </c>
      <c r="F782">
        <v>0</v>
      </c>
      <c r="G782" t="s">
        <v>13</v>
      </c>
      <c r="H782" s="6">
        <v>5.3999999999999999E-2</v>
      </c>
      <c r="I782" s="8">
        <v>0.49583333333333318</v>
      </c>
      <c r="J782" s="5">
        <f t="shared" si="144"/>
        <v>1.0109678696460058E-2</v>
      </c>
      <c r="K782" s="5" cm="1">
        <f t="array" ref="K782">_xlfn.STDEV.S(IF($C:$C=C782,$I:$I))</f>
        <v>0.17556416633612926</v>
      </c>
      <c r="L782" s="7">
        <f t="shared" si="147"/>
        <v>2.7666446107625569</v>
      </c>
      <c r="M782">
        <f t="shared" si="145"/>
        <v>-1</v>
      </c>
      <c r="N782" s="9">
        <f t="shared" si="148"/>
        <v>-0.53703703703703698</v>
      </c>
      <c r="O782">
        <f>COUNTIFS($B$2:B782,B782,$C$2:C782,C782,$D$2:D782,"&lt;"&amp;D782,$F$2:F782,1)</f>
        <v>0</v>
      </c>
      <c r="P782">
        <f t="shared" si="146"/>
        <v>0</v>
      </c>
      <c r="Q782" t="str">
        <f t="shared" si="149"/>
        <v>Monitor</v>
      </c>
      <c r="R782">
        <v>0</v>
      </c>
      <c r="S782">
        <f t="shared" si="150"/>
        <v>0</v>
      </c>
      <c r="T782">
        <f t="shared" si="151"/>
        <v>0</v>
      </c>
      <c r="U782" t="str">
        <f t="shared" si="152"/>
        <v>Improved Enough</v>
      </c>
      <c r="V782" t="str">
        <f t="shared" si="153"/>
        <v>Close</v>
      </c>
      <c r="W782" t="str">
        <f t="shared" si="154"/>
        <v>Normal</v>
      </c>
      <c r="X782" t="str">
        <f t="shared" si="155"/>
        <v>Allowed</v>
      </c>
    </row>
    <row r="783" spans="1:24" x14ac:dyDescent="0.3">
      <c r="A783" t="s">
        <v>10</v>
      </c>
      <c r="B783" t="s">
        <v>31</v>
      </c>
      <c r="C783" t="s">
        <v>14</v>
      </c>
      <c r="D783" s="3">
        <v>45900</v>
      </c>
      <c r="E783" s="6">
        <v>3.2258064516129031E-2</v>
      </c>
      <c r="F783">
        <v>0</v>
      </c>
      <c r="G783" t="s">
        <v>13</v>
      </c>
      <c r="H783" s="6">
        <v>5.3999999999999999E-2</v>
      </c>
      <c r="I783" s="8">
        <v>-0.2903225806451612</v>
      </c>
      <c r="J783" s="5">
        <f t="shared" si="144"/>
        <v>1.0109678696460058E-2</v>
      </c>
      <c r="K783" s="5" cm="1">
        <f t="array" ref="K783">_xlfn.STDEV.S(IF($C:$C=C783,$I:$I))</f>
        <v>0.17556416633612926</v>
      </c>
      <c r="L783" s="7">
        <f t="shared" si="147"/>
        <v>-1.7112390621126168</v>
      </c>
      <c r="M783">
        <f t="shared" si="145"/>
        <v>1</v>
      </c>
      <c r="N783" s="9">
        <f t="shared" si="148"/>
        <v>-0.40262843488649941</v>
      </c>
      <c r="O783">
        <f>COUNTIFS($B$2:B783,B783,$C$2:C783,C783,$D$2:D783,"&lt;"&amp;D783,$F$2:F783,1)</f>
        <v>0</v>
      </c>
      <c r="P783">
        <f t="shared" si="146"/>
        <v>0</v>
      </c>
      <c r="Q783" t="str">
        <f t="shared" si="149"/>
        <v>Monitor</v>
      </c>
      <c r="R783">
        <v>0</v>
      </c>
      <c r="S783">
        <f t="shared" si="150"/>
        <v>0</v>
      </c>
      <c r="T783">
        <f t="shared" si="151"/>
        <v>0</v>
      </c>
      <c r="U783" t="str">
        <f t="shared" si="152"/>
        <v>Not Improved Enough</v>
      </c>
      <c r="V783" t="str">
        <f t="shared" si="153"/>
        <v>Close</v>
      </c>
      <c r="W783" t="str">
        <f t="shared" si="154"/>
        <v>Abnormal</v>
      </c>
      <c r="X783" t="str">
        <f t="shared" si="155"/>
        <v>Allowed</v>
      </c>
    </row>
    <row r="784" spans="1:24" x14ac:dyDescent="0.3">
      <c r="A784" t="s">
        <v>10</v>
      </c>
      <c r="B784" t="s">
        <v>31</v>
      </c>
      <c r="C784" t="s">
        <v>14</v>
      </c>
      <c r="D784" s="3">
        <v>45930</v>
      </c>
      <c r="E784" s="6">
        <v>2.4590163934426229E-2</v>
      </c>
      <c r="F784">
        <v>0</v>
      </c>
      <c r="G784" t="s">
        <v>13</v>
      </c>
      <c r="H784" s="6">
        <v>5.3999999999999999E-2</v>
      </c>
      <c r="I784" s="8">
        <v>0.2377049180327869</v>
      </c>
      <c r="J784" s="5">
        <f t="shared" si="144"/>
        <v>1.0109678696460058E-2</v>
      </c>
      <c r="K784" s="5" cm="1">
        <f t="array" ref="K784">_xlfn.STDEV.S(IF($C:$C=C784,$I:$I))</f>
        <v>0.17556416633612926</v>
      </c>
      <c r="L784" s="7">
        <f t="shared" si="147"/>
        <v>1.2963649934154595</v>
      </c>
      <c r="M784">
        <f t="shared" si="145"/>
        <v>-1</v>
      </c>
      <c r="N784" s="9">
        <f t="shared" si="148"/>
        <v>-0.54462659380692169</v>
      </c>
      <c r="O784">
        <f>COUNTIFS($B$2:B784,B784,$C$2:C784,C784,$D$2:D784,"&lt;"&amp;D784,$F$2:F784,1)</f>
        <v>0</v>
      </c>
      <c r="P784">
        <f t="shared" si="146"/>
        <v>0</v>
      </c>
      <c r="Q784" t="str">
        <f t="shared" si="149"/>
        <v>Monitor</v>
      </c>
      <c r="R784">
        <v>0</v>
      </c>
      <c r="S784">
        <f t="shared" si="150"/>
        <v>0</v>
      </c>
      <c r="T784">
        <f t="shared" si="151"/>
        <v>0</v>
      </c>
      <c r="U784" t="str">
        <f t="shared" si="152"/>
        <v>Improved Enough</v>
      </c>
      <c r="V784" t="str">
        <f t="shared" si="153"/>
        <v>Close</v>
      </c>
      <c r="W784" t="str">
        <f t="shared" si="154"/>
        <v>Normal</v>
      </c>
      <c r="X784" t="str">
        <f t="shared" si="155"/>
        <v>Allowed</v>
      </c>
    </row>
    <row r="785" spans="1:24" x14ac:dyDescent="0.3">
      <c r="A785" t="s">
        <v>10</v>
      </c>
      <c r="B785" t="s">
        <v>31</v>
      </c>
      <c r="C785" t="s">
        <v>14</v>
      </c>
      <c r="D785" s="3">
        <v>45961</v>
      </c>
      <c r="E785" s="6">
        <v>3.2258064516129031E-2</v>
      </c>
      <c r="F785">
        <v>0</v>
      </c>
      <c r="G785" t="s">
        <v>13</v>
      </c>
      <c r="H785" s="6">
        <v>5.3999999999999999E-2</v>
      </c>
      <c r="I785" s="8">
        <v>-0.31182795698924731</v>
      </c>
      <c r="J785" s="5">
        <f t="shared" si="144"/>
        <v>1.0109678696460058E-2</v>
      </c>
      <c r="K785" s="5" cm="1">
        <f t="array" ref="K785">_xlfn.STDEV.S(IF($C:$C=C785,$I:$I))</f>
        <v>0.17556416633612926</v>
      </c>
      <c r="L785" s="7">
        <f t="shared" si="147"/>
        <v>-1.8337320331606644</v>
      </c>
      <c r="M785">
        <f t="shared" si="145"/>
        <v>1</v>
      </c>
      <c r="N785" s="9">
        <f t="shared" si="148"/>
        <v>-0.40262843488649941</v>
      </c>
      <c r="O785">
        <f>COUNTIFS($B$2:B785,B785,$C$2:C785,C785,$D$2:D785,"&lt;"&amp;D785,$F$2:F785,1)</f>
        <v>0</v>
      </c>
      <c r="P785">
        <f t="shared" si="146"/>
        <v>0</v>
      </c>
      <c r="Q785" t="str">
        <f t="shared" si="149"/>
        <v>Monitor</v>
      </c>
      <c r="R785">
        <v>0</v>
      </c>
      <c r="S785">
        <f t="shared" si="150"/>
        <v>0</v>
      </c>
      <c r="T785">
        <f t="shared" si="151"/>
        <v>0</v>
      </c>
      <c r="U785" t="str">
        <f t="shared" si="152"/>
        <v>Not Improved Enough</v>
      </c>
      <c r="V785" t="str">
        <f t="shared" si="153"/>
        <v>Close</v>
      </c>
      <c r="W785" t="str">
        <f t="shared" si="154"/>
        <v>Abnormal</v>
      </c>
      <c r="X785" t="str">
        <f t="shared" si="155"/>
        <v>Allowed</v>
      </c>
    </row>
    <row r="786" spans="1:24" x14ac:dyDescent="0.3">
      <c r="A786" t="s">
        <v>10</v>
      </c>
      <c r="B786" t="s">
        <v>31</v>
      </c>
      <c r="C786" t="s">
        <v>14</v>
      </c>
      <c r="D786" s="3">
        <v>45991</v>
      </c>
      <c r="E786" s="6">
        <v>4.8000000000000001E-2</v>
      </c>
      <c r="F786">
        <v>0</v>
      </c>
      <c r="G786" t="s">
        <v>13</v>
      </c>
      <c r="H786" s="6">
        <v>5.3999999999999999E-2</v>
      </c>
      <c r="I786" s="8">
        <v>-0.48799999999999999</v>
      </c>
      <c r="J786" s="5">
        <f t="shared" si="144"/>
        <v>1.0109678696460058E-2</v>
      </c>
      <c r="K786" s="5" cm="1">
        <f t="array" ref="K786">_xlfn.STDEV.S(IF($C:$C=C786,$I:$I))</f>
        <v>0.17556416633612926</v>
      </c>
      <c r="L786" s="7">
        <f t="shared" si="147"/>
        <v>-2.8371944519862669</v>
      </c>
      <c r="M786">
        <f t="shared" si="145"/>
        <v>1</v>
      </c>
      <c r="N786" s="9">
        <f t="shared" si="148"/>
        <v>-0.11111111111111108</v>
      </c>
      <c r="O786">
        <f>COUNTIFS($B$2:B786,B786,$C$2:C786,C786,$D$2:D786,"&lt;"&amp;D786,$F$2:F786,1)</f>
        <v>0</v>
      </c>
      <c r="P786">
        <f t="shared" si="146"/>
        <v>0</v>
      </c>
      <c r="Q786" t="str">
        <f t="shared" si="149"/>
        <v>Monitor</v>
      </c>
      <c r="R786">
        <v>0</v>
      </c>
      <c r="S786">
        <f t="shared" si="150"/>
        <v>0</v>
      </c>
      <c r="T786">
        <f t="shared" si="151"/>
        <v>0</v>
      </c>
      <c r="U786" t="str">
        <f t="shared" si="152"/>
        <v>Not Improved Enough</v>
      </c>
      <c r="V786" t="str">
        <f t="shared" si="153"/>
        <v>Close</v>
      </c>
      <c r="W786" t="str">
        <f t="shared" si="154"/>
        <v>Abnormal</v>
      </c>
      <c r="X786" t="str">
        <f t="shared" si="155"/>
        <v>Allowed</v>
      </c>
    </row>
    <row r="787" spans="1:24" x14ac:dyDescent="0.3">
      <c r="A787" t="s">
        <v>10</v>
      </c>
      <c r="B787" t="s">
        <v>31</v>
      </c>
      <c r="C787" t="s">
        <v>15</v>
      </c>
      <c r="D787" s="3">
        <v>45535</v>
      </c>
      <c r="E787" s="6">
        <v>2.6315789473684209E-2</v>
      </c>
      <c r="F787">
        <v>0</v>
      </c>
      <c r="G787" t="s">
        <v>13</v>
      </c>
      <c r="H787" s="6">
        <v>6.6000000000000003E-2</v>
      </c>
      <c r="I787" s="8">
        <v>0</v>
      </c>
      <c r="J787" s="5">
        <f t="shared" si="144"/>
        <v>-2.475667272801203E-2</v>
      </c>
      <c r="K787" s="5" cm="1">
        <f t="array" ref="K787">_xlfn.STDEV.S(IF($C:$C=C787,$I:$I))</f>
        <v>0.42334565134305008</v>
      </c>
      <c r="L787" s="7">
        <f t="shared" si="147"/>
        <v>5.8478627687499105E-2</v>
      </c>
      <c r="M787">
        <f t="shared" si="145"/>
        <v>0</v>
      </c>
      <c r="N787" s="9">
        <f t="shared" si="148"/>
        <v>-0.60127591706539074</v>
      </c>
      <c r="O787">
        <f>COUNTIFS($B$2:B787,B787,$C$2:C787,C787,$D$2:D787,"&lt;"&amp;D787,$F$2:F787,1)</f>
        <v>0</v>
      </c>
      <c r="P787">
        <f t="shared" si="146"/>
        <v>0</v>
      </c>
      <c r="Q787" t="str">
        <f t="shared" si="149"/>
        <v>Monitor</v>
      </c>
      <c r="R787">
        <v>0</v>
      </c>
      <c r="S787">
        <f t="shared" si="150"/>
        <v>0</v>
      </c>
      <c r="T787">
        <f t="shared" si="151"/>
        <v>0</v>
      </c>
      <c r="U787" t="str">
        <f t="shared" si="152"/>
        <v>Not Improved Enough</v>
      </c>
      <c r="V787" t="str">
        <f t="shared" si="153"/>
        <v>Close</v>
      </c>
      <c r="W787" t="str">
        <f t="shared" si="154"/>
        <v>Normal</v>
      </c>
      <c r="X787" t="str">
        <f t="shared" si="155"/>
        <v>Allowed</v>
      </c>
    </row>
    <row r="788" spans="1:24" x14ac:dyDescent="0.3">
      <c r="A788" t="s">
        <v>10</v>
      </c>
      <c r="B788" t="s">
        <v>31</v>
      </c>
      <c r="C788" t="s">
        <v>15</v>
      </c>
      <c r="D788" s="3">
        <v>45565</v>
      </c>
      <c r="E788" s="6">
        <v>7.4999999999999997E-2</v>
      </c>
      <c r="F788">
        <v>0</v>
      </c>
      <c r="G788" t="s">
        <v>13</v>
      </c>
      <c r="H788" s="6">
        <v>6.6000000000000003E-2</v>
      </c>
      <c r="I788" s="8">
        <v>-1.85</v>
      </c>
      <c r="J788" s="5">
        <f t="shared" si="144"/>
        <v>-2.475667272801203E-2</v>
      </c>
      <c r="K788" s="5" cm="1">
        <f t="array" ref="K788">_xlfn.STDEV.S(IF($C:$C=C788,$I:$I))</f>
        <v>0.42334565134305008</v>
      </c>
      <c r="L788" s="7">
        <f t="shared" si="147"/>
        <v>-4.3114729571012811</v>
      </c>
      <c r="M788">
        <f t="shared" si="145"/>
        <v>1</v>
      </c>
      <c r="N788" s="9">
        <f t="shared" si="148"/>
        <v>0.13636363636363627</v>
      </c>
      <c r="O788">
        <f>COUNTIFS($B$2:B788,B788,$C$2:C788,C788,$D$2:D788,"&lt;"&amp;D788,$F$2:F788,1)</f>
        <v>0</v>
      </c>
      <c r="P788">
        <f t="shared" si="146"/>
        <v>0</v>
      </c>
      <c r="Q788" t="str">
        <f t="shared" si="149"/>
        <v>Intervene</v>
      </c>
      <c r="R788">
        <v>0</v>
      </c>
      <c r="S788">
        <f t="shared" si="150"/>
        <v>1</v>
      </c>
      <c r="T788">
        <f t="shared" si="151"/>
        <v>1</v>
      </c>
      <c r="U788" t="str">
        <f t="shared" si="152"/>
        <v>Not Improved Enough</v>
      </c>
      <c r="V788" t="str">
        <f t="shared" si="153"/>
        <v>Far</v>
      </c>
      <c r="W788" t="str">
        <f t="shared" si="154"/>
        <v>Abnormal</v>
      </c>
      <c r="X788" t="str">
        <f t="shared" si="155"/>
        <v>Allowed</v>
      </c>
    </row>
    <row r="789" spans="1:24" x14ac:dyDescent="0.3">
      <c r="A789" t="s">
        <v>10</v>
      </c>
      <c r="B789" t="s">
        <v>31</v>
      </c>
      <c r="C789" t="s">
        <v>15</v>
      </c>
      <c r="D789" s="3">
        <v>45657</v>
      </c>
      <c r="E789" s="6">
        <v>2.564102564102564E-2</v>
      </c>
      <c r="F789">
        <v>0</v>
      </c>
      <c r="G789" t="s">
        <v>13</v>
      </c>
      <c r="H789" s="6">
        <v>6.6000000000000003E-2</v>
      </c>
      <c r="I789" s="8">
        <v>0.65811965811965811</v>
      </c>
      <c r="J789" s="5">
        <f t="shared" si="144"/>
        <v>-2.475667272801203E-2</v>
      </c>
      <c r="K789" s="5" cm="1">
        <f t="array" ref="K789">_xlfn.STDEV.S(IF($C:$C=C789,$I:$I))</f>
        <v>0.42334565134305008</v>
      </c>
      <c r="L789" s="7">
        <f t="shared" si="147"/>
        <v>1.6130467590283912</v>
      </c>
      <c r="M789">
        <f t="shared" si="145"/>
        <v>-1</v>
      </c>
      <c r="N789" s="9">
        <f t="shared" si="148"/>
        <v>-0.61149961149961152</v>
      </c>
      <c r="O789">
        <f>COUNTIFS($B$2:B789,B789,$C$2:C789,C789,$D$2:D789,"&lt;"&amp;D789,$F$2:F789,1)</f>
        <v>0</v>
      </c>
      <c r="P789">
        <f t="shared" si="146"/>
        <v>0</v>
      </c>
      <c r="Q789" t="str">
        <f t="shared" si="149"/>
        <v>Monitor</v>
      </c>
      <c r="R789">
        <v>0</v>
      </c>
      <c r="S789">
        <f t="shared" si="150"/>
        <v>0</v>
      </c>
      <c r="T789">
        <f t="shared" si="151"/>
        <v>0</v>
      </c>
      <c r="U789" t="str">
        <f t="shared" si="152"/>
        <v>Improved Enough</v>
      </c>
      <c r="V789" t="str">
        <f t="shared" si="153"/>
        <v>Close</v>
      </c>
      <c r="W789" t="str">
        <f t="shared" si="154"/>
        <v>Normal</v>
      </c>
      <c r="X789" t="str">
        <f t="shared" si="155"/>
        <v>Allowed</v>
      </c>
    </row>
    <row r="790" spans="1:24" x14ac:dyDescent="0.3">
      <c r="A790" t="s">
        <v>10</v>
      </c>
      <c r="B790" t="s">
        <v>31</v>
      </c>
      <c r="C790" t="s">
        <v>15</v>
      </c>
      <c r="D790" s="3">
        <v>45688</v>
      </c>
      <c r="E790" s="6">
        <v>0.1</v>
      </c>
      <c r="F790">
        <v>0</v>
      </c>
      <c r="G790" t="s">
        <v>13</v>
      </c>
      <c r="H790" s="6">
        <v>6.6000000000000003E-2</v>
      </c>
      <c r="I790" s="8">
        <v>-2.9000000000000008</v>
      </c>
      <c r="J790" s="5">
        <f t="shared" si="144"/>
        <v>-2.475667272801203E-2</v>
      </c>
      <c r="K790" s="5" cm="1">
        <f t="array" ref="K790">_xlfn.STDEV.S(IF($C:$C=C790,$I:$I))</f>
        <v>0.42334565134305008</v>
      </c>
      <c r="L790" s="7">
        <f t="shared" si="147"/>
        <v>-6.7917157484678876</v>
      </c>
      <c r="M790">
        <f t="shared" si="145"/>
        <v>1</v>
      </c>
      <c r="N790" s="9">
        <f t="shared" si="148"/>
        <v>0.51515151515151514</v>
      </c>
      <c r="O790">
        <f>COUNTIFS($B$2:B790,B790,$C$2:C790,C790,$D$2:D790,"&lt;"&amp;D790,$F$2:F790,1)</f>
        <v>0</v>
      </c>
      <c r="P790">
        <f t="shared" si="146"/>
        <v>0</v>
      </c>
      <c r="Q790" t="str">
        <f t="shared" si="149"/>
        <v>Intervene</v>
      </c>
      <c r="R790">
        <v>0</v>
      </c>
      <c r="S790">
        <f t="shared" si="150"/>
        <v>1</v>
      </c>
      <c r="T790">
        <f t="shared" si="151"/>
        <v>1</v>
      </c>
      <c r="U790" t="str">
        <f t="shared" si="152"/>
        <v>Not Improved Enough</v>
      </c>
      <c r="V790" t="str">
        <f t="shared" si="153"/>
        <v>Far</v>
      </c>
      <c r="W790" t="str">
        <f t="shared" si="154"/>
        <v>Abnormal</v>
      </c>
      <c r="X790" t="str">
        <f t="shared" si="155"/>
        <v>Allowed</v>
      </c>
    </row>
    <row r="791" spans="1:24" x14ac:dyDescent="0.3">
      <c r="A791" t="s">
        <v>10</v>
      </c>
      <c r="B791" t="s">
        <v>31</v>
      </c>
      <c r="C791" t="s">
        <v>15</v>
      </c>
      <c r="D791" s="3">
        <v>45716</v>
      </c>
      <c r="E791" s="6">
        <v>0.1025641025641026</v>
      </c>
      <c r="F791">
        <v>0</v>
      </c>
      <c r="G791" t="s">
        <v>13</v>
      </c>
      <c r="H791" s="6">
        <v>6.6000000000000003E-2</v>
      </c>
      <c r="I791" s="8">
        <v>-2.564102564102597E-2</v>
      </c>
      <c r="J791" s="5">
        <f t="shared" si="144"/>
        <v>-2.475667272801203E-2</v>
      </c>
      <c r="K791" s="5" cm="1">
        <f t="array" ref="K791">_xlfn.STDEV.S(IF($C:$C=C791,$I:$I))</f>
        <v>0.42334565134305008</v>
      </c>
      <c r="L791" s="7">
        <f t="shared" si="147"/>
        <v>-2.0889618452636983E-3</v>
      </c>
      <c r="M791">
        <f t="shared" si="145"/>
        <v>0</v>
      </c>
      <c r="N791" s="9">
        <f t="shared" si="148"/>
        <v>0.55400155400155449</v>
      </c>
      <c r="O791">
        <f>COUNTIFS($B$2:B791,B791,$C$2:C791,C791,$D$2:D791,"&lt;"&amp;D791,$F$2:F791,1)</f>
        <v>0</v>
      </c>
      <c r="P791">
        <f t="shared" si="146"/>
        <v>0</v>
      </c>
      <c r="Q791" t="str">
        <f t="shared" si="149"/>
        <v>Monitor</v>
      </c>
      <c r="R791">
        <v>0</v>
      </c>
      <c r="S791">
        <f t="shared" si="150"/>
        <v>0</v>
      </c>
      <c r="T791">
        <f t="shared" si="151"/>
        <v>0</v>
      </c>
      <c r="U791" t="str">
        <f t="shared" si="152"/>
        <v>Not Improved Enough</v>
      </c>
      <c r="V791" t="str">
        <f t="shared" si="153"/>
        <v>Far</v>
      </c>
      <c r="W791" t="str">
        <f t="shared" si="154"/>
        <v>Normal</v>
      </c>
      <c r="X791" t="str">
        <f t="shared" si="155"/>
        <v>Allowed</v>
      </c>
    </row>
    <row r="792" spans="1:24" x14ac:dyDescent="0.3">
      <c r="A792" t="s">
        <v>10</v>
      </c>
      <c r="B792" t="s">
        <v>31</v>
      </c>
      <c r="C792" t="s">
        <v>15</v>
      </c>
      <c r="D792" s="3">
        <v>45747</v>
      </c>
      <c r="E792" s="6">
        <v>7.8947368421052627E-2</v>
      </c>
      <c r="F792">
        <v>0</v>
      </c>
      <c r="G792" t="s">
        <v>13</v>
      </c>
      <c r="H792" s="6">
        <v>6.6000000000000003E-2</v>
      </c>
      <c r="I792" s="8">
        <v>0.2302631578947372</v>
      </c>
      <c r="J792" s="5">
        <f t="shared" si="144"/>
        <v>-2.475667272801203E-2</v>
      </c>
      <c r="K792" s="5" cm="1">
        <f t="array" ref="K792">_xlfn.STDEV.S(IF($C:$C=C792,$I:$I))</f>
        <v>0.42334565134305008</v>
      </c>
      <c r="L792" s="7">
        <f t="shared" si="147"/>
        <v>0.60239152053105371</v>
      </c>
      <c r="M792">
        <f t="shared" si="145"/>
        <v>-1</v>
      </c>
      <c r="N792" s="9">
        <f t="shared" si="148"/>
        <v>0.19617224880382764</v>
      </c>
      <c r="O792">
        <f>COUNTIFS($B$2:B792,B792,$C$2:C792,C792,$D$2:D792,"&lt;"&amp;D792,$F$2:F792,1)</f>
        <v>0</v>
      </c>
      <c r="P792">
        <f t="shared" si="146"/>
        <v>0</v>
      </c>
      <c r="Q792" t="str">
        <f t="shared" si="149"/>
        <v>Monitor</v>
      </c>
      <c r="R792">
        <v>0</v>
      </c>
      <c r="S792">
        <f t="shared" si="150"/>
        <v>0</v>
      </c>
      <c r="T792">
        <f t="shared" si="151"/>
        <v>0</v>
      </c>
      <c r="U792" t="str">
        <f t="shared" si="152"/>
        <v>Improved Enough</v>
      </c>
      <c r="V792" t="str">
        <f t="shared" si="153"/>
        <v>Far</v>
      </c>
      <c r="W792" t="str">
        <f t="shared" si="154"/>
        <v>Normal</v>
      </c>
      <c r="X792" t="str">
        <f t="shared" si="155"/>
        <v>Allowed</v>
      </c>
    </row>
    <row r="793" spans="1:24" x14ac:dyDescent="0.3">
      <c r="A793" t="s">
        <v>10</v>
      </c>
      <c r="B793" t="s">
        <v>31</v>
      </c>
      <c r="C793" t="s">
        <v>15</v>
      </c>
      <c r="D793" s="3">
        <v>45777</v>
      </c>
      <c r="E793" s="6">
        <v>5.2631578947368418E-2</v>
      </c>
      <c r="F793">
        <v>0</v>
      </c>
      <c r="G793" t="s">
        <v>13</v>
      </c>
      <c r="H793" s="6">
        <v>6.6000000000000003E-2</v>
      </c>
      <c r="I793" s="8">
        <v>0.33333333333333331</v>
      </c>
      <c r="J793" s="5">
        <f t="shared" si="144"/>
        <v>-2.475667272801203E-2</v>
      </c>
      <c r="K793" s="5" cm="1">
        <f t="array" ref="K793">_xlfn.STDEV.S(IF($C:$C=C793,$I:$I))</f>
        <v>0.42334565134305008</v>
      </c>
      <c r="L793" s="7">
        <f t="shared" si="147"/>
        <v>0.84585729161340539</v>
      </c>
      <c r="M793">
        <f t="shared" si="145"/>
        <v>-1</v>
      </c>
      <c r="N793" s="9">
        <f t="shared" si="148"/>
        <v>-0.20255183413078159</v>
      </c>
      <c r="O793">
        <f>COUNTIFS($B$2:B793,B793,$C$2:C793,C793,$D$2:D793,"&lt;"&amp;D793,$F$2:F793,1)</f>
        <v>0</v>
      </c>
      <c r="P793">
        <f t="shared" si="146"/>
        <v>0</v>
      </c>
      <c r="Q793" t="str">
        <f t="shared" si="149"/>
        <v>Monitor</v>
      </c>
      <c r="R793">
        <v>0</v>
      </c>
      <c r="S793">
        <f t="shared" si="150"/>
        <v>0</v>
      </c>
      <c r="T793">
        <f t="shared" si="151"/>
        <v>0</v>
      </c>
      <c r="U793" t="str">
        <f t="shared" si="152"/>
        <v>Improved Enough</v>
      </c>
      <c r="V793" t="str">
        <f t="shared" si="153"/>
        <v>Close</v>
      </c>
      <c r="W793" t="str">
        <f t="shared" si="154"/>
        <v>Normal</v>
      </c>
      <c r="X793" t="str">
        <f t="shared" si="155"/>
        <v>Allowed</v>
      </c>
    </row>
    <row r="794" spans="1:24" x14ac:dyDescent="0.3">
      <c r="A794" t="s">
        <v>10</v>
      </c>
      <c r="B794" t="s">
        <v>31</v>
      </c>
      <c r="C794" t="s">
        <v>15</v>
      </c>
      <c r="D794" s="3">
        <v>45808</v>
      </c>
      <c r="E794" s="6">
        <v>8.1081081081081086E-2</v>
      </c>
      <c r="F794">
        <v>0</v>
      </c>
      <c r="G794" t="s">
        <v>13</v>
      </c>
      <c r="H794" s="6">
        <v>6.6000000000000003E-2</v>
      </c>
      <c r="I794" s="8">
        <v>-0.54054054054054068</v>
      </c>
      <c r="J794" s="5">
        <f t="shared" si="144"/>
        <v>-2.475667272801203E-2</v>
      </c>
      <c r="K794" s="5" cm="1">
        <f t="array" ref="K794">_xlfn.STDEV.S(IF($C:$C=C794,$I:$I))</f>
        <v>0.42334565134305008</v>
      </c>
      <c r="L794" s="7">
        <f t="shared" si="147"/>
        <v>-1.2183516381382951</v>
      </c>
      <c r="M794">
        <f t="shared" si="145"/>
        <v>1</v>
      </c>
      <c r="N794" s="9">
        <f t="shared" si="148"/>
        <v>0.2285012285012285</v>
      </c>
      <c r="O794">
        <f>COUNTIFS($B$2:B794,B794,$C$2:C794,C794,$D$2:D794,"&lt;"&amp;D794,$F$2:F794,1)</f>
        <v>0</v>
      </c>
      <c r="P794">
        <f t="shared" si="146"/>
        <v>0</v>
      </c>
      <c r="Q794" t="str">
        <f t="shared" si="149"/>
        <v>Intervene</v>
      </c>
      <c r="R794">
        <v>0</v>
      </c>
      <c r="S794">
        <f t="shared" si="150"/>
        <v>1</v>
      </c>
      <c r="T794">
        <f t="shared" si="151"/>
        <v>1</v>
      </c>
      <c r="U794" t="str">
        <f t="shared" si="152"/>
        <v>Not Improved Enough</v>
      </c>
      <c r="V794" t="str">
        <f t="shared" si="153"/>
        <v>Far</v>
      </c>
      <c r="W794" t="str">
        <f t="shared" si="154"/>
        <v>Abnormal</v>
      </c>
      <c r="X794" t="str">
        <f t="shared" si="155"/>
        <v>Allowed</v>
      </c>
    </row>
    <row r="795" spans="1:24" x14ac:dyDescent="0.3">
      <c r="A795" t="s">
        <v>10</v>
      </c>
      <c r="B795" t="s">
        <v>31</v>
      </c>
      <c r="C795" t="s">
        <v>15</v>
      </c>
      <c r="D795" s="3">
        <v>45838</v>
      </c>
      <c r="E795" s="6">
        <v>8.3333333333333329E-2</v>
      </c>
      <c r="F795">
        <v>0</v>
      </c>
      <c r="G795" t="s">
        <v>13</v>
      </c>
      <c r="H795" s="6">
        <v>6.6000000000000003E-2</v>
      </c>
      <c r="I795" s="8">
        <v>-2.7777777777777669E-2</v>
      </c>
      <c r="J795" s="5">
        <f t="shared" si="144"/>
        <v>-2.475667272801203E-2</v>
      </c>
      <c r="K795" s="5" cm="1">
        <f t="array" ref="K795">_xlfn.STDEV.S(IF($C:$C=C795,$I:$I))</f>
        <v>0.42334565134305008</v>
      </c>
      <c r="L795" s="7">
        <f t="shared" si="147"/>
        <v>-7.1362609729928332E-3</v>
      </c>
      <c r="M795">
        <f t="shared" si="145"/>
        <v>0</v>
      </c>
      <c r="N795" s="9">
        <f t="shared" si="148"/>
        <v>0.26262626262626249</v>
      </c>
      <c r="O795">
        <f>COUNTIFS($B$2:B795,B795,$C$2:C795,C795,$D$2:D795,"&lt;"&amp;D795,$F$2:F795,1)</f>
        <v>0</v>
      </c>
      <c r="P795">
        <f t="shared" si="146"/>
        <v>0</v>
      </c>
      <c r="Q795" t="str">
        <f t="shared" si="149"/>
        <v>Monitor</v>
      </c>
      <c r="R795">
        <v>0</v>
      </c>
      <c r="S795">
        <f t="shared" si="150"/>
        <v>0</v>
      </c>
      <c r="T795">
        <f t="shared" si="151"/>
        <v>0</v>
      </c>
      <c r="U795" t="str">
        <f t="shared" si="152"/>
        <v>Not Improved Enough</v>
      </c>
      <c r="V795" t="str">
        <f t="shared" si="153"/>
        <v>Far</v>
      </c>
      <c r="W795" t="str">
        <f t="shared" si="154"/>
        <v>Normal</v>
      </c>
      <c r="X795" t="str">
        <f t="shared" si="155"/>
        <v>Allowed</v>
      </c>
    </row>
    <row r="796" spans="1:24" x14ac:dyDescent="0.3">
      <c r="A796" t="s">
        <v>10</v>
      </c>
      <c r="B796" t="s">
        <v>31</v>
      </c>
      <c r="C796" t="s">
        <v>15</v>
      </c>
      <c r="D796" s="3">
        <v>45869</v>
      </c>
      <c r="E796" s="6">
        <v>5.4054054054054057E-2</v>
      </c>
      <c r="F796">
        <v>0</v>
      </c>
      <c r="G796" t="s">
        <v>13</v>
      </c>
      <c r="H796" s="6">
        <v>6.6000000000000003E-2</v>
      </c>
      <c r="I796" s="8">
        <v>0.35135135135135132</v>
      </c>
      <c r="J796" s="5">
        <f t="shared" si="144"/>
        <v>-2.475667272801203E-2</v>
      </c>
      <c r="K796" s="5" cm="1">
        <f t="array" ref="K796">_xlfn.STDEV.S(IF($C:$C=C796,$I:$I))</f>
        <v>0.42334565134305008</v>
      </c>
      <c r="L796" s="7">
        <f t="shared" si="147"/>
        <v>0.88841830047426507</v>
      </c>
      <c r="M796">
        <f t="shared" si="145"/>
        <v>-1</v>
      </c>
      <c r="N796" s="9">
        <f t="shared" si="148"/>
        <v>-0.180999180999181</v>
      </c>
      <c r="O796">
        <f>COUNTIFS($B$2:B796,B796,$C$2:C796,C796,$D$2:D796,"&lt;"&amp;D796,$F$2:F796,1)</f>
        <v>0</v>
      </c>
      <c r="P796">
        <f t="shared" si="146"/>
        <v>0</v>
      </c>
      <c r="Q796" t="str">
        <f t="shared" si="149"/>
        <v>Monitor</v>
      </c>
      <c r="R796">
        <v>0</v>
      </c>
      <c r="S796">
        <f t="shared" si="150"/>
        <v>0</v>
      </c>
      <c r="T796">
        <f t="shared" si="151"/>
        <v>0</v>
      </c>
      <c r="U796" t="str">
        <f t="shared" si="152"/>
        <v>Improved Enough</v>
      </c>
      <c r="V796" t="str">
        <f t="shared" si="153"/>
        <v>Close</v>
      </c>
      <c r="W796" t="str">
        <f t="shared" si="154"/>
        <v>Normal</v>
      </c>
      <c r="X796" t="str">
        <f t="shared" si="155"/>
        <v>Allowed</v>
      </c>
    </row>
    <row r="797" spans="1:24" x14ac:dyDescent="0.3">
      <c r="A797" t="s">
        <v>10</v>
      </c>
      <c r="B797" t="s">
        <v>31</v>
      </c>
      <c r="C797" t="s">
        <v>15</v>
      </c>
      <c r="D797" s="3">
        <v>45900</v>
      </c>
      <c r="E797" s="6">
        <v>5.2631578947368418E-2</v>
      </c>
      <c r="F797">
        <v>0</v>
      </c>
      <c r="G797" t="s">
        <v>13</v>
      </c>
      <c r="H797" s="6">
        <v>6.6000000000000003E-2</v>
      </c>
      <c r="I797" s="8">
        <v>2.631578947368432E-2</v>
      </c>
      <c r="J797" s="5">
        <f t="shared" si="144"/>
        <v>-2.475667272801203E-2</v>
      </c>
      <c r="K797" s="5" cm="1">
        <f t="array" ref="K797">_xlfn.STDEV.S(IF($C:$C=C797,$I:$I))</f>
        <v>0.42334565134305008</v>
      </c>
      <c r="L797" s="7">
        <f t="shared" si="147"/>
        <v>0.12064010115533408</v>
      </c>
      <c r="M797">
        <f t="shared" si="145"/>
        <v>0</v>
      </c>
      <c r="N797" s="9">
        <f t="shared" si="148"/>
        <v>-0.20255183413078159</v>
      </c>
      <c r="O797">
        <f>COUNTIFS($B$2:B797,B797,$C$2:C797,C797,$D$2:D797,"&lt;"&amp;D797,$F$2:F797,1)</f>
        <v>0</v>
      </c>
      <c r="P797">
        <f t="shared" si="146"/>
        <v>0</v>
      </c>
      <c r="Q797" t="str">
        <f t="shared" si="149"/>
        <v>Monitor</v>
      </c>
      <c r="R797">
        <v>0</v>
      </c>
      <c r="S797">
        <f t="shared" si="150"/>
        <v>0</v>
      </c>
      <c r="T797">
        <f t="shared" si="151"/>
        <v>0</v>
      </c>
      <c r="U797" t="str">
        <f t="shared" si="152"/>
        <v>Improved Enough</v>
      </c>
      <c r="V797" t="str">
        <f t="shared" si="153"/>
        <v>Close</v>
      </c>
      <c r="W797" t="str">
        <f t="shared" si="154"/>
        <v>Normal</v>
      </c>
      <c r="X797" t="str">
        <f t="shared" si="155"/>
        <v>Allowed</v>
      </c>
    </row>
    <row r="798" spans="1:24" x14ac:dyDescent="0.3">
      <c r="A798" t="s">
        <v>10</v>
      </c>
      <c r="B798" t="s">
        <v>31</v>
      </c>
      <c r="C798" t="s">
        <v>15</v>
      </c>
      <c r="D798" s="3">
        <v>45930</v>
      </c>
      <c r="E798" s="6">
        <v>2.7027027027027029E-2</v>
      </c>
      <c r="F798">
        <v>0</v>
      </c>
      <c r="G798" t="s">
        <v>13</v>
      </c>
      <c r="H798" s="6">
        <v>6.6000000000000003E-2</v>
      </c>
      <c r="I798" s="8">
        <v>0.4864864864864864</v>
      </c>
      <c r="J798" s="5">
        <f t="shared" si="144"/>
        <v>-2.475667272801203E-2</v>
      </c>
      <c r="K798" s="5" cm="1">
        <f t="array" ref="K798">_xlfn.STDEV.S(IF($C:$C=C798,$I:$I))</f>
        <v>0.42334565134305008</v>
      </c>
      <c r="L798" s="7">
        <f t="shared" si="147"/>
        <v>1.2076258669307136</v>
      </c>
      <c r="M798">
        <f t="shared" si="145"/>
        <v>-1</v>
      </c>
      <c r="N798" s="9">
        <f t="shared" si="148"/>
        <v>-0.59049959049959044</v>
      </c>
      <c r="O798">
        <f>COUNTIFS($B$2:B798,B798,$C$2:C798,C798,$D$2:D798,"&lt;"&amp;D798,$F$2:F798,1)</f>
        <v>0</v>
      </c>
      <c r="P798">
        <f t="shared" si="146"/>
        <v>0</v>
      </c>
      <c r="Q798" t="str">
        <f t="shared" si="149"/>
        <v>Monitor</v>
      </c>
      <c r="R798">
        <v>0</v>
      </c>
      <c r="S798">
        <f t="shared" si="150"/>
        <v>0</v>
      </c>
      <c r="T798">
        <f t="shared" si="151"/>
        <v>0</v>
      </c>
      <c r="U798" t="str">
        <f t="shared" si="152"/>
        <v>Improved Enough</v>
      </c>
      <c r="V798" t="str">
        <f t="shared" si="153"/>
        <v>Close</v>
      </c>
      <c r="W798" t="str">
        <f t="shared" si="154"/>
        <v>Normal</v>
      </c>
      <c r="X798" t="str">
        <f t="shared" si="155"/>
        <v>Allowed</v>
      </c>
    </row>
    <row r="799" spans="1:24" x14ac:dyDescent="0.3">
      <c r="A799" t="s">
        <v>10</v>
      </c>
      <c r="B799" t="s">
        <v>31</v>
      </c>
      <c r="C799" t="s">
        <v>15</v>
      </c>
      <c r="D799" s="3">
        <v>45961</v>
      </c>
      <c r="E799" s="6">
        <v>2.7027027027027029E-2</v>
      </c>
      <c r="F799">
        <v>0</v>
      </c>
      <c r="G799" t="s">
        <v>13</v>
      </c>
      <c r="H799" s="6">
        <v>6.6000000000000003E-2</v>
      </c>
      <c r="I799" s="8">
        <v>0</v>
      </c>
      <c r="J799" s="5">
        <f t="shared" si="144"/>
        <v>-2.475667272801203E-2</v>
      </c>
      <c r="K799" s="5" cm="1">
        <f t="array" ref="K799">_xlfn.STDEV.S(IF($C:$C=C799,$I:$I))</f>
        <v>0.42334565134305008</v>
      </c>
      <c r="L799" s="7">
        <f t="shared" si="147"/>
        <v>5.8478627687499105E-2</v>
      </c>
      <c r="M799">
        <f t="shared" si="145"/>
        <v>0</v>
      </c>
      <c r="N799" s="9">
        <f t="shared" si="148"/>
        <v>-0.59049959049959044</v>
      </c>
      <c r="O799">
        <f>COUNTIFS($B$2:B799,B799,$C$2:C799,C799,$D$2:D799,"&lt;"&amp;D799,$F$2:F799,1)</f>
        <v>0</v>
      </c>
      <c r="P799">
        <f t="shared" si="146"/>
        <v>0</v>
      </c>
      <c r="Q799" t="str">
        <f t="shared" si="149"/>
        <v>Monitor</v>
      </c>
      <c r="R799">
        <v>0</v>
      </c>
      <c r="S799">
        <f t="shared" si="150"/>
        <v>0</v>
      </c>
      <c r="T799">
        <f t="shared" si="151"/>
        <v>0</v>
      </c>
      <c r="U799" t="str">
        <f t="shared" si="152"/>
        <v>Not Improved Enough</v>
      </c>
      <c r="V799" t="str">
        <f t="shared" si="153"/>
        <v>Close</v>
      </c>
      <c r="W799" t="str">
        <f t="shared" si="154"/>
        <v>Normal</v>
      </c>
      <c r="X799" t="str">
        <f t="shared" si="155"/>
        <v>Allowed</v>
      </c>
    </row>
    <row r="800" spans="1:24" x14ac:dyDescent="0.3">
      <c r="A800" t="s">
        <v>10</v>
      </c>
      <c r="B800" t="s">
        <v>31</v>
      </c>
      <c r="C800" t="s">
        <v>15</v>
      </c>
      <c r="D800" s="3">
        <v>45991</v>
      </c>
      <c r="E800" s="6">
        <v>2.7027027027027029E-2</v>
      </c>
      <c r="F800">
        <v>0</v>
      </c>
      <c r="G800" t="s">
        <v>13</v>
      </c>
      <c r="H800" s="6">
        <v>6.6000000000000003E-2</v>
      </c>
      <c r="I800" s="8">
        <v>0</v>
      </c>
      <c r="J800" s="5">
        <f t="shared" si="144"/>
        <v>-2.475667272801203E-2</v>
      </c>
      <c r="K800" s="5" cm="1">
        <f t="array" ref="K800">_xlfn.STDEV.S(IF($C:$C=C800,$I:$I))</f>
        <v>0.42334565134305008</v>
      </c>
      <c r="L800" s="7">
        <f t="shared" si="147"/>
        <v>5.8478627687499105E-2</v>
      </c>
      <c r="M800">
        <f t="shared" si="145"/>
        <v>0</v>
      </c>
      <c r="N800" s="9">
        <f t="shared" si="148"/>
        <v>-0.59049959049959044</v>
      </c>
      <c r="O800">
        <f>COUNTIFS($B$2:B800,B800,$C$2:C800,C800,$D$2:D800,"&lt;"&amp;D800,$F$2:F800,1)</f>
        <v>0</v>
      </c>
      <c r="P800">
        <f t="shared" si="146"/>
        <v>0</v>
      </c>
      <c r="Q800" t="str">
        <f t="shared" si="149"/>
        <v>Monitor</v>
      </c>
      <c r="R800">
        <v>0</v>
      </c>
      <c r="S800">
        <f t="shared" si="150"/>
        <v>0</v>
      </c>
      <c r="T800">
        <f t="shared" si="151"/>
        <v>0</v>
      </c>
      <c r="U800" t="str">
        <f t="shared" si="152"/>
        <v>Not Improved Enough</v>
      </c>
      <c r="V800" t="str">
        <f t="shared" si="153"/>
        <v>Close</v>
      </c>
      <c r="W800" t="str">
        <f t="shared" si="154"/>
        <v>Normal</v>
      </c>
      <c r="X800" t="str">
        <f t="shared" si="155"/>
        <v>Allowed</v>
      </c>
    </row>
    <row r="801" spans="1:24" x14ac:dyDescent="0.3">
      <c r="A801" t="s">
        <v>10</v>
      </c>
      <c r="B801" t="s">
        <v>31</v>
      </c>
      <c r="C801" t="s">
        <v>18</v>
      </c>
      <c r="D801" s="3">
        <v>45535</v>
      </c>
      <c r="E801" s="6">
        <v>5.8051140290255702E-2</v>
      </c>
      <c r="F801">
        <v>0</v>
      </c>
      <c r="G801" t="s">
        <v>13</v>
      </c>
      <c r="H801" s="6">
        <v>0.104</v>
      </c>
      <c r="I801" s="8">
        <v>-4.1465100207324426E-3</v>
      </c>
      <c r="J801" s="5">
        <f t="shared" si="144"/>
        <v>1.7244519882342341E-3</v>
      </c>
      <c r="K801" s="5" cm="1">
        <f t="array" ref="K801">_xlfn.STDEV.S(IF($C:$C=C801,$I:$I))</f>
        <v>8.3117651155014696E-2</v>
      </c>
      <c r="L801" s="7">
        <f t="shared" si="147"/>
        <v>-7.0634358976498418E-2</v>
      </c>
      <c r="M801">
        <f t="shared" si="145"/>
        <v>0</v>
      </c>
      <c r="N801" s="9">
        <f t="shared" si="148"/>
        <v>-0.44181595874754132</v>
      </c>
      <c r="O801">
        <f>COUNTIFS($B$2:B801,B801,$C$2:C801,C801,$D$2:D801,"&lt;"&amp;D801,$F$2:F801,1)</f>
        <v>0</v>
      </c>
      <c r="P801">
        <f t="shared" si="146"/>
        <v>0</v>
      </c>
      <c r="Q801" t="str">
        <f t="shared" si="149"/>
        <v>Monitor</v>
      </c>
      <c r="R801">
        <v>0</v>
      </c>
      <c r="S801">
        <f t="shared" si="150"/>
        <v>0</v>
      </c>
      <c r="T801">
        <f t="shared" si="151"/>
        <v>0</v>
      </c>
      <c r="U801" t="str">
        <f t="shared" si="152"/>
        <v>Not Improved Enough</v>
      </c>
      <c r="V801" t="str">
        <f t="shared" si="153"/>
        <v>Close</v>
      </c>
      <c r="W801" t="str">
        <f t="shared" si="154"/>
        <v>Normal</v>
      </c>
      <c r="X801" t="str">
        <f t="shared" si="155"/>
        <v>Allowed</v>
      </c>
    </row>
    <row r="802" spans="1:24" x14ac:dyDescent="0.3">
      <c r="A802" t="s">
        <v>10</v>
      </c>
      <c r="B802" t="s">
        <v>31</v>
      </c>
      <c r="C802" t="s">
        <v>18</v>
      </c>
      <c r="D802" s="3">
        <v>45565</v>
      </c>
      <c r="E802" s="6">
        <v>5.8292852185981958E-2</v>
      </c>
      <c r="F802">
        <v>0</v>
      </c>
      <c r="G802" t="s">
        <v>13</v>
      </c>
      <c r="H802" s="6">
        <v>0.104</v>
      </c>
      <c r="I802" s="8">
        <v>-4.1637751561415708E-3</v>
      </c>
      <c r="J802" s="5">
        <f t="shared" si="144"/>
        <v>1.7244519882342341E-3</v>
      </c>
      <c r="K802" s="5" cm="1">
        <f t="array" ref="K802">_xlfn.STDEV.S(IF($C:$C=C802,$I:$I))</f>
        <v>8.3117651155014696E-2</v>
      </c>
      <c r="L802" s="7">
        <f t="shared" si="147"/>
        <v>-7.0842078217468407E-2</v>
      </c>
      <c r="M802">
        <f t="shared" si="145"/>
        <v>0</v>
      </c>
      <c r="N802" s="9">
        <f t="shared" si="148"/>
        <v>-0.43949180590401959</v>
      </c>
      <c r="O802">
        <f>COUNTIFS($B$2:B802,B802,$C$2:C802,C802,$D$2:D802,"&lt;"&amp;D802,$F$2:F802,1)</f>
        <v>0</v>
      </c>
      <c r="P802">
        <f t="shared" si="146"/>
        <v>0</v>
      </c>
      <c r="Q802" t="str">
        <f t="shared" si="149"/>
        <v>Monitor</v>
      </c>
      <c r="R802">
        <v>0</v>
      </c>
      <c r="S802">
        <f t="shared" si="150"/>
        <v>0</v>
      </c>
      <c r="T802">
        <f t="shared" si="151"/>
        <v>0</v>
      </c>
      <c r="U802" t="str">
        <f t="shared" si="152"/>
        <v>Not Improved Enough</v>
      </c>
      <c r="V802" t="str">
        <f t="shared" si="153"/>
        <v>Close</v>
      </c>
      <c r="W802" t="str">
        <f t="shared" si="154"/>
        <v>Normal</v>
      </c>
      <c r="X802" t="str">
        <f t="shared" si="155"/>
        <v>Allowed</v>
      </c>
    </row>
    <row r="803" spans="1:24" x14ac:dyDescent="0.3">
      <c r="A803" t="s">
        <v>10</v>
      </c>
      <c r="B803" t="s">
        <v>31</v>
      </c>
      <c r="C803" t="s">
        <v>18</v>
      </c>
      <c r="D803" s="3">
        <v>45596</v>
      </c>
      <c r="E803" s="6">
        <v>5.0069541029207243E-2</v>
      </c>
      <c r="F803">
        <v>0</v>
      </c>
      <c r="G803" t="s">
        <v>13</v>
      </c>
      <c r="H803" s="6">
        <v>0.104</v>
      </c>
      <c r="I803" s="8">
        <v>0.1410689449632424</v>
      </c>
      <c r="J803" s="5">
        <f t="shared" si="144"/>
        <v>1.7244519882342341E-3</v>
      </c>
      <c r="K803" s="5" cm="1">
        <f t="array" ref="K803">_xlfn.STDEV.S(IF($C:$C=C803,$I:$I))</f>
        <v>8.3117651155014696E-2</v>
      </c>
      <c r="L803" s="7">
        <f t="shared" si="147"/>
        <v>1.6764729397264875</v>
      </c>
      <c r="M803">
        <f t="shared" si="145"/>
        <v>-1</v>
      </c>
      <c r="N803" s="9">
        <f t="shared" si="148"/>
        <v>-0.51856210548839188</v>
      </c>
      <c r="O803">
        <f>COUNTIFS($B$2:B803,B803,$C$2:C803,C803,$D$2:D803,"&lt;"&amp;D803,$F$2:F803,1)</f>
        <v>0</v>
      </c>
      <c r="P803">
        <f t="shared" si="146"/>
        <v>0</v>
      </c>
      <c r="Q803" t="str">
        <f t="shared" si="149"/>
        <v>Monitor</v>
      </c>
      <c r="R803">
        <v>0</v>
      </c>
      <c r="S803">
        <f t="shared" si="150"/>
        <v>0</v>
      </c>
      <c r="T803">
        <f t="shared" si="151"/>
        <v>0</v>
      </c>
      <c r="U803" t="str">
        <f t="shared" si="152"/>
        <v>Improved Enough</v>
      </c>
      <c r="V803" t="str">
        <f t="shared" si="153"/>
        <v>Close</v>
      </c>
      <c r="W803" t="str">
        <f t="shared" si="154"/>
        <v>Normal</v>
      </c>
      <c r="X803" t="str">
        <f t="shared" si="155"/>
        <v>Allowed</v>
      </c>
    </row>
    <row r="804" spans="1:24" x14ac:dyDescent="0.3">
      <c r="A804" t="s">
        <v>10</v>
      </c>
      <c r="B804" t="s">
        <v>31</v>
      </c>
      <c r="C804" t="s">
        <v>18</v>
      </c>
      <c r="D804" s="3">
        <v>45626</v>
      </c>
      <c r="E804" s="6">
        <v>5.0139276000000003E-2</v>
      </c>
      <c r="F804">
        <v>0</v>
      </c>
      <c r="G804" t="s">
        <v>13</v>
      </c>
      <c r="H804" s="6">
        <v>0.104</v>
      </c>
      <c r="I804" s="8">
        <v>-1.392762333333189E-3</v>
      </c>
      <c r="J804" s="5">
        <f t="shared" si="144"/>
        <v>1.7244519882342341E-3</v>
      </c>
      <c r="K804" s="5" cm="1">
        <f t="array" ref="K804">_xlfn.STDEV.S(IF($C:$C=C804,$I:$I))</f>
        <v>8.3117651155014696E-2</v>
      </c>
      <c r="L804" s="7">
        <f t="shared" si="147"/>
        <v>-3.7503638255535009E-2</v>
      </c>
      <c r="M804">
        <f t="shared" si="145"/>
        <v>0</v>
      </c>
      <c r="N804" s="9">
        <f t="shared" si="148"/>
        <v>-0.51789157692307686</v>
      </c>
      <c r="O804">
        <f>COUNTIFS($B$2:B804,B804,$C$2:C804,C804,$D$2:D804,"&lt;"&amp;D804,$F$2:F804,1)</f>
        <v>0</v>
      </c>
      <c r="P804">
        <f t="shared" si="146"/>
        <v>0</v>
      </c>
      <c r="Q804" t="str">
        <f t="shared" si="149"/>
        <v>Monitor</v>
      </c>
      <c r="R804">
        <v>0</v>
      </c>
      <c r="S804">
        <f t="shared" si="150"/>
        <v>0</v>
      </c>
      <c r="T804">
        <f t="shared" si="151"/>
        <v>0</v>
      </c>
      <c r="U804" t="str">
        <f t="shared" si="152"/>
        <v>Not Improved Enough</v>
      </c>
      <c r="V804" t="str">
        <f t="shared" si="153"/>
        <v>Close</v>
      </c>
      <c r="W804" t="str">
        <f t="shared" si="154"/>
        <v>Normal</v>
      </c>
      <c r="X804" t="str">
        <f t="shared" si="155"/>
        <v>Allowed</v>
      </c>
    </row>
    <row r="805" spans="1:24" x14ac:dyDescent="0.3">
      <c r="A805" t="s">
        <v>10</v>
      </c>
      <c r="B805" t="s">
        <v>31</v>
      </c>
      <c r="C805" t="s">
        <v>18</v>
      </c>
      <c r="D805" s="3">
        <v>45657</v>
      </c>
      <c r="E805" s="6">
        <v>5.027932960893855E-2</v>
      </c>
      <c r="F805">
        <v>0</v>
      </c>
      <c r="G805" t="s">
        <v>13</v>
      </c>
      <c r="H805" s="6">
        <v>0.104</v>
      </c>
      <c r="I805" s="8">
        <v>-2.7932914096834289E-3</v>
      </c>
      <c r="J805" s="5">
        <f t="shared" si="144"/>
        <v>1.7244519882342341E-3</v>
      </c>
      <c r="K805" s="5" cm="1">
        <f t="array" ref="K805">_xlfn.STDEV.S(IF($C:$C=C805,$I:$I))</f>
        <v>8.3117651155014696E-2</v>
      </c>
      <c r="L805" s="7">
        <f t="shared" si="147"/>
        <v>-5.4353598004015499E-2</v>
      </c>
      <c r="M805">
        <f t="shared" si="145"/>
        <v>0</v>
      </c>
      <c r="N805" s="9">
        <f t="shared" si="148"/>
        <v>-0.51654490760636007</v>
      </c>
      <c r="O805">
        <f>COUNTIFS($B$2:B805,B805,$C$2:C805,C805,$D$2:D805,"&lt;"&amp;D805,$F$2:F805,1)</f>
        <v>0</v>
      </c>
      <c r="P805">
        <f t="shared" si="146"/>
        <v>0</v>
      </c>
      <c r="Q805" t="str">
        <f t="shared" si="149"/>
        <v>Monitor</v>
      </c>
      <c r="R805">
        <v>0</v>
      </c>
      <c r="S805">
        <f t="shared" si="150"/>
        <v>0</v>
      </c>
      <c r="T805">
        <f t="shared" si="151"/>
        <v>0</v>
      </c>
      <c r="U805" t="str">
        <f t="shared" si="152"/>
        <v>Not Improved Enough</v>
      </c>
      <c r="V805" t="str">
        <f t="shared" si="153"/>
        <v>Close</v>
      </c>
      <c r="W805" t="str">
        <f t="shared" si="154"/>
        <v>Normal</v>
      </c>
      <c r="X805" t="str">
        <f t="shared" si="155"/>
        <v>Allowed</v>
      </c>
    </row>
    <row r="806" spans="1:24" x14ac:dyDescent="0.3">
      <c r="A806" t="s">
        <v>10</v>
      </c>
      <c r="B806" t="s">
        <v>31</v>
      </c>
      <c r="C806" t="s">
        <v>18</v>
      </c>
      <c r="D806" s="3">
        <v>45688</v>
      </c>
      <c r="E806" s="6">
        <v>5.0526315789473683E-2</v>
      </c>
      <c r="F806">
        <v>0</v>
      </c>
      <c r="G806" t="s">
        <v>13</v>
      </c>
      <c r="H806" s="6">
        <v>0.104</v>
      </c>
      <c r="I806" s="8">
        <v>-4.9122807017543133E-3</v>
      </c>
      <c r="J806" s="5">
        <f t="shared" si="144"/>
        <v>1.7244519882342341E-3</v>
      </c>
      <c r="K806" s="5" cm="1">
        <f t="array" ref="K806">_xlfn.STDEV.S(IF($C:$C=C806,$I:$I))</f>
        <v>8.3117651155014696E-2</v>
      </c>
      <c r="L806" s="7">
        <f t="shared" si="147"/>
        <v>-7.9847452349333339E-2</v>
      </c>
      <c r="M806">
        <f t="shared" si="145"/>
        <v>0</v>
      </c>
      <c r="N806" s="9">
        <f t="shared" si="148"/>
        <v>-0.51417004048582993</v>
      </c>
      <c r="O806">
        <f>COUNTIFS($B$2:B806,B806,$C$2:C806,C806,$D$2:D806,"&lt;"&amp;D806,$F$2:F806,1)</f>
        <v>0</v>
      </c>
      <c r="P806">
        <f t="shared" si="146"/>
        <v>0</v>
      </c>
      <c r="Q806" t="str">
        <f t="shared" si="149"/>
        <v>Monitor</v>
      </c>
      <c r="R806">
        <v>0</v>
      </c>
      <c r="S806">
        <f t="shared" si="150"/>
        <v>0</v>
      </c>
      <c r="T806">
        <f t="shared" si="151"/>
        <v>0</v>
      </c>
      <c r="U806" t="str">
        <f t="shared" si="152"/>
        <v>Not Improved Enough</v>
      </c>
      <c r="V806" t="str">
        <f t="shared" si="153"/>
        <v>Close</v>
      </c>
      <c r="W806" t="str">
        <f t="shared" si="154"/>
        <v>Normal</v>
      </c>
      <c r="X806" t="str">
        <f t="shared" si="155"/>
        <v>Allowed</v>
      </c>
    </row>
    <row r="807" spans="1:24" x14ac:dyDescent="0.3">
      <c r="A807" t="s">
        <v>10</v>
      </c>
      <c r="B807" t="s">
        <v>31</v>
      </c>
      <c r="C807" t="s">
        <v>18</v>
      </c>
      <c r="D807" s="3">
        <v>45716</v>
      </c>
      <c r="E807" s="6">
        <v>6.7892503536067891E-2</v>
      </c>
      <c r="F807">
        <v>0</v>
      </c>
      <c r="G807" t="s">
        <v>13</v>
      </c>
      <c r="H807" s="6">
        <v>0.104</v>
      </c>
      <c r="I807" s="8">
        <v>-0.34370579915134369</v>
      </c>
      <c r="J807" s="5">
        <f t="shared" si="144"/>
        <v>1.7244519882342341E-3</v>
      </c>
      <c r="K807" s="5" cm="1">
        <f t="array" ref="K807">_xlfn.STDEV.S(IF($C:$C=C807,$I:$I))</f>
        <v>8.3117651155014696E-2</v>
      </c>
      <c r="L807" s="7">
        <f t="shared" si="147"/>
        <v>-4.1559193064220423</v>
      </c>
      <c r="M807">
        <f t="shared" si="145"/>
        <v>1</v>
      </c>
      <c r="N807" s="9">
        <f t="shared" si="148"/>
        <v>-0.34718746599934719</v>
      </c>
      <c r="O807">
        <f>COUNTIFS($B$2:B807,B807,$C$2:C807,C807,$D$2:D807,"&lt;"&amp;D807,$F$2:F807,1)</f>
        <v>0</v>
      </c>
      <c r="P807">
        <f t="shared" si="146"/>
        <v>0</v>
      </c>
      <c r="Q807" t="str">
        <f t="shared" si="149"/>
        <v>Monitor</v>
      </c>
      <c r="R807">
        <v>0</v>
      </c>
      <c r="S807">
        <f t="shared" si="150"/>
        <v>0</v>
      </c>
      <c r="T807">
        <f t="shared" si="151"/>
        <v>0</v>
      </c>
      <c r="U807" t="str">
        <f t="shared" si="152"/>
        <v>Not Improved Enough</v>
      </c>
      <c r="V807" t="str">
        <f t="shared" si="153"/>
        <v>Close</v>
      </c>
      <c r="W807" t="str">
        <f t="shared" si="154"/>
        <v>Abnormal</v>
      </c>
      <c r="X807" t="str">
        <f t="shared" si="155"/>
        <v>Allowed</v>
      </c>
    </row>
    <row r="808" spans="1:24" x14ac:dyDescent="0.3">
      <c r="A808" t="s">
        <v>10</v>
      </c>
      <c r="B808" t="s">
        <v>31</v>
      </c>
      <c r="C808" t="s">
        <v>18</v>
      </c>
      <c r="D808" s="3">
        <v>45747</v>
      </c>
      <c r="E808" s="6">
        <v>4.2643923240938172E-2</v>
      </c>
      <c r="F808">
        <v>0</v>
      </c>
      <c r="G808" t="s">
        <v>13</v>
      </c>
      <c r="H808" s="6">
        <v>0.104</v>
      </c>
      <c r="I808" s="8">
        <v>0.37189054726368148</v>
      </c>
      <c r="J808" s="5">
        <f t="shared" si="144"/>
        <v>1.7244519882342341E-3</v>
      </c>
      <c r="K808" s="5" cm="1">
        <f t="array" ref="K808">_xlfn.STDEV.S(IF($C:$C=C808,$I:$I))</f>
        <v>8.3117651155014696E-2</v>
      </c>
      <c r="L808" s="7">
        <f t="shared" si="147"/>
        <v>4.4535196812177267</v>
      </c>
      <c r="M808">
        <f t="shared" si="145"/>
        <v>-1</v>
      </c>
      <c r="N808" s="9">
        <f t="shared" si="148"/>
        <v>-0.58996227652944067</v>
      </c>
      <c r="O808">
        <f>COUNTIFS($B$2:B808,B808,$C$2:C808,C808,$D$2:D808,"&lt;"&amp;D808,$F$2:F808,1)</f>
        <v>0</v>
      </c>
      <c r="P808">
        <f t="shared" si="146"/>
        <v>0</v>
      </c>
      <c r="Q808" t="str">
        <f t="shared" si="149"/>
        <v>Monitor</v>
      </c>
      <c r="R808">
        <v>0</v>
      </c>
      <c r="S808">
        <f t="shared" si="150"/>
        <v>0</v>
      </c>
      <c r="T808">
        <f t="shared" si="151"/>
        <v>0</v>
      </c>
      <c r="U808" t="str">
        <f t="shared" si="152"/>
        <v>Improved Enough</v>
      </c>
      <c r="V808" t="str">
        <f t="shared" si="153"/>
        <v>Close</v>
      </c>
      <c r="W808" t="str">
        <f t="shared" si="154"/>
        <v>Normal</v>
      </c>
      <c r="X808" t="str">
        <f t="shared" si="155"/>
        <v>Allowed</v>
      </c>
    </row>
    <row r="809" spans="1:24" x14ac:dyDescent="0.3">
      <c r="A809" t="s">
        <v>10</v>
      </c>
      <c r="B809" t="s">
        <v>31</v>
      </c>
      <c r="C809" t="s">
        <v>18</v>
      </c>
      <c r="D809" s="3">
        <v>45777</v>
      </c>
      <c r="E809" s="6">
        <v>4.2735042735042743E-2</v>
      </c>
      <c r="F809">
        <v>0</v>
      </c>
      <c r="G809" t="s">
        <v>13</v>
      </c>
      <c r="H809" s="6">
        <v>0.104</v>
      </c>
      <c r="I809" s="8">
        <v>-2.1367521367521751E-3</v>
      </c>
      <c r="J809" s="5">
        <f t="shared" si="144"/>
        <v>1.7244519882342341E-3</v>
      </c>
      <c r="K809" s="5" cm="1">
        <f t="array" ref="K809">_xlfn.STDEV.S(IF($C:$C=C809,$I:$I))</f>
        <v>8.3117651155014696E-2</v>
      </c>
      <c r="L809" s="7">
        <f t="shared" si="147"/>
        <v>-4.6454682866161015E-2</v>
      </c>
      <c r="M809">
        <f t="shared" si="145"/>
        <v>0</v>
      </c>
      <c r="N809" s="9">
        <f t="shared" si="148"/>
        <v>-0.58908612754766587</v>
      </c>
      <c r="O809">
        <f>COUNTIFS($B$2:B809,B809,$C$2:C809,C809,$D$2:D809,"&lt;"&amp;D809,$F$2:F809,1)</f>
        <v>0</v>
      </c>
      <c r="P809">
        <f t="shared" si="146"/>
        <v>0</v>
      </c>
      <c r="Q809" t="str">
        <f t="shared" si="149"/>
        <v>Monitor</v>
      </c>
      <c r="R809">
        <v>0</v>
      </c>
      <c r="S809">
        <f t="shared" si="150"/>
        <v>0</v>
      </c>
      <c r="T809">
        <f t="shared" si="151"/>
        <v>0</v>
      </c>
      <c r="U809" t="str">
        <f t="shared" si="152"/>
        <v>Not Improved Enough</v>
      </c>
      <c r="V809" t="str">
        <f t="shared" si="153"/>
        <v>Close</v>
      </c>
      <c r="W809" t="str">
        <f t="shared" si="154"/>
        <v>Normal</v>
      </c>
      <c r="X809" t="str">
        <f t="shared" si="155"/>
        <v>Allowed</v>
      </c>
    </row>
    <row r="810" spans="1:24" x14ac:dyDescent="0.3">
      <c r="A810" t="s">
        <v>10</v>
      </c>
      <c r="B810" t="s">
        <v>31</v>
      </c>
      <c r="C810" t="s">
        <v>18</v>
      </c>
      <c r="D810" s="3">
        <v>45808</v>
      </c>
      <c r="E810" s="6">
        <v>5.1428571428571428E-2</v>
      </c>
      <c r="F810">
        <v>0</v>
      </c>
      <c r="G810" t="s">
        <v>13</v>
      </c>
      <c r="H810" s="6">
        <v>0.104</v>
      </c>
      <c r="I810" s="8">
        <v>-0.20342857142857121</v>
      </c>
      <c r="J810" s="5">
        <f t="shared" si="144"/>
        <v>1.7244519882342341E-3</v>
      </c>
      <c r="K810" s="5" cm="1">
        <f t="array" ref="K810">_xlfn.STDEV.S(IF($C:$C=C810,$I:$I))</f>
        <v>8.3117651155014696E-2</v>
      </c>
      <c r="L810" s="7">
        <f t="shared" si="147"/>
        <v>-2.4682245054566612</v>
      </c>
      <c r="M810">
        <f t="shared" si="145"/>
        <v>1</v>
      </c>
      <c r="N810" s="9">
        <f t="shared" si="148"/>
        <v>-0.50549450549450547</v>
      </c>
      <c r="O810">
        <f>COUNTIFS($B$2:B810,B810,$C$2:C810,C810,$D$2:D810,"&lt;"&amp;D810,$F$2:F810,1)</f>
        <v>0</v>
      </c>
      <c r="P810">
        <f t="shared" si="146"/>
        <v>0</v>
      </c>
      <c r="Q810" t="str">
        <f t="shared" si="149"/>
        <v>Monitor</v>
      </c>
      <c r="R810">
        <v>0</v>
      </c>
      <c r="S810">
        <f t="shared" si="150"/>
        <v>0</v>
      </c>
      <c r="T810">
        <f t="shared" si="151"/>
        <v>0</v>
      </c>
      <c r="U810" t="str">
        <f t="shared" si="152"/>
        <v>Not Improved Enough</v>
      </c>
      <c r="V810" t="str">
        <f t="shared" si="153"/>
        <v>Close</v>
      </c>
      <c r="W810" t="str">
        <f t="shared" si="154"/>
        <v>Abnormal</v>
      </c>
      <c r="X810" t="str">
        <f t="shared" si="155"/>
        <v>Allowed</v>
      </c>
    </row>
    <row r="811" spans="1:24" x14ac:dyDescent="0.3">
      <c r="A811" t="s">
        <v>10</v>
      </c>
      <c r="B811" t="s">
        <v>31</v>
      </c>
      <c r="C811" t="s">
        <v>18</v>
      </c>
      <c r="D811" s="3">
        <v>45838</v>
      </c>
      <c r="E811" s="6">
        <v>5.1575931232091692E-2</v>
      </c>
      <c r="F811">
        <v>0</v>
      </c>
      <c r="G811" t="s">
        <v>13</v>
      </c>
      <c r="H811" s="6">
        <v>0.104</v>
      </c>
      <c r="I811" s="8">
        <v>-2.86532951289402E-3</v>
      </c>
      <c r="J811" s="5">
        <f t="shared" si="144"/>
        <v>1.7244519882342341E-3</v>
      </c>
      <c r="K811" s="5" cm="1">
        <f t="array" ref="K811">_xlfn.STDEV.S(IF($C:$C=C811,$I:$I))</f>
        <v>8.3117651155014696E-2</v>
      </c>
      <c r="L811" s="7">
        <f t="shared" si="147"/>
        <v>-5.5220298424558424E-2</v>
      </c>
      <c r="M811">
        <f t="shared" si="145"/>
        <v>0</v>
      </c>
      <c r="N811" s="9">
        <f t="shared" si="148"/>
        <v>-0.5040775843068106</v>
      </c>
      <c r="O811">
        <f>COUNTIFS($B$2:B811,B811,$C$2:C811,C811,$D$2:D811,"&lt;"&amp;D811,$F$2:F811,1)</f>
        <v>0</v>
      </c>
      <c r="P811">
        <f t="shared" si="146"/>
        <v>0</v>
      </c>
      <c r="Q811" t="str">
        <f t="shared" si="149"/>
        <v>Monitor</v>
      </c>
      <c r="R811">
        <v>0</v>
      </c>
      <c r="S811">
        <f t="shared" si="150"/>
        <v>0</v>
      </c>
      <c r="T811">
        <f t="shared" si="151"/>
        <v>0</v>
      </c>
      <c r="U811" t="str">
        <f t="shared" si="152"/>
        <v>Not Improved Enough</v>
      </c>
      <c r="V811" t="str">
        <f t="shared" si="153"/>
        <v>Close</v>
      </c>
      <c r="W811" t="str">
        <f t="shared" si="154"/>
        <v>Normal</v>
      </c>
      <c r="X811" t="str">
        <f t="shared" si="155"/>
        <v>Allowed</v>
      </c>
    </row>
    <row r="812" spans="1:24" x14ac:dyDescent="0.3">
      <c r="A812" t="s">
        <v>10</v>
      </c>
      <c r="B812" t="s">
        <v>31</v>
      </c>
      <c r="C812" t="s">
        <v>18</v>
      </c>
      <c r="D812" s="3">
        <v>45869</v>
      </c>
      <c r="E812" s="6">
        <v>3.4359341445955621E-2</v>
      </c>
      <c r="F812">
        <v>0</v>
      </c>
      <c r="G812" t="s">
        <v>13</v>
      </c>
      <c r="H812" s="6">
        <v>0.104</v>
      </c>
      <c r="I812" s="8">
        <v>0.33381054640897162</v>
      </c>
      <c r="J812" s="5">
        <f t="shared" si="144"/>
        <v>1.7244519882342341E-3</v>
      </c>
      <c r="K812" s="5" cm="1">
        <f t="array" ref="K812">_xlfn.STDEV.S(IF($C:$C=C812,$I:$I))</f>
        <v>8.3117651155014696E-2</v>
      </c>
      <c r="L812" s="7">
        <f t="shared" si="147"/>
        <v>3.9953739044116601</v>
      </c>
      <c r="M812">
        <f t="shared" si="145"/>
        <v>-1</v>
      </c>
      <c r="N812" s="9">
        <f t="shared" si="148"/>
        <v>-0.66962171686581129</v>
      </c>
      <c r="O812">
        <f>COUNTIFS($B$2:B812,B812,$C$2:C812,C812,$D$2:D812,"&lt;"&amp;D812,$F$2:F812,1)</f>
        <v>0</v>
      </c>
      <c r="P812">
        <f t="shared" si="146"/>
        <v>0</v>
      </c>
      <c r="Q812" t="str">
        <f t="shared" si="149"/>
        <v>Monitor</v>
      </c>
      <c r="R812">
        <v>0</v>
      </c>
      <c r="S812">
        <f t="shared" si="150"/>
        <v>0</v>
      </c>
      <c r="T812">
        <f t="shared" si="151"/>
        <v>0</v>
      </c>
      <c r="U812" t="str">
        <f t="shared" si="152"/>
        <v>Improved Enough</v>
      </c>
      <c r="V812" t="str">
        <f t="shared" si="153"/>
        <v>Close</v>
      </c>
      <c r="W812" t="str">
        <f t="shared" si="154"/>
        <v>Normal</v>
      </c>
      <c r="X812" t="str">
        <f t="shared" si="155"/>
        <v>Allowed</v>
      </c>
    </row>
    <row r="813" spans="1:24" x14ac:dyDescent="0.3">
      <c r="A813" t="s">
        <v>10</v>
      </c>
      <c r="B813" t="s">
        <v>31</v>
      </c>
      <c r="C813" t="s">
        <v>18</v>
      </c>
      <c r="D813" s="3">
        <v>45900</v>
      </c>
      <c r="E813" s="6">
        <v>3.4334763948497847E-2</v>
      </c>
      <c r="F813">
        <v>0</v>
      </c>
      <c r="G813" t="s">
        <v>13</v>
      </c>
      <c r="H813" s="6">
        <v>0.104</v>
      </c>
      <c r="I813" s="8">
        <v>7.1530758226063694E-4</v>
      </c>
      <c r="J813" s="5">
        <f t="shared" si="144"/>
        <v>1.7244519882342341E-3</v>
      </c>
      <c r="K813" s="5" cm="1">
        <f t="array" ref="K813">_xlfn.STDEV.S(IF($C:$C=C813,$I:$I))</f>
        <v>8.3117651155014696E-2</v>
      </c>
      <c r="L813" s="7">
        <f t="shared" si="147"/>
        <v>-1.2141156444514288E-2</v>
      </c>
      <c r="M813">
        <f t="shared" si="145"/>
        <v>0</v>
      </c>
      <c r="N813" s="9">
        <f t="shared" si="148"/>
        <v>-0.66985803895675156</v>
      </c>
      <c r="O813">
        <f>COUNTIFS($B$2:B813,B813,$C$2:C813,C813,$D$2:D813,"&lt;"&amp;D813,$F$2:F813,1)</f>
        <v>0</v>
      </c>
      <c r="P813">
        <f t="shared" si="146"/>
        <v>0</v>
      </c>
      <c r="Q813" t="str">
        <f t="shared" si="149"/>
        <v>Monitor</v>
      </c>
      <c r="R813">
        <v>0</v>
      </c>
      <c r="S813">
        <f t="shared" si="150"/>
        <v>0</v>
      </c>
      <c r="T813">
        <f t="shared" si="151"/>
        <v>0</v>
      </c>
      <c r="U813" t="str">
        <f t="shared" si="152"/>
        <v>Not Improved Enough</v>
      </c>
      <c r="V813" t="str">
        <f t="shared" si="153"/>
        <v>Close</v>
      </c>
      <c r="W813" t="str">
        <f t="shared" si="154"/>
        <v>Normal</v>
      </c>
      <c r="X813" t="str">
        <f t="shared" si="155"/>
        <v>Allowed</v>
      </c>
    </row>
    <row r="814" spans="1:24" x14ac:dyDescent="0.3">
      <c r="A814" t="s">
        <v>10</v>
      </c>
      <c r="B814" t="s">
        <v>31</v>
      </c>
      <c r="C814" t="s">
        <v>18</v>
      </c>
      <c r="D814" s="3">
        <v>45930</v>
      </c>
      <c r="E814" s="6">
        <v>3.4334763948497847E-2</v>
      </c>
      <c r="F814">
        <v>0</v>
      </c>
      <c r="G814" t="s">
        <v>13</v>
      </c>
      <c r="H814" s="6">
        <v>0.104</v>
      </c>
      <c r="I814" s="8">
        <v>0</v>
      </c>
      <c r="J814" s="5">
        <f t="shared" si="144"/>
        <v>1.7244519882342341E-3</v>
      </c>
      <c r="K814" s="5" cm="1">
        <f t="array" ref="K814">_xlfn.STDEV.S(IF($C:$C=C814,$I:$I))</f>
        <v>8.3117651155014696E-2</v>
      </c>
      <c r="L814" s="7">
        <f t="shared" si="147"/>
        <v>-2.0747121270524423E-2</v>
      </c>
      <c r="M814">
        <f t="shared" si="145"/>
        <v>0</v>
      </c>
      <c r="N814" s="9">
        <f t="shared" si="148"/>
        <v>-0.66985803895675156</v>
      </c>
      <c r="O814">
        <f>COUNTIFS($B$2:B814,B814,$C$2:C814,C814,$D$2:D814,"&lt;"&amp;D814,$F$2:F814,1)</f>
        <v>0</v>
      </c>
      <c r="P814">
        <f t="shared" si="146"/>
        <v>0</v>
      </c>
      <c r="Q814" t="str">
        <f t="shared" si="149"/>
        <v>Monitor</v>
      </c>
      <c r="R814">
        <v>0</v>
      </c>
      <c r="S814">
        <f t="shared" si="150"/>
        <v>0</v>
      </c>
      <c r="T814">
        <f t="shared" si="151"/>
        <v>0</v>
      </c>
      <c r="U814" t="str">
        <f t="shared" si="152"/>
        <v>Not Improved Enough</v>
      </c>
      <c r="V814" t="str">
        <f t="shared" si="153"/>
        <v>Close</v>
      </c>
      <c r="W814" t="str">
        <f t="shared" si="154"/>
        <v>Normal</v>
      </c>
      <c r="X814" t="str">
        <f t="shared" si="155"/>
        <v>Allowed</v>
      </c>
    </row>
    <row r="815" spans="1:24" x14ac:dyDescent="0.3">
      <c r="A815" t="s">
        <v>10</v>
      </c>
      <c r="B815" t="s">
        <v>31</v>
      </c>
      <c r="C815" t="s">
        <v>18</v>
      </c>
      <c r="D815" s="3">
        <v>45961</v>
      </c>
      <c r="E815" s="6">
        <v>3.4310221586847753E-2</v>
      </c>
      <c r="F815">
        <v>0</v>
      </c>
      <c r="G815" t="s">
        <v>13</v>
      </c>
      <c r="H815" s="6">
        <v>0.104</v>
      </c>
      <c r="I815" s="8">
        <v>7.1479628305899407E-4</v>
      </c>
      <c r="J815" s="5">
        <f t="shared" si="144"/>
        <v>1.7244519882342341E-3</v>
      </c>
      <c r="K815" s="5" cm="1">
        <f t="array" ref="K815">_xlfn.STDEV.S(IF($C:$C=C815,$I:$I))</f>
        <v>8.3117651155014696E-2</v>
      </c>
      <c r="L815" s="7">
        <f t="shared" si="147"/>
        <v>-1.2147307956191266E-2</v>
      </c>
      <c r="M815">
        <f t="shared" si="145"/>
        <v>0</v>
      </c>
      <c r="N815" s="9">
        <f t="shared" si="148"/>
        <v>-0.67009402320338696</v>
      </c>
      <c r="O815">
        <f>COUNTIFS($B$2:B815,B815,$C$2:C815,C815,$D$2:D815,"&lt;"&amp;D815,$F$2:F815,1)</f>
        <v>0</v>
      </c>
      <c r="P815">
        <f t="shared" si="146"/>
        <v>0</v>
      </c>
      <c r="Q815" t="str">
        <f t="shared" si="149"/>
        <v>Monitor</v>
      </c>
      <c r="R815">
        <v>0</v>
      </c>
      <c r="S815">
        <f t="shared" si="150"/>
        <v>0</v>
      </c>
      <c r="T815">
        <f t="shared" si="151"/>
        <v>0</v>
      </c>
      <c r="U815" t="str">
        <f t="shared" si="152"/>
        <v>Not Improved Enough</v>
      </c>
      <c r="V815" t="str">
        <f t="shared" si="153"/>
        <v>Close</v>
      </c>
      <c r="W815" t="str">
        <f t="shared" si="154"/>
        <v>Normal</v>
      </c>
      <c r="X815" t="str">
        <f t="shared" si="155"/>
        <v>Allowed</v>
      </c>
    </row>
    <row r="816" spans="1:24" x14ac:dyDescent="0.3">
      <c r="A816" t="s">
        <v>10</v>
      </c>
      <c r="B816" t="s">
        <v>31</v>
      </c>
      <c r="C816" t="s">
        <v>18</v>
      </c>
      <c r="D816" s="3">
        <v>45991</v>
      </c>
      <c r="E816" s="6">
        <v>5.1502145922746781E-2</v>
      </c>
      <c r="F816">
        <v>0</v>
      </c>
      <c r="G816" t="s">
        <v>13</v>
      </c>
      <c r="H816" s="6">
        <v>0.104</v>
      </c>
      <c r="I816" s="8">
        <v>-0.50107296137339041</v>
      </c>
      <c r="J816" s="5">
        <f t="shared" si="144"/>
        <v>1.7244519882342341E-3</v>
      </c>
      <c r="K816" s="5" cm="1">
        <f t="array" ref="K816">_xlfn.STDEV.S(IF($C:$C=C816,$I:$I))</f>
        <v>8.3117651155014696E-2</v>
      </c>
      <c r="L816" s="7">
        <f t="shared" si="147"/>
        <v>-6.0492254818883877</v>
      </c>
      <c r="M816">
        <f t="shared" si="145"/>
        <v>1</v>
      </c>
      <c r="N816" s="9">
        <f t="shared" si="148"/>
        <v>-0.50478705843512706</v>
      </c>
      <c r="O816">
        <f>COUNTIFS($B$2:B816,B816,$C$2:C816,C816,$D$2:D816,"&lt;"&amp;D816,$F$2:F816,1)</f>
        <v>0</v>
      </c>
      <c r="P816">
        <f t="shared" si="146"/>
        <v>0</v>
      </c>
      <c r="Q816" t="str">
        <f t="shared" si="149"/>
        <v>Monitor</v>
      </c>
      <c r="R816">
        <v>0</v>
      </c>
      <c r="S816">
        <f t="shared" si="150"/>
        <v>0</v>
      </c>
      <c r="T816">
        <f t="shared" si="151"/>
        <v>0</v>
      </c>
      <c r="U816" t="str">
        <f t="shared" si="152"/>
        <v>Not Improved Enough</v>
      </c>
      <c r="V816" t="str">
        <f t="shared" si="153"/>
        <v>Close</v>
      </c>
      <c r="W816" t="str">
        <f t="shared" si="154"/>
        <v>Abnormal</v>
      </c>
      <c r="X816" t="str">
        <f t="shared" si="155"/>
        <v>Allowed</v>
      </c>
    </row>
    <row r="817" spans="1:24" x14ac:dyDescent="0.3">
      <c r="A817" t="s">
        <v>10</v>
      </c>
      <c r="B817" t="s">
        <v>31</v>
      </c>
      <c r="C817" t="s">
        <v>19</v>
      </c>
      <c r="D817" s="3">
        <v>45535</v>
      </c>
      <c r="E817" s="6">
        <v>0.15789473684210531</v>
      </c>
      <c r="F817">
        <v>0</v>
      </c>
      <c r="G817" t="s">
        <v>13</v>
      </c>
      <c r="H817" s="6">
        <v>0.1</v>
      </c>
      <c r="I817" s="8">
        <v>-9.868421052631967E-3</v>
      </c>
      <c r="J817" s="5">
        <f t="shared" si="144"/>
        <v>-3.0570725046180952E-3</v>
      </c>
      <c r="K817" s="5" cm="1">
        <f t="array" ref="K817">_xlfn.STDEV.S(IF($C:$C=C817,$I:$I))</f>
        <v>0.17799866497296365</v>
      </c>
      <c r="L817" s="7">
        <f t="shared" si="147"/>
        <v>-3.8266290081717481E-2</v>
      </c>
      <c r="M817">
        <f t="shared" si="145"/>
        <v>0</v>
      </c>
      <c r="N817" s="9">
        <f t="shared" si="148"/>
        <v>0.57894736842105299</v>
      </c>
      <c r="O817">
        <f>COUNTIFS($B$2:B817,B817,$C$2:C817,C817,$D$2:D817,"&lt;"&amp;D817,$F$2:F817,1)</f>
        <v>0</v>
      </c>
      <c r="P817">
        <f t="shared" si="146"/>
        <v>0</v>
      </c>
      <c r="Q817" t="str">
        <f t="shared" si="149"/>
        <v>Monitor</v>
      </c>
      <c r="R817">
        <v>0</v>
      </c>
      <c r="S817">
        <f t="shared" si="150"/>
        <v>0</v>
      </c>
      <c r="T817">
        <f t="shared" si="151"/>
        <v>0</v>
      </c>
      <c r="U817" t="str">
        <f t="shared" si="152"/>
        <v>Not Improved Enough</v>
      </c>
      <c r="V817" t="str">
        <f t="shared" si="153"/>
        <v>Far</v>
      </c>
      <c r="W817" t="str">
        <f t="shared" si="154"/>
        <v>Normal</v>
      </c>
      <c r="X817" t="str">
        <f t="shared" si="155"/>
        <v>Allowed</v>
      </c>
    </row>
    <row r="818" spans="1:24" x14ac:dyDescent="0.3">
      <c r="A818" t="s">
        <v>10</v>
      </c>
      <c r="B818" t="s">
        <v>31</v>
      </c>
      <c r="C818" t="s">
        <v>19</v>
      </c>
      <c r="D818" s="3">
        <v>45565</v>
      </c>
      <c r="E818" s="6">
        <v>0.159468438538206</v>
      </c>
      <c r="F818">
        <v>0</v>
      </c>
      <c r="G818" t="s">
        <v>13</v>
      </c>
      <c r="H818" s="6">
        <v>0.1</v>
      </c>
      <c r="I818" s="8">
        <v>-9.9667774086376858E-3</v>
      </c>
      <c r="J818" s="5">
        <f t="shared" si="144"/>
        <v>-3.0570725046180952E-3</v>
      </c>
      <c r="K818" s="5" cm="1">
        <f t="array" ref="K818">_xlfn.STDEV.S(IF($C:$C=C818,$I:$I))</f>
        <v>0.17799866497296365</v>
      </c>
      <c r="L818" s="7">
        <f t="shared" si="147"/>
        <v>-3.8818858023845916E-2</v>
      </c>
      <c r="M818">
        <f t="shared" si="145"/>
        <v>0</v>
      </c>
      <c r="N818" s="9">
        <f t="shared" si="148"/>
        <v>0.59468438538205992</v>
      </c>
      <c r="O818">
        <f>COUNTIFS($B$2:B818,B818,$C$2:C818,C818,$D$2:D818,"&lt;"&amp;D818,$F$2:F818,1)</f>
        <v>0</v>
      </c>
      <c r="P818">
        <f t="shared" si="146"/>
        <v>0</v>
      </c>
      <c r="Q818" t="str">
        <f t="shared" si="149"/>
        <v>Monitor</v>
      </c>
      <c r="R818">
        <v>0</v>
      </c>
      <c r="S818">
        <f t="shared" si="150"/>
        <v>0</v>
      </c>
      <c r="T818">
        <f t="shared" si="151"/>
        <v>0</v>
      </c>
      <c r="U818" t="str">
        <f t="shared" si="152"/>
        <v>Not Improved Enough</v>
      </c>
      <c r="V818" t="str">
        <f t="shared" si="153"/>
        <v>Far</v>
      </c>
      <c r="W818" t="str">
        <f t="shared" si="154"/>
        <v>Normal</v>
      </c>
      <c r="X818" t="str">
        <f t="shared" si="155"/>
        <v>Allowed</v>
      </c>
    </row>
    <row r="819" spans="1:24" x14ac:dyDescent="0.3">
      <c r="A819" t="s">
        <v>10</v>
      </c>
      <c r="B819" t="s">
        <v>31</v>
      </c>
      <c r="C819" t="s">
        <v>19</v>
      </c>
      <c r="D819" s="3">
        <v>45596</v>
      </c>
      <c r="E819" s="6">
        <v>0.1204013377926421</v>
      </c>
      <c r="F819">
        <v>0</v>
      </c>
      <c r="G819" t="s">
        <v>13</v>
      </c>
      <c r="H819" s="6">
        <v>0.1</v>
      </c>
      <c r="I819" s="8">
        <v>0.24498327759197361</v>
      </c>
      <c r="J819" s="5">
        <f t="shared" si="144"/>
        <v>-3.0570725046180952E-3</v>
      </c>
      <c r="K819" s="5" cm="1">
        <f t="array" ref="K819">_xlfn.STDEV.S(IF($C:$C=C819,$I:$I))</f>
        <v>0.17799866497296365</v>
      </c>
      <c r="L819" s="7">
        <f t="shared" si="147"/>
        <v>1.3934955643305904</v>
      </c>
      <c r="M819">
        <f t="shared" si="145"/>
        <v>-1</v>
      </c>
      <c r="N819" s="9">
        <f t="shared" si="148"/>
        <v>0.20401337792642096</v>
      </c>
      <c r="O819">
        <f>COUNTIFS($B$2:B819,B819,$C$2:C819,C819,$D$2:D819,"&lt;"&amp;D819,$F$2:F819,1)</f>
        <v>0</v>
      </c>
      <c r="P819">
        <f t="shared" si="146"/>
        <v>0</v>
      </c>
      <c r="Q819" t="str">
        <f t="shared" si="149"/>
        <v>Monitor</v>
      </c>
      <c r="R819">
        <v>0</v>
      </c>
      <c r="S819">
        <f t="shared" si="150"/>
        <v>0</v>
      </c>
      <c r="T819">
        <f t="shared" si="151"/>
        <v>0</v>
      </c>
      <c r="U819" t="str">
        <f t="shared" si="152"/>
        <v>Improved Enough</v>
      </c>
      <c r="V819" t="str">
        <f t="shared" si="153"/>
        <v>Far</v>
      </c>
      <c r="W819" t="str">
        <f t="shared" si="154"/>
        <v>Normal</v>
      </c>
      <c r="X819" t="str">
        <f t="shared" si="155"/>
        <v>Allowed</v>
      </c>
    </row>
    <row r="820" spans="1:24" x14ac:dyDescent="0.3">
      <c r="A820" t="s">
        <v>10</v>
      </c>
      <c r="B820" t="s">
        <v>31</v>
      </c>
      <c r="C820" t="s">
        <v>19</v>
      </c>
      <c r="D820" s="3">
        <v>45626</v>
      </c>
      <c r="E820" s="6">
        <v>0.120805369</v>
      </c>
      <c r="F820">
        <v>0</v>
      </c>
      <c r="G820" t="s">
        <v>13</v>
      </c>
      <c r="H820" s="6">
        <v>0.1</v>
      </c>
      <c r="I820" s="8">
        <v>-3.3557036388891749E-3</v>
      </c>
      <c r="J820" s="5">
        <f t="shared" si="144"/>
        <v>-3.0570725046180952E-3</v>
      </c>
      <c r="K820" s="5" cm="1">
        <f t="array" ref="K820">_xlfn.STDEV.S(IF($C:$C=C820,$I:$I))</f>
        <v>0.17799866497296365</v>
      </c>
      <c r="L820" s="7">
        <f t="shared" si="147"/>
        <v>-1.6777155846446317E-3</v>
      </c>
      <c r="M820">
        <f t="shared" si="145"/>
        <v>0</v>
      </c>
      <c r="N820" s="9">
        <f t="shared" si="148"/>
        <v>0.2080536899999999</v>
      </c>
      <c r="O820">
        <f>COUNTIFS($B$2:B820,B820,$C$2:C820,C820,$D$2:D820,"&lt;"&amp;D820,$F$2:F820,1)</f>
        <v>0</v>
      </c>
      <c r="P820">
        <f t="shared" si="146"/>
        <v>0</v>
      </c>
      <c r="Q820" t="str">
        <f t="shared" si="149"/>
        <v>Monitor</v>
      </c>
      <c r="R820">
        <v>0</v>
      </c>
      <c r="S820">
        <f t="shared" si="150"/>
        <v>0</v>
      </c>
      <c r="T820">
        <f t="shared" si="151"/>
        <v>0</v>
      </c>
      <c r="U820" t="str">
        <f t="shared" si="152"/>
        <v>Not Improved Enough</v>
      </c>
      <c r="V820" t="str">
        <f t="shared" si="153"/>
        <v>Far</v>
      </c>
      <c r="W820" t="str">
        <f t="shared" si="154"/>
        <v>Normal</v>
      </c>
      <c r="X820" t="str">
        <f t="shared" si="155"/>
        <v>Allowed</v>
      </c>
    </row>
    <row r="821" spans="1:24" x14ac:dyDescent="0.3">
      <c r="A821" t="s">
        <v>10</v>
      </c>
      <c r="B821" t="s">
        <v>31</v>
      </c>
      <c r="C821" t="s">
        <v>19</v>
      </c>
      <c r="D821" s="3">
        <v>45657</v>
      </c>
      <c r="E821" s="6">
        <v>0.1212121212121212</v>
      </c>
      <c r="F821">
        <v>0</v>
      </c>
      <c r="G821" t="s">
        <v>13</v>
      </c>
      <c r="H821" s="6">
        <v>0.1</v>
      </c>
      <c r="I821" s="8">
        <v>-3.3670044261129308E-3</v>
      </c>
      <c r="J821" s="5">
        <f t="shared" si="144"/>
        <v>-3.0570725046180952E-3</v>
      </c>
      <c r="K821" s="5" cm="1">
        <f t="array" ref="K821">_xlfn.STDEV.S(IF($C:$C=C821,$I:$I))</f>
        <v>0.17799866497296365</v>
      </c>
      <c r="L821" s="7">
        <f t="shared" si="147"/>
        <v>-1.7412036294873973E-3</v>
      </c>
      <c r="M821">
        <f t="shared" si="145"/>
        <v>0</v>
      </c>
      <c r="N821" s="9">
        <f t="shared" si="148"/>
        <v>0.21212121212121196</v>
      </c>
      <c r="O821">
        <f>COUNTIFS($B$2:B821,B821,$C$2:C821,C821,$D$2:D821,"&lt;"&amp;D821,$F$2:F821,1)</f>
        <v>0</v>
      </c>
      <c r="P821">
        <f t="shared" si="146"/>
        <v>0</v>
      </c>
      <c r="Q821" t="str">
        <f t="shared" si="149"/>
        <v>Monitor</v>
      </c>
      <c r="R821">
        <v>0</v>
      </c>
      <c r="S821">
        <f t="shared" si="150"/>
        <v>0</v>
      </c>
      <c r="T821">
        <f t="shared" si="151"/>
        <v>0</v>
      </c>
      <c r="U821" t="str">
        <f t="shared" si="152"/>
        <v>Not Improved Enough</v>
      </c>
      <c r="V821" t="str">
        <f t="shared" si="153"/>
        <v>Far</v>
      </c>
      <c r="W821" t="str">
        <f t="shared" si="154"/>
        <v>Normal</v>
      </c>
      <c r="X821" t="str">
        <f t="shared" si="155"/>
        <v>Allowed</v>
      </c>
    </row>
    <row r="822" spans="1:24" x14ac:dyDescent="0.3">
      <c r="A822" t="s">
        <v>10</v>
      </c>
      <c r="B822" t="s">
        <v>31</v>
      </c>
      <c r="C822" t="s">
        <v>19</v>
      </c>
      <c r="D822" s="3">
        <v>45688</v>
      </c>
      <c r="E822" s="6">
        <v>0.12203389830508481</v>
      </c>
      <c r="F822">
        <v>0</v>
      </c>
      <c r="G822" t="s">
        <v>13</v>
      </c>
      <c r="H822" s="6">
        <v>0.1</v>
      </c>
      <c r="I822" s="8">
        <v>-6.7796610169497404E-3</v>
      </c>
      <c r="J822" s="5">
        <f t="shared" si="144"/>
        <v>-3.0570725046180952E-3</v>
      </c>
      <c r="K822" s="5" cm="1">
        <f t="array" ref="K822">_xlfn.STDEV.S(IF($C:$C=C822,$I:$I))</f>
        <v>0.17799866497296365</v>
      </c>
      <c r="L822" s="7">
        <f t="shared" si="147"/>
        <v>-2.0913575463597279E-2</v>
      </c>
      <c r="M822">
        <f t="shared" si="145"/>
        <v>0</v>
      </c>
      <c r="N822" s="9">
        <f t="shared" si="148"/>
        <v>0.22033898305084801</v>
      </c>
      <c r="O822">
        <f>COUNTIFS($B$2:B822,B822,$C$2:C822,C822,$D$2:D822,"&lt;"&amp;D822,$F$2:F822,1)</f>
        <v>0</v>
      </c>
      <c r="P822">
        <f t="shared" si="146"/>
        <v>0</v>
      </c>
      <c r="Q822" t="str">
        <f t="shared" si="149"/>
        <v>Monitor</v>
      </c>
      <c r="R822">
        <v>0</v>
      </c>
      <c r="S822">
        <f t="shared" si="150"/>
        <v>0</v>
      </c>
      <c r="T822">
        <f t="shared" si="151"/>
        <v>0</v>
      </c>
      <c r="U822" t="str">
        <f t="shared" si="152"/>
        <v>Not Improved Enough</v>
      </c>
      <c r="V822" t="str">
        <f t="shared" si="153"/>
        <v>Far</v>
      </c>
      <c r="W822" t="str">
        <f t="shared" si="154"/>
        <v>Normal</v>
      </c>
      <c r="X822" t="str">
        <f t="shared" si="155"/>
        <v>Allowed</v>
      </c>
    </row>
    <row r="823" spans="1:24" x14ac:dyDescent="0.3">
      <c r="A823" t="s">
        <v>10</v>
      </c>
      <c r="B823" t="s">
        <v>31</v>
      </c>
      <c r="C823" t="s">
        <v>19</v>
      </c>
      <c r="D823" s="3">
        <v>45716</v>
      </c>
      <c r="E823" s="6">
        <v>0.1224489795918367</v>
      </c>
      <c r="F823">
        <v>0</v>
      </c>
      <c r="G823" t="s">
        <v>13</v>
      </c>
      <c r="H823" s="6">
        <v>0.1</v>
      </c>
      <c r="I823" s="8">
        <v>-3.401360544216938E-3</v>
      </c>
      <c r="J823" s="5">
        <f t="shared" si="144"/>
        <v>-3.0570725046180952E-3</v>
      </c>
      <c r="K823" s="5" cm="1">
        <f t="array" ref="K823">_xlfn.STDEV.S(IF($C:$C=C823,$I:$I))</f>
        <v>0.17799866497296365</v>
      </c>
      <c r="L823" s="7">
        <f t="shared" si="147"/>
        <v>-1.9342169765775316E-3</v>
      </c>
      <c r="M823">
        <f t="shared" si="145"/>
        <v>0</v>
      </c>
      <c r="N823" s="9">
        <f t="shared" si="148"/>
        <v>0.22448979591836699</v>
      </c>
      <c r="O823">
        <f>COUNTIFS($B$2:B823,B823,$C$2:C823,C823,$D$2:D823,"&lt;"&amp;D823,$F$2:F823,1)</f>
        <v>0</v>
      </c>
      <c r="P823">
        <f t="shared" si="146"/>
        <v>0</v>
      </c>
      <c r="Q823" t="str">
        <f t="shared" si="149"/>
        <v>Monitor</v>
      </c>
      <c r="R823">
        <v>0</v>
      </c>
      <c r="S823">
        <f t="shared" si="150"/>
        <v>0</v>
      </c>
      <c r="T823">
        <f t="shared" si="151"/>
        <v>0</v>
      </c>
      <c r="U823" t="str">
        <f t="shared" si="152"/>
        <v>Not Improved Enough</v>
      </c>
      <c r="V823" t="str">
        <f t="shared" si="153"/>
        <v>Far</v>
      </c>
      <c r="W823" t="str">
        <f t="shared" si="154"/>
        <v>Normal</v>
      </c>
      <c r="X823" t="str">
        <f t="shared" si="155"/>
        <v>Allowed</v>
      </c>
    </row>
    <row r="824" spans="1:24" x14ac:dyDescent="0.3">
      <c r="A824" t="s">
        <v>10</v>
      </c>
      <c r="B824" t="s">
        <v>31</v>
      </c>
      <c r="C824" t="s">
        <v>19</v>
      </c>
      <c r="D824" s="3">
        <v>45747</v>
      </c>
      <c r="E824" s="6">
        <v>8.2191780821917818E-2</v>
      </c>
      <c r="F824">
        <v>0</v>
      </c>
      <c r="G824" t="s">
        <v>13</v>
      </c>
      <c r="H824" s="6">
        <v>0.1</v>
      </c>
      <c r="I824" s="8">
        <v>0.32876712328767099</v>
      </c>
      <c r="J824" s="5">
        <f t="shared" si="144"/>
        <v>-3.0570725046180952E-3</v>
      </c>
      <c r="K824" s="5" cm="1">
        <f t="array" ref="K824">_xlfn.STDEV.S(IF($C:$C=C824,$I:$I))</f>
        <v>0.17799866497296365</v>
      </c>
      <c r="L824" s="7">
        <f t="shared" si="147"/>
        <v>1.8641948569821585</v>
      </c>
      <c r="M824">
        <f t="shared" si="145"/>
        <v>-1</v>
      </c>
      <c r="N824" s="9">
        <f t="shared" si="148"/>
        <v>-0.17808219178082188</v>
      </c>
      <c r="O824">
        <f>COUNTIFS($B$2:B824,B824,$C$2:C824,C824,$D$2:D824,"&lt;"&amp;D824,$F$2:F824,1)</f>
        <v>0</v>
      </c>
      <c r="P824">
        <f t="shared" si="146"/>
        <v>0</v>
      </c>
      <c r="Q824" t="str">
        <f t="shared" si="149"/>
        <v>Monitor</v>
      </c>
      <c r="R824">
        <v>0</v>
      </c>
      <c r="S824">
        <f t="shared" si="150"/>
        <v>0</v>
      </c>
      <c r="T824">
        <f t="shared" si="151"/>
        <v>0</v>
      </c>
      <c r="U824" t="str">
        <f t="shared" si="152"/>
        <v>Improved Enough</v>
      </c>
      <c r="V824" t="str">
        <f t="shared" si="153"/>
        <v>Close</v>
      </c>
      <c r="W824" t="str">
        <f t="shared" si="154"/>
        <v>Normal</v>
      </c>
      <c r="X824" t="str">
        <f t="shared" si="155"/>
        <v>Allowed</v>
      </c>
    </row>
    <row r="825" spans="1:24" x14ac:dyDescent="0.3">
      <c r="A825" t="s">
        <v>10</v>
      </c>
      <c r="B825" t="s">
        <v>31</v>
      </c>
      <c r="C825" t="s">
        <v>19</v>
      </c>
      <c r="D825" s="3">
        <v>45777</v>
      </c>
      <c r="E825" s="6">
        <v>8.2191780821917818E-2</v>
      </c>
      <c r="F825">
        <v>0</v>
      </c>
      <c r="G825" t="s">
        <v>13</v>
      </c>
      <c r="H825" s="6">
        <v>0.1</v>
      </c>
      <c r="I825" s="8">
        <v>0</v>
      </c>
      <c r="J825" s="5">
        <f t="shared" si="144"/>
        <v>-3.0570725046180952E-3</v>
      </c>
      <c r="K825" s="5" cm="1">
        <f t="array" ref="K825">_xlfn.STDEV.S(IF($C:$C=C825,$I:$I))</f>
        <v>0.17799866497296365</v>
      </c>
      <c r="L825" s="7">
        <f t="shared" si="147"/>
        <v>1.7174693445495427E-2</v>
      </c>
      <c r="M825">
        <f t="shared" si="145"/>
        <v>0</v>
      </c>
      <c r="N825" s="9">
        <f t="shared" si="148"/>
        <v>-0.17808219178082188</v>
      </c>
      <c r="O825">
        <f>COUNTIFS($B$2:B825,B825,$C$2:C825,C825,$D$2:D825,"&lt;"&amp;D825,$F$2:F825,1)</f>
        <v>0</v>
      </c>
      <c r="P825">
        <f t="shared" si="146"/>
        <v>0</v>
      </c>
      <c r="Q825" t="str">
        <f t="shared" si="149"/>
        <v>Monitor</v>
      </c>
      <c r="R825">
        <v>0</v>
      </c>
      <c r="S825">
        <f t="shared" si="150"/>
        <v>0</v>
      </c>
      <c r="T825">
        <f t="shared" si="151"/>
        <v>0</v>
      </c>
      <c r="U825" t="str">
        <f t="shared" si="152"/>
        <v>Not Improved Enough</v>
      </c>
      <c r="V825" t="str">
        <f t="shared" si="153"/>
        <v>Close</v>
      </c>
      <c r="W825" t="str">
        <f t="shared" si="154"/>
        <v>Normal</v>
      </c>
      <c r="X825" t="str">
        <f t="shared" si="155"/>
        <v>Allowed</v>
      </c>
    </row>
    <row r="826" spans="1:24" x14ac:dyDescent="0.3">
      <c r="A826" t="s">
        <v>10</v>
      </c>
      <c r="B826" t="s">
        <v>31</v>
      </c>
      <c r="C826" t="s">
        <v>19</v>
      </c>
      <c r="D826" s="3">
        <v>45808</v>
      </c>
      <c r="E826" s="6">
        <v>0.1228668941979522</v>
      </c>
      <c r="F826">
        <v>0</v>
      </c>
      <c r="G826" t="s">
        <v>13</v>
      </c>
      <c r="H826" s="6">
        <v>0.1</v>
      </c>
      <c r="I826" s="8">
        <v>-0.49488054607508492</v>
      </c>
      <c r="J826" s="5">
        <f t="shared" si="144"/>
        <v>-3.0570725046180952E-3</v>
      </c>
      <c r="K826" s="5" cm="1">
        <f t="array" ref="K826">_xlfn.STDEV.S(IF($C:$C=C826,$I:$I))</f>
        <v>0.17799866497296365</v>
      </c>
      <c r="L826" s="7">
        <f t="shared" si="147"/>
        <v>-2.7630739457802687</v>
      </c>
      <c r="M826">
        <f t="shared" si="145"/>
        <v>1</v>
      </c>
      <c r="N826" s="9">
        <f t="shared" si="148"/>
        <v>0.22866894197952195</v>
      </c>
      <c r="O826">
        <f>COUNTIFS($B$2:B826,B826,$C$2:C826,C826,$D$2:D826,"&lt;"&amp;D826,$F$2:F826,1)</f>
        <v>0</v>
      </c>
      <c r="P826">
        <f t="shared" si="146"/>
        <v>0</v>
      </c>
      <c r="Q826" t="str">
        <f t="shared" si="149"/>
        <v>Intervene</v>
      </c>
      <c r="R826">
        <v>0</v>
      </c>
      <c r="S826">
        <f t="shared" si="150"/>
        <v>1</v>
      </c>
      <c r="T826">
        <f t="shared" si="151"/>
        <v>1</v>
      </c>
      <c r="U826" t="str">
        <f t="shared" si="152"/>
        <v>Not Improved Enough</v>
      </c>
      <c r="V826" t="str">
        <f t="shared" si="153"/>
        <v>Far</v>
      </c>
      <c r="W826" t="str">
        <f t="shared" si="154"/>
        <v>Abnormal</v>
      </c>
      <c r="X826" t="str">
        <f t="shared" si="155"/>
        <v>Allowed</v>
      </c>
    </row>
    <row r="827" spans="1:24" x14ac:dyDescent="0.3">
      <c r="A827" t="s">
        <v>10</v>
      </c>
      <c r="B827" t="s">
        <v>31</v>
      </c>
      <c r="C827" t="s">
        <v>19</v>
      </c>
      <c r="D827" s="3">
        <v>45838</v>
      </c>
      <c r="E827" s="6">
        <v>7.2507552870090641E-2</v>
      </c>
      <c r="F827">
        <v>0</v>
      </c>
      <c r="G827" t="s">
        <v>13</v>
      </c>
      <c r="H827" s="6">
        <v>0.1</v>
      </c>
      <c r="I827" s="8">
        <v>0.40986908358509561</v>
      </c>
      <c r="J827" s="5">
        <f t="shared" si="144"/>
        <v>-3.0570725046180952E-3</v>
      </c>
      <c r="K827" s="5" cm="1">
        <f t="array" ref="K827">_xlfn.STDEV.S(IF($C:$C=C827,$I:$I))</f>
        <v>0.17799866497296365</v>
      </c>
      <c r="L827" s="7">
        <f t="shared" si="147"/>
        <v>2.3198272647293923</v>
      </c>
      <c r="M827">
        <f t="shared" si="145"/>
        <v>-1</v>
      </c>
      <c r="N827" s="9">
        <f t="shared" si="148"/>
        <v>-0.27492447129909364</v>
      </c>
      <c r="O827">
        <f>COUNTIFS($B$2:B827,B827,$C$2:C827,C827,$D$2:D827,"&lt;"&amp;D827,$F$2:F827,1)</f>
        <v>0</v>
      </c>
      <c r="P827">
        <f t="shared" si="146"/>
        <v>0</v>
      </c>
      <c r="Q827" t="str">
        <f t="shared" si="149"/>
        <v>Monitor</v>
      </c>
      <c r="R827">
        <v>0</v>
      </c>
      <c r="S827">
        <f t="shared" si="150"/>
        <v>0</v>
      </c>
      <c r="T827">
        <f t="shared" si="151"/>
        <v>0</v>
      </c>
      <c r="U827" t="str">
        <f t="shared" si="152"/>
        <v>Improved Enough</v>
      </c>
      <c r="V827" t="str">
        <f t="shared" si="153"/>
        <v>Close</v>
      </c>
      <c r="W827" t="str">
        <f t="shared" si="154"/>
        <v>Normal</v>
      </c>
      <c r="X827" t="str">
        <f t="shared" si="155"/>
        <v>Allowed</v>
      </c>
    </row>
    <row r="828" spans="1:24" x14ac:dyDescent="0.3">
      <c r="A828" t="s">
        <v>10</v>
      </c>
      <c r="B828" t="s">
        <v>31</v>
      </c>
      <c r="C828" t="s">
        <v>19</v>
      </c>
      <c r="D828" s="3">
        <v>45869</v>
      </c>
      <c r="E828" s="6">
        <v>3.3660589060308548E-2</v>
      </c>
      <c r="F828">
        <v>0</v>
      </c>
      <c r="G828" t="s">
        <v>13</v>
      </c>
      <c r="H828" s="6">
        <v>0.1</v>
      </c>
      <c r="I828" s="8">
        <v>0.53576437587657799</v>
      </c>
      <c r="J828" s="5">
        <f t="shared" si="144"/>
        <v>-3.0570725046180952E-3</v>
      </c>
      <c r="K828" s="5" cm="1">
        <f t="array" ref="K828">_xlfn.STDEV.S(IF($C:$C=C828,$I:$I))</f>
        <v>0.17799866497296365</v>
      </c>
      <c r="L828" s="7">
        <f t="shared" si="147"/>
        <v>3.0271094924393847</v>
      </c>
      <c r="M828">
        <f t="shared" si="145"/>
        <v>-1</v>
      </c>
      <c r="N828" s="9">
        <f t="shared" si="148"/>
        <v>-0.66339410939691446</v>
      </c>
      <c r="O828">
        <f>COUNTIFS($B$2:B828,B828,$C$2:C828,C828,$D$2:D828,"&lt;"&amp;D828,$F$2:F828,1)</f>
        <v>0</v>
      </c>
      <c r="P828">
        <f t="shared" si="146"/>
        <v>0</v>
      </c>
      <c r="Q828" t="str">
        <f t="shared" si="149"/>
        <v>Monitor</v>
      </c>
      <c r="R828">
        <v>0</v>
      </c>
      <c r="S828">
        <f t="shared" si="150"/>
        <v>0</v>
      </c>
      <c r="T828">
        <f t="shared" si="151"/>
        <v>0</v>
      </c>
      <c r="U828" t="str">
        <f t="shared" si="152"/>
        <v>Improved Enough</v>
      </c>
      <c r="V828" t="str">
        <f t="shared" si="153"/>
        <v>Close</v>
      </c>
      <c r="W828" t="str">
        <f t="shared" si="154"/>
        <v>Normal</v>
      </c>
      <c r="X828" t="str">
        <f t="shared" si="155"/>
        <v>Allowed</v>
      </c>
    </row>
    <row r="829" spans="1:24" x14ac:dyDescent="0.3">
      <c r="A829" t="s">
        <v>10</v>
      </c>
      <c r="B829" t="s">
        <v>31</v>
      </c>
      <c r="C829" t="s">
        <v>19</v>
      </c>
      <c r="D829" s="3">
        <v>45900</v>
      </c>
      <c r="E829" s="6">
        <v>3.3660589060308548E-2</v>
      </c>
      <c r="F829">
        <v>0</v>
      </c>
      <c r="G829" t="s">
        <v>13</v>
      </c>
      <c r="H829" s="6">
        <v>0.1</v>
      </c>
      <c r="I829" s="8">
        <v>0</v>
      </c>
      <c r="J829" s="5">
        <f t="shared" si="144"/>
        <v>-3.0570725046180952E-3</v>
      </c>
      <c r="K829" s="5" cm="1">
        <f t="array" ref="K829">_xlfn.STDEV.S(IF($C:$C=C829,$I:$I))</f>
        <v>0.17799866497296365</v>
      </c>
      <c r="L829" s="7">
        <f t="shared" si="147"/>
        <v>1.7174693445495427E-2</v>
      </c>
      <c r="M829">
        <f t="shared" si="145"/>
        <v>0</v>
      </c>
      <c r="N829" s="9">
        <f t="shared" si="148"/>
        <v>-0.66339410939691446</v>
      </c>
      <c r="O829">
        <f>COUNTIFS($B$2:B829,B829,$C$2:C829,C829,$D$2:D829,"&lt;"&amp;D829,$F$2:F829,1)</f>
        <v>0</v>
      </c>
      <c r="P829">
        <f t="shared" si="146"/>
        <v>0</v>
      </c>
      <c r="Q829" t="str">
        <f t="shared" si="149"/>
        <v>Monitor</v>
      </c>
      <c r="R829">
        <v>0</v>
      </c>
      <c r="S829">
        <f t="shared" si="150"/>
        <v>0</v>
      </c>
      <c r="T829">
        <f t="shared" si="151"/>
        <v>0</v>
      </c>
      <c r="U829" t="str">
        <f t="shared" si="152"/>
        <v>Not Improved Enough</v>
      </c>
      <c r="V829" t="str">
        <f t="shared" si="153"/>
        <v>Close</v>
      </c>
      <c r="W829" t="str">
        <f t="shared" si="154"/>
        <v>Normal</v>
      </c>
      <c r="X829" t="str">
        <f t="shared" si="155"/>
        <v>Allowed</v>
      </c>
    </row>
    <row r="830" spans="1:24" x14ac:dyDescent="0.3">
      <c r="A830" t="s">
        <v>10</v>
      </c>
      <c r="B830" t="s">
        <v>31</v>
      </c>
      <c r="C830" t="s">
        <v>19</v>
      </c>
      <c r="D830" s="3">
        <v>45930</v>
      </c>
      <c r="E830" s="6">
        <v>3.3707865168539318E-2</v>
      </c>
      <c r="F830">
        <v>0</v>
      </c>
      <c r="G830" t="s">
        <v>13</v>
      </c>
      <c r="H830" s="6">
        <v>0.1</v>
      </c>
      <c r="I830" s="8">
        <v>-1.4044943820224721E-3</v>
      </c>
      <c r="J830" s="5">
        <f t="shared" si="144"/>
        <v>-3.0570725046180952E-3</v>
      </c>
      <c r="K830" s="5" cm="1">
        <f t="array" ref="K830">_xlfn.STDEV.S(IF($C:$C=C830,$I:$I))</f>
        <v>0.17799866497296365</v>
      </c>
      <c r="L830" s="7">
        <f t="shared" si="147"/>
        <v>9.2842163891882802E-3</v>
      </c>
      <c r="M830">
        <f t="shared" si="145"/>
        <v>0</v>
      </c>
      <c r="N830" s="9">
        <f t="shared" si="148"/>
        <v>-0.66292134831460681</v>
      </c>
      <c r="O830">
        <f>COUNTIFS($B$2:B830,B830,$C$2:C830,C830,$D$2:D830,"&lt;"&amp;D830,$F$2:F830,1)</f>
        <v>0</v>
      </c>
      <c r="P830">
        <f t="shared" si="146"/>
        <v>0</v>
      </c>
      <c r="Q830" t="str">
        <f t="shared" si="149"/>
        <v>Monitor</v>
      </c>
      <c r="R830">
        <v>0</v>
      </c>
      <c r="S830">
        <f t="shared" si="150"/>
        <v>0</v>
      </c>
      <c r="T830">
        <f t="shared" si="151"/>
        <v>0</v>
      </c>
      <c r="U830" t="str">
        <f t="shared" si="152"/>
        <v>Not Improved Enough</v>
      </c>
      <c r="V830" t="str">
        <f t="shared" si="153"/>
        <v>Close</v>
      </c>
      <c r="W830" t="str">
        <f t="shared" si="154"/>
        <v>Normal</v>
      </c>
      <c r="X830" t="str">
        <f t="shared" si="155"/>
        <v>Allowed</v>
      </c>
    </row>
    <row r="831" spans="1:24" x14ac:dyDescent="0.3">
      <c r="A831" t="s">
        <v>10</v>
      </c>
      <c r="B831" t="s">
        <v>31</v>
      </c>
      <c r="C831" t="s">
        <v>19</v>
      </c>
      <c r="D831" s="3">
        <v>45961</v>
      </c>
      <c r="E831" s="6">
        <v>3.3802816901408447E-2</v>
      </c>
      <c r="F831">
        <v>0</v>
      </c>
      <c r="G831" t="s">
        <v>13</v>
      </c>
      <c r="H831" s="6">
        <v>0.1</v>
      </c>
      <c r="I831" s="8">
        <v>-2.8169014084508379E-3</v>
      </c>
      <c r="J831" s="5">
        <f t="shared" si="144"/>
        <v>-3.0570725046180952E-3</v>
      </c>
      <c r="K831" s="5" cm="1">
        <f t="array" ref="K831">_xlfn.STDEV.S(IF($C:$C=C831,$I:$I))</f>
        <v>0.17799866497296365</v>
      </c>
      <c r="L831" s="7">
        <f t="shared" si="147"/>
        <v>1.3492859410138669E-3</v>
      </c>
      <c r="M831">
        <f t="shared" si="145"/>
        <v>0</v>
      </c>
      <c r="N831" s="9">
        <f t="shared" si="148"/>
        <v>-0.6619718309859155</v>
      </c>
      <c r="O831">
        <f>COUNTIFS($B$2:B831,B831,$C$2:C831,C831,$D$2:D831,"&lt;"&amp;D831,$F$2:F831,1)</f>
        <v>0</v>
      </c>
      <c r="P831">
        <f t="shared" si="146"/>
        <v>0</v>
      </c>
      <c r="Q831" t="str">
        <f t="shared" si="149"/>
        <v>Monitor</v>
      </c>
      <c r="R831">
        <v>0</v>
      </c>
      <c r="S831">
        <f t="shared" si="150"/>
        <v>0</v>
      </c>
      <c r="T831">
        <f t="shared" si="151"/>
        <v>0</v>
      </c>
      <c r="U831" t="str">
        <f t="shared" si="152"/>
        <v>Not Improved Enough</v>
      </c>
      <c r="V831" t="str">
        <f t="shared" si="153"/>
        <v>Close</v>
      </c>
      <c r="W831" t="str">
        <f t="shared" si="154"/>
        <v>Normal</v>
      </c>
      <c r="X831" t="str">
        <f t="shared" si="155"/>
        <v>Allowed</v>
      </c>
    </row>
    <row r="832" spans="1:24" x14ac:dyDescent="0.3">
      <c r="A832" t="s">
        <v>10</v>
      </c>
      <c r="B832" t="s">
        <v>31</v>
      </c>
      <c r="C832" t="s">
        <v>19</v>
      </c>
      <c r="D832" s="3">
        <v>45991</v>
      </c>
      <c r="E832" s="6">
        <v>6.8965517241379309E-2</v>
      </c>
      <c r="F832">
        <v>0</v>
      </c>
      <c r="G832" t="s">
        <v>13</v>
      </c>
      <c r="H832" s="6">
        <v>0.1</v>
      </c>
      <c r="I832" s="8">
        <v>-1.0402298850574709</v>
      </c>
      <c r="J832" s="5">
        <f t="shared" si="144"/>
        <v>-3.0570725046180952E-3</v>
      </c>
      <c r="K832" s="5" cm="1">
        <f t="array" ref="K832">_xlfn.STDEV.S(IF($C:$C=C832,$I:$I))</f>
        <v>0.17799866497296365</v>
      </c>
      <c r="L832" s="7">
        <f t="shared" si="147"/>
        <v>-5.826857255982171</v>
      </c>
      <c r="M832">
        <f t="shared" si="145"/>
        <v>1</v>
      </c>
      <c r="N832" s="9">
        <f t="shared" si="148"/>
        <v>-0.31034482758620696</v>
      </c>
      <c r="O832">
        <f>COUNTIFS($B$2:B832,B832,$C$2:C832,C832,$D$2:D832,"&lt;"&amp;D832,$F$2:F832,1)</f>
        <v>0</v>
      </c>
      <c r="P832">
        <f t="shared" si="146"/>
        <v>0</v>
      </c>
      <c r="Q832" t="str">
        <f t="shared" si="149"/>
        <v>Monitor</v>
      </c>
      <c r="R832">
        <v>0</v>
      </c>
      <c r="S832">
        <f t="shared" si="150"/>
        <v>0</v>
      </c>
      <c r="T832">
        <f t="shared" si="151"/>
        <v>0</v>
      </c>
      <c r="U832" t="str">
        <f t="shared" si="152"/>
        <v>Not Improved Enough</v>
      </c>
      <c r="V832" t="str">
        <f t="shared" si="153"/>
        <v>Close</v>
      </c>
      <c r="W832" t="str">
        <f t="shared" si="154"/>
        <v>Abnormal</v>
      </c>
      <c r="X832" t="str">
        <f t="shared" si="155"/>
        <v>Allowed</v>
      </c>
    </row>
    <row r="833" spans="1:24" x14ac:dyDescent="0.3">
      <c r="A833" t="s">
        <v>20</v>
      </c>
      <c r="B833" t="s">
        <v>31</v>
      </c>
      <c r="C833" t="s">
        <v>21</v>
      </c>
      <c r="D833" s="3">
        <v>45535</v>
      </c>
      <c r="E833" s="6">
        <v>0.14699999999999999</v>
      </c>
      <c r="F833">
        <v>0</v>
      </c>
      <c r="G833" t="s">
        <v>13</v>
      </c>
      <c r="H833" s="6">
        <v>0.59</v>
      </c>
      <c r="I833" s="8">
        <v>0.76290322580645153</v>
      </c>
      <c r="J833" s="5">
        <f t="shared" si="144"/>
        <v>-4.8849805534298088E-2</v>
      </c>
      <c r="K833" s="5" cm="1">
        <f t="array" ref="K833">_xlfn.STDEV.S(IF($C:$C=C833,$I:$I))</f>
        <v>0.44966933193859487</v>
      </c>
      <c r="L833" s="7">
        <f t="shared" si="147"/>
        <v>1.8052221347654624</v>
      </c>
      <c r="M833">
        <f t="shared" si="145"/>
        <v>-1</v>
      </c>
      <c r="N833" s="9">
        <f t="shared" si="148"/>
        <v>-0.75084745762711858</v>
      </c>
      <c r="O833">
        <f>COUNTIFS($B$2:B833,B833,$C$2:C833,C833,$D$2:D833,"&lt;"&amp;D833,$F$2:F833,1)</f>
        <v>0</v>
      </c>
      <c r="P833">
        <f t="shared" si="146"/>
        <v>0</v>
      </c>
      <c r="Q833" t="str">
        <f t="shared" si="149"/>
        <v>Monitor</v>
      </c>
      <c r="R833">
        <v>0</v>
      </c>
      <c r="S833">
        <f t="shared" si="150"/>
        <v>0</v>
      </c>
      <c r="T833">
        <f t="shared" si="151"/>
        <v>0</v>
      </c>
      <c r="U833" t="str">
        <f t="shared" si="152"/>
        <v>Improved Enough</v>
      </c>
      <c r="V833" t="str">
        <f t="shared" si="153"/>
        <v>Close</v>
      </c>
      <c r="W833" t="str">
        <f t="shared" si="154"/>
        <v>Normal</v>
      </c>
      <c r="X833" t="str">
        <f t="shared" si="155"/>
        <v>Allowed</v>
      </c>
    </row>
    <row r="834" spans="1:24" x14ac:dyDescent="0.3">
      <c r="A834" t="s">
        <v>20</v>
      </c>
      <c r="B834" t="s">
        <v>31</v>
      </c>
      <c r="C834" t="s">
        <v>21</v>
      </c>
      <c r="D834" s="3">
        <v>45565</v>
      </c>
      <c r="E834" s="6">
        <v>0.71199999999999997</v>
      </c>
      <c r="F834">
        <v>0</v>
      </c>
      <c r="G834" t="s">
        <v>13</v>
      </c>
      <c r="H834" s="6">
        <v>0.59</v>
      </c>
      <c r="I834" s="8">
        <v>-3.843537414965986</v>
      </c>
      <c r="J834" s="5">
        <f t="shared" ref="J834:J897" si="156">AVERAGEIF($C:$C,C834,$I:$I)</f>
        <v>-4.8849805534298088E-2</v>
      </c>
      <c r="K834" s="5" cm="1">
        <f t="array" ref="K834">_xlfn.STDEV.S(IF($C:$C=C834,$I:$I))</f>
        <v>0.44966933193859487</v>
      </c>
      <c r="L834" s="7">
        <f t="shared" si="147"/>
        <v>-8.4388401429828352</v>
      </c>
      <c r="M834">
        <f t="shared" ref="M834:M897" si="157">IF(L834&lt;=-$Z$4,1,IF(L834&gt;=$Z$4,-1,0))</f>
        <v>1</v>
      </c>
      <c r="N834" s="9">
        <f t="shared" si="148"/>
        <v>0.20677966101694917</v>
      </c>
      <c r="O834">
        <f>COUNTIFS($B$2:B834,B834,$C$2:C834,C834,$D$2:D834,"&lt;"&amp;D834,$F$2:F834,1)</f>
        <v>0</v>
      </c>
      <c r="P834">
        <f t="shared" ref="P834:P897" si="158">IF(AND(R834=1,I834&gt;0),1,IF(R834=1,-1,0))</f>
        <v>0</v>
      </c>
      <c r="Q834" t="str">
        <f t="shared" si="149"/>
        <v>Intervene</v>
      </c>
      <c r="R834">
        <v>0</v>
      </c>
      <c r="S834">
        <f t="shared" si="150"/>
        <v>1</v>
      </c>
      <c r="T834">
        <f t="shared" si="151"/>
        <v>1</v>
      </c>
      <c r="U834" t="str">
        <f t="shared" si="152"/>
        <v>Not Improved Enough</v>
      </c>
      <c r="V834" t="str">
        <f t="shared" si="153"/>
        <v>Far</v>
      </c>
      <c r="W834" t="str">
        <f t="shared" si="154"/>
        <v>Abnormal</v>
      </c>
      <c r="X834" t="str">
        <f t="shared" si="155"/>
        <v>Allowed</v>
      </c>
    </row>
    <row r="835" spans="1:24" x14ac:dyDescent="0.3">
      <c r="A835" t="s">
        <v>20</v>
      </c>
      <c r="B835" t="s">
        <v>31</v>
      </c>
      <c r="C835" t="s">
        <v>21</v>
      </c>
      <c r="D835" s="3">
        <v>45596</v>
      </c>
      <c r="E835" s="6">
        <v>0.63</v>
      </c>
      <c r="F835">
        <v>0</v>
      </c>
      <c r="G835" t="s">
        <v>13</v>
      </c>
      <c r="H835" s="6">
        <v>0.59</v>
      </c>
      <c r="I835" s="8">
        <v>0.1151685393258426</v>
      </c>
      <c r="J835" s="5">
        <f t="shared" si="156"/>
        <v>-4.8849805534298088E-2</v>
      </c>
      <c r="K835" s="5" cm="1">
        <f t="array" ref="K835">_xlfn.STDEV.S(IF($C:$C=C835,$I:$I))</f>
        <v>0.44966933193859487</v>
      </c>
      <c r="L835" s="7">
        <f t="shared" ref="L835:L898" si="159">IFERROR((I835-J835)/K835,0)</f>
        <v>0.36475323801387999</v>
      </c>
      <c r="M835">
        <f t="shared" si="157"/>
        <v>0</v>
      </c>
      <c r="N835" s="9">
        <f t="shared" ref="N835:N898" si="160">IFERROR(IF(G835="DOWN",(E835-H835)/H835,(H835-E835)/H835),0)</f>
        <v>6.7796610169491595E-2</v>
      </c>
      <c r="O835">
        <f>COUNTIFS($B$2:B835,B835,$C$2:C835,C835,$D$2:D835,"&lt;"&amp;D835,$F$2:F835,1)</f>
        <v>0</v>
      </c>
      <c r="P835">
        <f t="shared" si="158"/>
        <v>0</v>
      </c>
      <c r="Q835" t="str">
        <f t="shared" ref="Q835:Q898" si="161">IF(I835&gt;=$Z$1,"Monitor",IF(AND(N835&gt;=$Z$2,L835&lt;=-$Z$4),IF(O835&lt;$Z$3,"Intervene","Escalate / Bigger Fix"),"Monitor"))</f>
        <v>Monitor</v>
      </c>
      <c r="R835">
        <v>0</v>
      </c>
      <c r="S835">
        <f t="shared" ref="S835:S898" si="162">IF(Q835="Intervene",1,IF(Q835="Escalate / Bigger Fix",-1,0))</f>
        <v>0</v>
      </c>
      <c r="T835">
        <f t="shared" ref="T835:T898" si="163">IF(Q835="Intervene",1,0)</f>
        <v>0</v>
      </c>
      <c r="U835" t="str">
        <f t="shared" ref="U835:U898" si="164">IF(I835&gt;=$Z$1,"Improved Enough","Not Improved Enough")</f>
        <v>Improved Enough</v>
      </c>
      <c r="V835" t="str">
        <f t="shared" ref="V835:V898" si="165">IF(N835&gt;=$Z$2,"Far","Close")</f>
        <v>Far</v>
      </c>
      <c r="W835" t="str">
        <f t="shared" ref="W835:W898" si="166">IF(L835&lt;=-$Z$4,"Abnormal","Normal")</f>
        <v>Normal</v>
      </c>
      <c r="X835" t="str">
        <f t="shared" ref="X835:X898" si="167">IF(O835&lt;$Z$3,"Allowed","Maxed Out")</f>
        <v>Allowed</v>
      </c>
    </row>
    <row r="836" spans="1:24" x14ac:dyDescent="0.3">
      <c r="A836" t="s">
        <v>20</v>
      </c>
      <c r="B836" t="s">
        <v>31</v>
      </c>
      <c r="C836" t="s">
        <v>21</v>
      </c>
      <c r="D836" s="3">
        <v>45626</v>
      </c>
      <c r="E836" s="6">
        <v>0.74</v>
      </c>
      <c r="F836">
        <v>0</v>
      </c>
      <c r="G836" t="s">
        <v>13</v>
      </c>
      <c r="H836" s="6">
        <v>0.59</v>
      </c>
      <c r="I836" s="8">
        <v>-0.17460317460317459</v>
      </c>
      <c r="J836" s="5">
        <f t="shared" si="156"/>
        <v>-4.8849805534298088E-2</v>
      </c>
      <c r="K836" s="5" cm="1">
        <f t="array" ref="K836">_xlfn.STDEV.S(IF($C:$C=C836,$I:$I))</f>
        <v>0.44966933193859487</v>
      </c>
      <c r="L836" s="7">
        <f t="shared" si="159"/>
        <v>-0.27965742855251896</v>
      </c>
      <c r="M836">
        <f t="shared" si="157"/>
        <v>0</v>
      </c>
      <c r="N836" s="9">
        <f t="shared" si="160"/>
        <v>0.25423728813559326</v>
      </c>
      <c r="O836">
        <f>COUNTIFS($B$2:B836,B836,$C$2:C836,C836,$D$2:D836,"&lt;"&amp;D836,$F$2:F836,1)</f>
        <v>0</v>
      </c>
      <c r="P836">
        <f t="shared" si="158"/>
        <v>0</v>
      </c>
      <c r="Q836" t="str">
        <f t="shared" si="161"/>
        <v>Monitor</v>
      </c>
      <c r="R836">
        <v>0</v>
      </c>
      <c r="S836">
        <f t="shared" si="162"/>
        <v>0</v>
      </c>
      <c r="T836">
        <f t="shared" si="163"/>
        <v>0</v>
      </c>
      <c r="U836" t="str">
        <f t="shared" si="164"/>
        <v>Not Improved Enough</v>
      </c>
      <c r="V836" t="str">
        <f t="shared" si="165"/>
        <v>Far</v>
      </c>
      <c r="W836" t="str">
        <f t="shared" si="166"/>
        <v>Normal</v>
      </c>
      <c r="X836" t="str">
        <f t="shared" si="167"/>
        <v>Allowed</v>
      </c>
    </row>
    <row r="837" spans="1:24" x14ac:dyDescent="0.3">
      <c r="A837" t="s">
        <v>20</v>
      </c>
      <c r="B837" t="s">
        <v>31</v>
      </c>
      <c r="C837" t="s">
        <v>21</v>
      </c>
      <c r="D837" s="3">
        <v>45657</v>
      </c>
      <c r="E837" s="6">
        <v>0.64</v>
      </c>
      <c r="F837">
        <v>0</v>
      </c>
      <c r="G837" t="s">
        <v>13</v>
      </c>
      <c r="H837" s="6">
        <v>0.59</v>
      </c>
      <c r="I837" s="8">
        <v>0.13513513513513509</v>
      </c>
      <c r="J837" s="5">
        <f t="shared" si="156"/>
        <v>-4.8849805534298088E-2</v>
      </c>
      <c r="K837" s="5" cm="1">
        <f t="array" ref="K837">_xlfn.STDEV.S(IF($C:$C=C837,$I:$I))</f>
        <v>0.44966933193859487</v>
      </c>
      <c r="L837" s="7">
        <f t="shared" si="159"/>
        <v>0.40915607892636413</v>
      </c>
      <c r="M837">
        <f t="shared" si="157"/>
        <v>0</v>
      </c>
      <c r="N837" s="9">
        <f t="shared" si="160"/>
        <v>8.4745762711864486E-2</v>
      </c>
      <c r="O837">
        <f>COUNTIFS($B$2:B837,B837,$C$2:C837,C837,$D$2:D837,"&lt;"&amp;D837,$F$2:F837,1)</f>
        <v>0</v>
      </c>
      <c r="P837">
        <f t="shared" si="158"/>
        <v>0</v>
      </c>
      <c r="Q837" t="str">
        <f t="shared" si="161"/>
        <v>Monitor</v>
      </c>
      <c r="R837">
        <v>0</v>
      </c>
      <c r="S837">
        <f t="shared" si="162"/>
        <v>0</v>
      </c>
      <c r="T837">
        <f t="shared" si="163"/>
        <v>0</v>
      </c>
      <c r="U837" t="str">
        <f t="shared" si="164"/>
        <v>Improved Enough</v>
      </c>
      <c r="V837" t="str">
        <f t="shared" si="165"/>
        <v>Far</v>
      </c>
      <c r="W837" t="str">
        <f t="shared" si="166"/>
        <v>Normal</v>
      </c>
      <c r="X837" t="str">
        <f t="shared" si="167"/>
        <v>Allowed</v>
      </c>
    </row>
    <row r="838" spans="1:24" x14ac:dyDescent="0.3">
      <c r="A838" t="s">
        <v>20</v>
      </c>
      <c r="B838" t="s">
        <v>31</v>
      </c>
      <c r="C838" t="s">
        <v>21</v>
      </c>
      <c r="D838" s="3">
        <v>45688</v>
      </c>
      <c r="E838" s="6">
        <v>0.77</v>
      </c>
      <c r="F838">
        <v>0</v>
      </c>
      <c r="G838" t="s">
        <v>13</v>
      </c>
      <c r="H838" s="6">
        <v>0.59</v>
      </c>
      <c r="I838" s="8">
        <v>-0.203125</v>
      </c>
      <c r="J838" s="5">
        <f t="shared" si="156"/>
        <v>-4.8849805534298088E-2</v>
      </c>
      <c r="K838" s="5" cm="1">
        <f t="array" ref="K838">_xlfn.STDEV.S(IF($C:$C=C838,$I:$I))</f>
        <v>0.44966933193859487</v>
      </c>
      <c r="L838" s="7">
        <f t="shared" si="159"/>
        <v>-0.34308587112355965</v>
      </c>
      <c r="M838">
        <f t="shared" si="157"/>
        <v>0</v>
      </c>
      <c r="N838" s="9">
        <f t="shared" si="160"/>
        <v>0.30508474576271194</v>
      </c>
      <c r="O838">
        <f>COUNTIFS($B$2:B838,B838,$C$2:C838,C838,$D$2:D838,"&lt;"&amp;D838,$F$2:F838,1)</f>
        <v>0</v>
      </c>
      <c r="P838">
        <f t="shared" si="158"/>
        <v>0</v>
      </c>
      <c r="Q838" t="str">
        <f t="shared" si="161"/>
        <v>Monitor</v>
      </c>
      <c r="R838">
        <v>0</v>
      </c>
      <c r="S838">
        <f t="shared" si="162"/>
        <v>0</v>
      </c>
      <c r="T838">
        <f t="shared" si="163"/>
        <v>0</v>
      </c>
      <c r="U838" t="str">
        <f t="shared" si="164"/>
        <v>Not Improved Enough</v>
      </c>
      <c r="V838" t="str">
        <f t="shared" si="165"/>
        <v>Far</v>
      </c>
      <c r="W838" t="str">
        <f t="shared" si="166"/>
        <v>Normal</v>
      </c>
      <c r="X838" t="str">
        <f t="shared" si="167"/>
        <v>Allowed</v>
      </c>
    </row>
    <row r="839" spans="1:24" x14ac:dyDescent="0.3">
      <c r="A839" t="s">
        <v>20</v>
      </c>
      <c r="B839" t="s">
        <v>31</v>
      </c>
      <c r="C839" t="s">
        <v>21</v>
      </c>
      <c r="D839" s="3">
        <v>45716</v>
      </c>
      <c r="E839" s="6">
        <v>0.8</v>
      </c>
      <c r="F839">
        <v>0</v>
      </c>
      <c r="G839" t="s">
        <v>13</v>
      </c>
      <c r="H839" s="6">
        <v>0.59</v>
      </c>
      <c r="I839" s="8">
        <v>-3.8961038961038988E-2</v>
      </c>
      <c r="J839" s="5">
        <f t="shared" si="156"/>
        <v>-4.8849805534298088E-2</v>
      </c>
      <c r="K839" s="5" cm="1">
        <f t="array" ref="K839">_xlfn.STDEV.S(IF($C:$C=C839,$I:$I))</f>
        <v>0.44966933193859487</v>
      </c>
      <c r="L839" s="7">
        <f t="shared" si="159"/>
        <v>2.1991196354501384E-2</v>
      </c>
      <c r="M839">
        <f t="shared" si="157"/>
        <v>0</v>
      </c>
      <c r="N839" s="9">
        <f t="shared" si="160"/>
        <v>0.35593220338983067</v>
      </c>
      <c r="O839">
        <f>COUNTIFS($B$2:B839,B839,$C$2:C839,C839,$D$2:D839,"&lt;"&amp;D839,$F$2:F839,1)</f>
        <v>0</v>
      </c>
      <c r="P839">
        <f t="shared" si="158"/>
        <v>0</v>
      </c>
      <c r="Q839" t="str">
        <f t="shared" si="161"/>
        <v>Monitor</v>
      </c>
      <c r="R839">
        <v>0</v>
      </c>
      <c r="S839">
        <f t="shared" si="162"/>
        <v>0</v>
      </c>
      <c r="T839">
        <f t="shared" si="163"/>
        <v>0</v>
      </c>
      <c r="U839" t="str">
        <f t="shared" si="164"/>
        <v>Not Improved Enough</v>
      </c>
      <c r="V839" t="str">
        <f t="shared" si="165"/>
        <v>Far</v>
      </c>
      <c r="W839" t="str">
        <f t="shared" si="166"/>
        <v>Normal</v>
      </c>
      <c r="X839" t="str">
        <f t="shared" si="167"/>
        <v>Allowed</v>
      </c>
    </row>
    <row r="840" spans="1:24" x14ac:dyDescent="0.3">
      <c r="A840" t="s">
        <v>20</v>
      </c>
      <c r="B840" t="s">
        <v>31</v>
      </c>
      <c r="C840" t="s">
        <v>21</v>
      </c>
      <c r="D840" s="3">
        <v>45747</v>
      </c>
      <c r="E840" s="6">
        <v>0.78</v>
      </c>
      <c r="F840">
        <v>0</v>
      </c>
      <c r="G840" t="s">
        <v>13</v>
      </c>
      <c r="H840" s="6">
        <v>0.59</v>
      </c>
      <c r="I840" s="8">
        <v>2.5000000000000019E-2</v>
      </c>
      <c r="J840" s="5">
        <f t="shared" si="156"/>
        <v>-4.8849805534298088E-2</v>
      </c>
      <c r="K840" s="5" cm="1">
        <f t="array" ref="K840">_xlfn.STDEV.S(IF($C:$C=C840,$I:$I))</f>
        <v>0.44966933193859487</v>
      </c>
      <c r="L840" s="7">
        <f t="shared" si="159"/>
        <v>0.16423135910985978</v>
      </c>
      <c r="M840">
        <f t="shared" si="157"/>
        <v>0</v>
      </c>
      <c r="N840" s="9">
        <f t="shared" si="160"/>
        <v>0.32203389830508489</v>
      </c>
      <c r="O840">
        <f>COUNTIFS($B$2:B840,B840,$C$2:C840,C840,$D$2:D840,"&lt;"&amp;D840,$F$2:F840,1)</f>
        <v>0</v>
      </c>
      <c r="P840">
        <f t="shared" si="158"/>
        <v>0</v>
      </c>
      <c r="Q840" t="str">
        <f t="shared" si="161"/>
        <v>Monitor</v>
      </c>
      <c r="R840">
        <v>0</v>
      </c>
      <c r="S840">
        <f t="shared" si="162"/>
        <v>0</v>
      </c>
      <c r="T840">
        <f t="shared" si="163"/>
        <v>0</v>
      </c>
      <c r="U840" t="str">
        <f t="shared" si="164"/>
        <v>Improved Enough</v>
      </c>
      <c r="V840" t="str">
        <f t="shared" si="165"/>
        <v>Far</v>
      </c>
      <c r="W840" t="str">
        <f t="shared" si="166"/>
        <v>Normal</v>
      </c>
      <c r="X840" t="str">
        <f t="shared" si="167"/>
        <v>Allowed</v>
      </c>
    </row>
    <row r="841" spans="1:24" x14ac:dyDescent="0.3">
      <c r="A841" t="s">
        <v>20</v>
      </c>
      <c r="B841" t="s">
        <v>31</v>
      </c>
      <c r="C841" t="s">
        <v>21</v>
      </c>
      <c r="D841" s="3">
        <v>45777</v>
      </c>
      <c r="E841" s="6">
        <v>0.77</v>
      </c>
      <c r="F841">
        <v>0</v>
      </c>
      <c r="G841" t="s">
        <v>13</v>
      </c>
      <c r="H841" s="6">
        <v>0.59</v>
      </c>
      <c r="I841" s="8">
        <v>1.282051282051283E-2</v>
      </c>
      <c r="J841" s="5">
        <f t="shared" si="156"/>
        <v>-4.8849805534298088E-2</v>
      </c>
      <c r="K841" s="5" cm="1">
        <f t="array" ref="K841">_xlfn.STDEV.S(IF($C:$C=C841,$I:$I))</f>
        <v>0.44966933193859487</v>
      </c>
      <c r="L841" s="7">
        <f t="shared" si="159"/>
        <v>0.13714592918520932</v>
      </c>
      <c r="M841">
        <f t="shared" si="157"/>
        <v>0</v>
      </c>
      <c r="N841" s="9">
        <f t="shared" si="160"/>
        <v>0.30508474576271194</v>
      </c>
      <c r="O841">
        <f>COUNTIFS($B$2:B841,B841,$C$2:C841,C841,$D$2:D841,"&lt;"&amp;D841,$F$2:F841,1)</f>
        <v>0</v>
      </c>
      <c r="P841">
        <f t="shared" si="158"/>
        <v>0</v>
      </c>
      <c r="Q841" t="str">
        <f t="shared" si="161"/>
        <v>Monitor</v>
      </c>
      <c r="R841">
        <v>0</v>
      </c>
      <c r="S841">
        <f t="shared" si="162"/>
        <v>0</v>
      </c>
      <c r="T841">
        <f t="shared" si="163"/>
        <v>0</v>
      </c>
      <c r="U841" t="str">
        <f t="shared" si="164"/>
        <v>Improved Enough</v>
      </c>
      <c r="V841" t="str">
        <f t="shared" si="165"/>
        <v>Far</v>
      </c>
      <c r="W841" t="str">
        <f t="shared" si="166"/>
        <v>Normal</v>
      </c>
      <c r="X841" t="str">
        <f t="shared" si="167"/>
        <v>Allowed</v>
      </c>
    </row>
    <row r="842" spans="1:24" x14ac:dyDescent="0.3">
      <c r="A842" t="s">
        <v>20</v>
      </c>
      <c r="B842" t="s">
        <v>31</v>
      </c>
      <c r="C842" t="s">
        <v>21</v>
      </c>
      <c r="D842" s="3">
        <v>45808</v>
      </c>
      <c r="E842" s="6">
        <v>0.61</v>
      </c>
      <c r="F842">
        <v>0</v>
      </c>
      <c r="G842" t="s">
        <v>13</v>
      </c>
      <c r="H842" s="6">
        <v>0.59</v>
      </c>
      <c r="I842" s="8">
        <v>0.20779220779220781</v>
      </c>
      <c r="J842" s="5">
        <f t="shared" si="156"/>
        <v>-4.8849805534298088E-2</v>
      </c>
      <c r="K842" s="5" cm="1">
        <f t="array" ref="K842">_xlfn.STDEV.S(IF($C:$C=C842,$I:$I))</f>
        <v>0.44966933193859487</v>
      </c>
      <c r="L842" s="7">
        <f t="shared" si="159"/>
        <v>0.57073497145131513</v>
      </c>
      <c r="M842">
        <f t="shared" si="157"/>
        <v>-1</v>
      </c>
      <c r="N842" s="9">
        <f t="shared" si="160"/>
        <v>3.3898305084745797E-2</v>
      </c>
      <c r="O842">
        <f>COUNTIFS($B$2:B842,B842,$C$2:C842,C842,$D$2:D842,"&lt;"&amp;D842,$F$2:F842,1)</f>
        <v>0</v>
      </c>
      <c r="P842">
        <f t="shared" si="158"/>
        <v>0</v>
      </c>
      <c r="Q842" t="str">
        <f t="shared" si="161"/>
        <v>Monitor</v>
      </c>
      <c r="R842">
        <v>0</v>
      </c>
      <c r="S842">
        <f t="shared" si="162"/>
        <v>0</v>
      </c>
      <c r="T842">
        <f t="shared" si="163"/>
        <v>0</v>
      </c>
      <c r="U842" t="str">
        <f t="shared" si="164"/>
        <v>Improved Enough</v>
      </c>
      <c r="V842" t="str">
        <f t="shared" si="165"/>
        <v>Far</v>
      </c>
      <c r="W842" t="str">
        <f t="shared" si="166"/>
        <v>Normal</v>
      </c>
      <c r="X842" t="str">
        <f t="shared" si="167"/>
        <v>Allowed</v>
      </c>
    </row>
    <row r="843" spans="1:24" x14ac:dyDescent="0.3">
      <c r="A843" t="s">
        <v>20</v>
      </c>
      <c r="B843" t="s">
        <v>31</v>
      </c>
      <c r="C843" t="s">
        <v>21</v>
      </c>
      <c r="D843" s="3">
        <v>45838</v>
      </c>
      <c r="E843" s="6">
        <v>0.65</v>
      </c>
      <c r="F843">
        <v>0</v>
      </c>
      <c r="G843" t="s">
        <v>13</v>
      </c>
      <c r="H843" s="6">
        <v>0.59</v>
      </c>
      <c r="I843" s="8">
        <v>-6.5573770491803338E-2</v>
      </c>
      <c r="J843" s="5">
        <f t="shared" si="156"/>
        <v>-4.8849805534298088E-2</v>
      </c>
      <c r="K843" s="5" cm="1">
        <f t="array" ref="K843">_xlfn.STDEV.S(IF($C:$C=C843,$I:$I))</f>
        <v>0.44966933193859487</v>
      </c>
      <c r="L843" s="7">
        <f t="shared" si="159"/>
        <v>-3.7191695696492395E-2</v>
      </c>
      <c r="M843">
        <f t="shared" si="157"/>
        <v>0</v>
      </c>
      <c r="N843" s="9">
        <f t="shared" si="160"/>
        <v>0.10169491525423738</v>
      </c>
      <c r="O843">
        <f>COUNTIFS($B$2:B843,B843,$C$2:C843,C843,$D$2:D843,"&lt;"&amp;D843,$F$2:F843,1)</f>
        <v>0</v>
      </c>
      <c r="P843">
        <f t="shared" si="158"/>
        <v>0</v>
      </c>
      <c r="Q843" t="str">
        <f t="shared" si="161"/>
        <v>Monitor</v>
      </c>
      <c r="R843">
        <v>0</v>
      </c>
      <c r="S843">
        <f t="shared" si="162"/>
        <v>0</v>
      </c>
      <c r="T843">
        <f t="shared" si="163"/>
        <v>0</v>
      </c>
      <c r="U843" t="str">
        <f t="shared" si="164"/>
        <v>Not Improved Enough</v>
      </c>
      <c r="V843" t="str">
        <f t="shared" si="165"/>
        <v>Far</v>
      </c>
      <c r="W843" t="str">
        <f t="shared" si="166"/>
        <v>Normal</v>
      </c>
      <c r="X843" t="str">
        <f t="shared" si="167"/>
        <v>Allowed</v>
      </c>
    </row>
    <row r="844" spans="1:24" x14ac:dyDescent="0.3">
      <c r="A844" t="s">
        <v>20</v>
      </c>
      <c r="B844" t="s">
        <v>31</v>
      </c>
      <c r="C844" t="s">
        <v>21</v>
      </c>
      <c r="D844" s="3">
        <v>45869</v>
      </c>
      <c r="E844" s="6">
        <v>0.33</v>
      </c>
      <c r="F844">
        <v>0</v>
      </c>
      <c r="G844" t="s">
        <v>13</v>
      </c>
      <c r="H844" s="6">
        <v>0.59</v>
      </c>
      <c r="I844" s="8">
        <v>0.49230769230769228</v>
      </c>
      <c r="J844" s="5">
        <f t="shared" si="156"/>
        <v>-4.8849805534298088E-2</v>
      </c>
      <c r="K844" s="5" cm="1">
        <f t="array" ref="K844">_xlfn.STDEV.S(IF($C:$C=C844,$I:$I))</f>
        <v>0.44966933193859487</v>
      </c>
      <c r="L844" s="7">
        <f t="shared" si="159"/>
        <v>1.2034565388503942</v>
      </c>
      <c r="M844">
        <f t="shared" si="157"/>
        <v>-1</v>
      </c>
      <c r="N844" s="9">
        <f t="shared" si="160"/>
        <v>-0.44067796610169485</v>
      </c>
      <c r="O844">
        <f>COUNTIFS($B$2:B844,B844,$C$2:C844,C844,$D$2:D844,"&lt;"&amp;D844,$F$2:F844,1)</f>
        <v>0</v>
      </c>
      <c r="P844">
        <f t="shared" si="158"/>
        <v>0</v>
      </c>
      <c r="Q844" t="str">
        <f t="shared" si="161"/>
        <v>Monitor</v>
      </c>
      <c r="R844">
        <v>0</v>
      </c>
      <c r="S844">
        <f t="shared" si="162"/>
        <v>0</v>
      </c>
      <c r="T844">
        <f t="shared" si="163"/>
        <v>0</v>
      </c>
      <c r="U844" t="str">
        <f t="shared" si="164"/>
        <v>Improved Enough</v>
      </c>
      <c r="V844" t="str">
        <f t="shared" si="165"/>
        <v>Close</v>
      </c>
      <c r="W844" t="str">
        <f t="shared" si="166"/>
        <v>Normal</v>
      </c>
      <c r="X844" t="str">
        <f t="shared" si="167"/>
        <v>Allowed</v>
      </c>
    </row>
    <row r="845" spans="1:24" x14ac:dyDescent="0.3">
      <c r="A845" t="s">
        <v>20</v>
      </c>
      <c r="B845" t="s">
        <v>31</v>
      </c>
      <c r="C845" t="s">
        <v>21</v>
      </c>
      <c r="D845" s="3">
        <v>45900</v>
      </c>
      <c r="E845" s="6">
        <v>0.56999999999999995</v>
      </c>
      <c r="F845">
        <v>0</v>
      </c>
      <c r="G845" t="s">
        <v>13</v>
      </c>
      <c r="H845" s="6">
        <v>0.59</v>
      </c>
      <c r="I845" s="8">
        <v>-0.72727272727272707</v>
      </c>
      <c r="J845" s="5">
        <f t="shared" si="156"/>
        <v>-4.8849805534298088E-2</v>
      </c>
      <c r="K845" s="5" cm="1">
        <f t="array" ref="K845">_xlfn.STDEV.S(IF($C:$C=C845,$I:$I))</f>
        <v>0.44966933193859487</v>
      </c>
      <c r="L845" s="7">
        <f t="shared" si="159"/>
        <v>-1.5087151236523995</v>
      </c>
      <c r="M845">
        <f t="shared" si="157"/>
        <v>1</v>
      </c>
      <c r="N845" s="9">
        <f t="shared" si="160"/>
        <v>-3.3898305084745797E-2</v>
      </c>
      <c r="O845">
        <f>COUNTIFS($B$2:B845,B845,$C$2:C845,C845,$D$2:D845,"&lt;"&amp;D845,$F$2:F845,1)</f>
        <v>0</v>
      </c>
      <c r="P845">
        <f t="shared" si="158"/>
        <v>0</v>
      </c>
      <c r="Q845" t="str">
        <f t="shared" si="161"/>
        <v>Monitor</v>
      </c>
      <c r="R845">
        <v>0</v>
      </c>
      <c r="S845">
        <f t="shared" si="162"/>
        <v>0</v>
      </c>
      <c r="T845">
        <f t="shared" si="163"/>
        <v>0</v>
      </c>
      <c r="U845" t="str">
        <f t="shared" si="164"/>
        <v>Not Improved Enough</v>
      </c>
      <c r="V845" t="str">
        <f t="shared" si="165"/>
        <v>Close</v>
      </c>
      <c r="W845" t="str">
        <f t="shared" si="166"/>
        <v>Abnormal</v>
      </c>
      <c r="X845" t="str">
        <f t="shared" si="167"/>
        <v>Allowed</v>
      </c>
    </row>
    <row r="846" spans="1:24" x14ac:dyDescent="0.3">
      <c r="A846" t="s">
        <v>20</v>
      </c>
      <c r="B846" t="s">
        <v>31</v>
      </c>
      <c r="C846" t="s">
        <v>21</v>
      </c>
      <c r="D846" s="3">
        <v>45930</v>
      </c>
      <c r="E846" s="6">
        <v>1.5720000000000001</v>
      </c>
      <c r="F846">
        <v>0</v>
      </c>
      <c r="G846" t="s">
        <v>13</v>
      </c>
      <c r="H846" s="6">
        <v>0.59</v>
      </c>
      <c r="I846" s="8">
        <v>-1.7578947368421061</v>
      </c>
      <c r="J846" s="5">
        <f t="shared" si="156"/>
        <v>-4.8849805534298088E-2</v>
      </c>
      <c r="K846" s="5" cm="1">
        <f t="array" ref="K846">_xlfn.STDEV.S(IF($C:$C=C846,$I:$I))</f>
        <v>0.44966933193859487</v>
      </c>
      <c r="L846" s="7">
        <f t="shared" si="159"/>
        <v>-3.80067042584347</v>
      </c>
      <c r="M846">
        <f t="shared" si="157"/>
        <v>1</v>
      </c>
      <c r="N846" s="9">
        <f t="shared" si="160"/>
        <v>1.6644067796610171</v>
      </c>
      <c r="O846">
        <f>COUNTIFS($B$2:B846,B846,$C$2:C846,C846,$D$2:D846,"&lt;"&amp;D846,$F$2:F846,1)</f>
        <v>0</v>
      </c>
      <c r="P846">
        <f t="shared" si="158"/>
        <v>0</v>
      </c>
      <c r="Q846" t="str">
        <f t="shared" si="161"/>
        <v>Intervene</v>
      </c>
      <c r="R846">
        <v>0</v>
      </c>
      <c r="S846">
        <f t="shared" si="162"/>
        <v>1</v>
      </c>
      <c r="T846">
        <f t="shared" si="163"/>
        <v>1</v>
      </c>
      <c r="U846" t="str">
        <f t="shared" si="164"/>
        <v>Not Improved Enough</v>
      </c>
      <c r="V846" t="str">
        <f t="shared" si="165"/>
        <v>Far</v>
      </c>
      <c r="W846" t="str">
        <f t="shared" si="166"/>
        <v>Abnormal</v>
      </c>
      <c r="X846" t="str">
        <f t="shared" si="167"/>
        <v>Allowed</v>
      </c>
    </row>
    <row r="847" spans="1:24" x14ac:dyDescent="0.3">
      <c r="A847" t="s">
        <v>20</v>
      </c>
      <c r="B847" t="s">
        <v>31</v>
      </c>
      <c r="C847" t="s">
        <v>21</v>
      </c>
      <c r="D847" s="3">
        <v>45961</v>
      </c>
      <c r="E847" s="6">
        <v>0.3</v>
      </c>
      <c r="F847">
        <v>0</v>
      </c>
      <c r="G847" t="s">
        <v>13</v>
      </c>
      <c r="H847" s="6">
        <v>0.59</v>
      </c>
      <c r="I847" s="8">
        <v>0.80916030534351147</v>
      </c>
      <c r="J847" s="5">
        <f t="shared" si="156"/>
        <v>-4.8849805534298088E-2</v>
      </c>
      <c r="K847" s="5" cm="1">
        <f t="array" ref="K847">_xlfn.STDEV.S(IF($C:$C=C847,$I:$I))</f>
        <v>0.44966933193859487</v>
      </c>
      <c r="L847" s="7">
        <f t="shared" si="159"/>
        <v>1.9080912349054218</v>
      </c>
      <c r="M847">
        <f t="shared" si="157"/>
        <v>-1</v>
      </c>
      <c r="N847" s="9">
        <f t="shared" si="160"/>
        <v>-0.49152542372881353</v>
      </c>
      <c r="O847">
        <f>COUNTIFS($B$2:B847,B847,$C$2:C847,C847,$D$2:D847,"&lt;"&amp;D847,$F$2:F847,1)</f>
        <v>0</v>
      </c>
      <c r="P847">
        <f t="shared" si="158"/>
        <v>0</v>
      </c>
      <c r="Q847" t="str">
        <f t="shared" si="161"/>
        <v>Monitor</v>
      </c>
      <c r="R847">
        <v>0</v>
      </c>
      <c r="S847">
        <f t="shared" si="162"/>
        <v>0</v>
      </c>
      <c r="T847">
        <f t="shared" si="163"/>
        <v>0</v>
      </c>
      <c r="U847" t="str">
        <f t="shared" si="164"/>
        <v>Improved Enough</v>
      </c>
      <c r="V847" t="str">
        <f t="shared" si="165"/>
        <v>Close</v>
      </c>
      <c r="W847" t="str">
        <f t="shared" si="166"/>
        <v>Normal</v>
      </c>
      <c r="X847" t="str">
        <f t="shared" si="167"/>
        <v>Allowed</v>
      </c>
    </row>
    <row r="848" spans="1:24" x14ac:dyDescent="0.3">
      <c r="A848" t="s">
        <v>20</v>
      </c>
      <c r="B848" t="s">
        <v>31</v>
      </c>
      <c r="C848" t="s">
        <v>22</v>
      </c>
      <c r="D848" s="3">
        <v>45535</v>
      </c>
      <c r="E848" s="6">
        <v>0.51700000000000002</v>
      </c>
      <c r="F848">
        <v>0</v>
      </c>
      <c r="G848" t="s">
        <v>13</v>
      </c>
      <c r="H848" s="6">
        <v>0.56999999999999995</v>
      </c>
      <c r="I848" s="8">
        <v>0.17280000000000001</v>
      </c>
      <c r="J848" s="5">
        <f t="shared" si="156"/>
        <v>-2.6703176088529658E-2</v>
      </c>
      <c r="K848" s="5" cm="1">
        <f t="array" ref="K848">_xlfn.STDEV.S(IF($C:$C=C848,$I:$I))</f>
        <v>0.34089784338901952</v>
      </c>
      <c r="L848" s="7">
        <f t="shared" si="159"/>
        <v>0.58522862481375193</v>
      </c>
      <c r="M848">
        <f t="shared" si="157"/>
        <v>-1</v>
      </c>
      <c r="N848" s="9">
        <f t="shared" si="160"/>
        <v>-9.2982456140350778E-2</v>
      </c>
      <c r="O848">
        <f>COUNTIFS($B$2:B848,B848,$C$2:C848,C848,$D$2:D848,"&lt;"&amp;D848,$F$2:F848,1)</f>
        <v>0</v>
      </c>
      <c r="P848">
        <f t="shared" si="158"/>
        <v>0</v>
      </c>
      <c r="Q848" t="str">
        <f t="shared" si="161"/>
        <v>Monitor</v>
      </c>
      <c r="R848">
        <v>0</v>
      </c>
      <c r="S848">
        <f t="shared" si="162"/>
        <v>0</v>
      </c>
      <c r="T848">
        <f t="shared" si="163"/>
        <v>0</v>
      </c>
      <c r="U848" t="str">
        <f t="shared" si="164"/>
        <v>Improved Enough</v>
      </c>
      <c r="V848" t="str">
        <f t="shared" si="165"/>
        <v>Close</v>
      </c>
      <c r="W848" t="str">
        <f t="shared" si="166"/>
        <v>Normal</v>
      </c>
      <c r="X848" t="str">
        <f t="shared" si="167"/>
        <v>Allowed</v>
      </c>
    </row>
    <row r="849" spans="1:24" x14ac:dyDescent="0.3">
      <c r="A849" t="s">
        <v>20</v>
      </c>
      <c r="B849" t="s">
        <v>31</v>
      </c>
      <c r="C849" t="s">
        <v>22</v>
      </c>
      <c r="D849" s="3">
        <v>45565</v>
      </c>
      <c r="E849" s="6">
        <v>0.47799999999999998</v>
      </c>
      <c r="F849">
        <v>0</v>
      </c>
      <c r="G849" t="s">
        <v>13</v>
      </c>
      <c r="H849" s="6">
        <v>0.56999999999999995</v>
      </c>
      <c r="I849" s="8">
        <v>7.5435203094777623E-2</v>
      </c>
      <c r="J849" s="5">
        <f t="shared" si="156"/>
        <v>-2.6703176088529658E-2</v>
      </c>
      <c r="K849" s="5" cm="1">
        <f t="array" ref="K849">_xlfn.STDEV.S(IF($C:$C=C849,$I:$I))</f>
        <v>0.34089784338901952</v>
      </c>
      <c r="L849" s="7">
        <f t="shared" si="159"/>
        <v>0.29961579741280703</v>
      </c>
      <c r="M849">
        <f t="shared" si="157"/>
        <v>0</v>
      </c>
      <c r="N849" s="9">
        <f t="shared" si="160"/>
        <v>-0.1614035087719298</v>
      </c>
      <c r="O849">
        <f>COUNTIFS($B$2:B849,B849,$C$2:C849,C849,$D$2:D849,"&lt;"&amp;D849,$F$2:F849,1)</f>
        <v>0</v>
      </c>
      <c r="P849">
        <f t="shared" si="158"/>
        <v>0</v>
      </c>
      <c r="Q849" t="str">
        <f t="shared" si="161"/>
        <v>Monitor</v>
      </c>
      <c r="R849">
        <v>0</v>
      </c>
      <c r="S849">
        <f t="shared" si="162"/>
        <v>0</v>
      </c>
      <c r="T849">
        <f t="shared" si="163"/>
        <v>0</v>
      </c>
      <c r="U849" t="str">
        <f t="shared" si="164"/>
        <v>Improved Enough</v>
      </c>
      <c r="V849" t="str">
        <f t="shared" si="165"/>
        <v>Close</v>
      </c>
      <c r="W849" t="str">
        <f t="shared" si="166"/>
        <v>Normal</v>
      </c>
      <c r="X849" t="str">
        <f t="shared" si="167"/>
        <v>Allowed</v>
      </c>
    </row>
    <row r="850" spans="1:24" x14ac:dyDescent="0.3">
      <c r="A850" t="s">
        <v>20</v>
      </c>
      <c r="B850" t="s">
        <v>31</v>
      </c>
      <c r="C850" t="s">
        <v>22</v>
      </c>
      <c r="D850" s="3">
        <v>45596</v>
      </c>
      <c r="E850" s="6">
        <v>0.54500000000000004</v>
      </c>
      <c r="F850">
        <v>0</v>
      </c>
      <c r="G850" t="s">
        <v>13</v>
      </c>
      <c r="H850" s="6">
        <v>0.56999999999999995</v>
      </c>
      <c r="I850" s="8">
        <v>-0.14016736401673649</v>
      </c>
      <c r="J850" s="5">
        <f t="shared" si="156"/>
        <v>-2.6703176088529658E-2</v>
      </c>
      <c r="K850" s="5" cm="1">
        <f t="array" ref="K850">_xlfn.STDEV.S(IF($C:$C=C850,$I:$I))</f>
        <v>0.34089784338901952</v>
      </c>
      <c r="L850" s="7">
        <f t="shared" si="159"/>
        <v>-0.33283926586395524</v>
      </c>
      <c r="M850">
        <f t="shared" si="157"/>
        <v>0</v>
      </c>
      <c r="N850" s="9">
        <f t="shared" si="160"/>
        <v>-4.3859649122806862E-2</v>
      </c>
      <c r="O850">
        <f>COUNTIFS($B$2:B850,B850,$C$2:C850,C850,$D$2:D850,"&lt;"&amp;D850,$F$2:F850,1)</f>
        <v>0</v>
      </c>
      <c r="P850">
        <f t="shared" si="158"/>
        <v>0</v>
      </c>
      <c r="Q850" t="str">
        <f t="shared" si="161"/>
        <v>Monitor</v>
      </c>
      <c r="R850">
        <v>0</v>
      </c>
      <c r="S850">
        <f t="shared" si="162"/>
        <v>0</v>
      </c>
      <c r="T850">
        <f t="shared" si="163"/>
        <v>0</v>
      </c>
      <c r="U850" t="str">
        <f t="shared" si="164"/>
        <v>Not Improved Enough</v>
      </c>
      <c r="V850" t="str">
        <f t="shared" si="165"/>
        <v>Close</v>
      </c>
      <c r="W850" t="str">
        <f t="shared" si="166"/>
        <v>Normal</v>
      </c>
      <c r="X850" t="str">
        <f t="shared" si="167"/>
        <v>Allowed</v>
      </c>
    </row>
    <row r="851" spans="1:24" x14ac:dyDescent="0.3">
      <c r="A851" t="s">
        <v>20</v>
      </c>
      <c r="B851" t="s">
        <v>31</v>
      </c>
      <c r="C851" t="s">
        <v>22</v>
      </c>
      <c r="D851" s="3">
        <v>45626</v>
      </c>
      <c r="E851" s="6">
        <v>0.44400000000000001</v>
      </c>
      <c r="F851">
        <v>0</v>
      </c>
      <c r="G851" t="s">
        <v>13</v>
      </c>
      <c r="H851" s="6">
        <v>0.56999999999999995</v>
      </c>
      <c r="I851" s="8">
        <v>0.1853211009174312</v>
      </c>
      <c r="J851" s="5">
        <f t="shared" si="156"/>
        <v>-2.6703176088529658E-2</v>
      </c>
      <c r="K851" s="5" cm="1">
        <f t="array" ref="K851">_xlfn.STDEV.S(IF($C:$C=C851,$I:$I))</f>
        <v>0.34089784338901952</v>
      </c>
      <c r="L851" s="7">
        <f t="shared" si="159"/>
        <v>0.62195839932025299</v>
      </c>
      <c r="M851">
        <f t="shared" si="157"/>
        <v>-1</v>
      </c>
      <c r="N851" s="9">
        <f t="shared" si="160"/>
        <v>-0.22105263157894728</v>
      </c>
      <c r="O851">
        <f>COUNTIFS($B$2:B851,B851,$C$2:C851,C851,$D$2:D851,"&lt;"&amp;D851,$F$2:F851,1)</f>
        <v>0</v>
      </c>
      <c r="P851">
        <f t="shared" si="158"/>
        <v>0</v>
      </c>
      <c r="Q851" t="str">
        <f t="shared" si="161"/>
        <v>Monitor</v>
      </c>
      <c r="R851">
        <v>0</v>
      </c>
      <c r="S851">
        <f t="shared" si="162"/>
        <v>0</v>
      </c>
      <c r="T851">
        <f t="shared" si="163"/>
        <v>0</v>
      </c>
      <c r="U851" t="str">
        <f t="shared" si="164"/>
        <v>Improved Enough</v>
      </c>
      <c r="V851" t="str">
        <f t="shared" si="165"/>
        <v>Close</v>
      </c>
      <c r="W851" t="str">
        <f t="shared" si="166"/>
        <v>Normal</v>
      </c>
      <c r="X851" t="str">
        <f t="shared" si="167"/>
        <v>Allowed</v>
      </c>
    </row>
    <row r="852" spans="1:24" x14ac:dyDescent="0.3">
      <c r="A852" t="s">
        <v>20</v>
      </c>
      <c r="B852" t="s">
        <v>31</v>
      </c>
      <c r="C852" t="s">
        <v>22</v>
      </c>
      <c r="D852" s="3">
        <v>45657</v>
      </c>
      <c r="E852" s="6">
        <v>0.45500000000000002</v>
      </c>
      <c r="F852">
        <v>0</v>
      </c>
      <c r="G852" t="s">
        <v>13</v>
      </c>
      <c r="H852" s="6">
        <v>0.56999999999999995</v>
      </c>
      <c r="I852" s="8">
        <v>-2.4774774774774799E-2</v>
      </c>
      <c r="J852" s="5">
        <f t="shared" si="156"/>
        <v>-2.6703176088529658E-2</v>
      </c>
      <c r="K852" s="5" cm="1">
        <f t="array" ref="K852">_xlfn.STDEV.S(IF($C:$C=C852,$I:$I))</f>
        <v>0.34089784338901952</v>
      </c>
      <c r="L852" s="7">
        <f t="shared" si="159"/>
        <v>5.6568304879366493E-3</v>
      </c>
      <c r="M852">
        <f t="shared" si="157"/>
        <v>0</v>
      </c>
      <c r="N852" s="9">
        <f t="shared" si="160"/>
        <v>-0.20175438596491219</v>
      </c>
      <c r="O852">
        <f>COUNTIFS($B$2:B852,B852,$C$2:C852,C852,$D$2:D852,"&lt;"&amp;D852,$F$2:F852,1)</f>
        <v>0</v>
      </c>
      <c r="P852">
        <f t="shared" si="158"/>
        <v>0</v>
      </c>
      <c r="Q852" t="str">
        <f t="shared" si="161"/>
        <v>Monitor</v>
      </c>
      <c r="R852">
        <v>0</v>
      </c>
      <c r="S852">
        <f t="shared" si="162"/>
        <v>0</v>
      </c>
      <c r="T852">
        <f t="shared" si="163"/>
        <v>0</v>
      </c>
      <c r="U852" t="str">
        <f t="shared" si="164"/>
        <v>Not Improved Enough</v>
      </c>
      <c r="V852" t="str">
        <f t="shared" si="165"/>
        <v>Close</v>
      </c>
      <c r="W852" t="str">
        <f t="shared" si="166"/>
        <v>Normal</v>
      </c>
      <c r="X852" t="str">
        <f t="shared" si="167"/>
        <v>Allowed</v>
      </c>
    </row>
    <row r="853" spans="1:24" x14ac:dyDescent="0.3">
      <c r="A853" t="s">
        <v>20</v>
      </c>
      <c r="B853" t="s">
        <v>31</v>
      </c>
      <c r="C853" t="s">
        <v>22</v>
      </c>
      <c r="D853" s="3">
        <v>45688</v>
      </c>
      <c r="E853" s="6">
        <v>0.64</v>
      </c>
      <c r="F853">
        <v>0</v>
      </c>
      <c r="G853" t="s">
        <v>13</v>
      </c>
      <c r="H853" s="6">
        <v>0.56999999999999995</v>
      </c>
      <c r="I853" s="8">
        <v>-0.40659340659340659</v>
      </c>
      <c r="J853" s="5">
        <f t="shared" si="156"/>
        <v>-2.6703176088529658E-2</v>
      </c>
      <c r="K853" s="5" cm="1">
        <f t="array" ref="K853">_xlfn.STDEV.S(IF($C:$C=C853,$I:$I))</f>
        <v>0.34089784338901952</v>
      </c>
      <c r="L853" s="7">
        <f t="shared" si="159"/>
        <v>-1.1143814426287255</v>
      </c>
      <c r="M853">
        <f t="shared" si="157"/>
        <v>1</v>
      </c>
      <c r="N853" s="9">
        <f t="shared" si="160"/>
        <v>0.12280701754385977</v>
      </c>
      <c r="O853">
        <f>COUNTIFS($B$2:B853,B853,$C$2:C853,C853,$D$2:D853,"&lt;"&amp;D853,$F$2:F853,1)</f>
        <v>0</v>
      </c>
      <c r="P853">
        <f t="shared" si="158"/>
        <v>0</v>
      </c>
      <c r="Q853" t="str">
        <f t="shared" si="161"/>
        <v>Intervene</v>
      </c>
      <c r="R853">
        <v>0</v>
      </c>
      <c r="S853">
        <f t="shared" si="162"/>
        <v>1</v>
      </c>
      <c r="T853">
        <f t="shared" si="163"/>
        <v>1</v>
      </c>
      <c r="U853" t="str">
        <f t="shared" si="164"/>
        <v>Not Improved Enough</v>
      </c>
      <c r="V853" t="str">
        <f t="shared" si="165"/>
        <v>Far</v>
      </c>
      <c r="W853" t="str">
        <f t="shared" si="166"/>
        <v>Abnormal</v>
      </c>
      <c r="X853" t="str">
        <f t="shared" si="167"/>
        <v>Allowed</v>
      </c>
    </row>
    <row r="854" spans="1:24" x14ac:dyDescent="0.3">
      <c r="A854" t="s">
        <v>20</v>
      </c>
      <c r="B854" t="s">
        <v>31</v>
      </c>
      <c r="C854" t="s">
        <v>22</v>
      </c>
      <c r="D854" s="3">
        <v>45716</v>
      </c>
      <c r="E854" s="6">
        <v>0.54500000000000004</v>
      </c>
      <c r="F854">
        <v>0</v>
      </c>
      <c r="G854" t="s">
        <v>13</v>
      </c>
      <c r="H854" s="6">
        <v>0.56999999999999995</v>
      </c>
      <c r="I854" s="8">
        <v>0.14843749999999989</v>
      </c>
      <c r="J854" s="5">
        <f t="shared" si="156"/>
        <v>-2.6703176088529658E-2</v>
      </c>
      <c r="K854" s="5" cm="1">
        <f t="array" ref="K854">_xlfn.STDEV.S(IF($C:$C=C854,$I:$I))</f>
        <v>0.34089784338901952</v>
      </c>
      <c r="L854" s="7">
        <f t="shared" si="159"/>
        <v>0.51376293363248338</v>
      </c>
      <c r="M854">
        <f t="shared" si="157"/>
        <v>-1</v>
      </c>
      <c r="N854" s="9">
        <f t="shared" si="160"/>
        <v>-4.3859649122806862E-2</v>
      </c>
      <c r="O854">
        <f>COUNTIFS($B$2:B854,B854,$C$2:C854,C854,$D$2:D854,"&lt;"&amp;D854,$F$2:F854,1)</f>
        <v>0</v>
      </c>
      <c r="P854">
        <f t="shared" si="158"/>
        <v>0</v>
      </c>
      <c r="Q854" t="str">
        <f t="shared" si="161"/>
        <v>Monitor</v>
      </c>
      <c r="R854">
        <v>0</v>
      </c>
      <c r="S854">
        <f t="shared" si="162"/>
        <v>0</v>
      </c>
      <c r="T854">
        <f t="shared" si="163"/>
        <v>0</v>
      </c>
      <c r="U854" t="str">
        <f t="shared" si="164"/>
        <v>Improved Enough</v>
      </c>
      <c r="V854" t="str">
        <f t="shared" si="165"/>
        <v>Close</v>
      </c>
      <c r="W854" t="str">
        <f t="shared" si="166"/>
        <v>Normal</v>
      </c>
      <c r="X854" t="str">
        <f t="shared" si="167"/>
        <v>Allowed</v>
      </c>
    </row>
    <row r="855" spans="1:24" x14ac:dyDescent="0.3">
      <c r="A855" t="s">
        <v>20</v>
      </c>
      <c r="B855" t="s">
        <v>31</v>
      </c>
      <c r="C855" t="s">
        <v>22</v>
      </c>
      <c r="D855" s="3">
        <v>45747</v>
      </c>
      <c r="E855" s="6">
        <v>0.83299999999999996</v>
      </c>
      <c r="F855">
        <v>0</v>
      </c>
      <c r="G855" t="s">
        <v>13</v>
      </c>
      <c r="H855" s="6">
        <v>0.56999999999999995</v>
      </c>
      <c r="I855" s="8">
        <v>-0.52844036697247687</v>
      </c>
      <c r="J855" s="5">
        <f t="shared" si="156"/>
        <v>-2.6703176088529658E-2</v>
      </c>
      <c r="K855" s="5" cm="1">
        <f t="array" ref="K855">_xlfn.STDEV.S(IF($C:$C=C855,$I:$I))</f>
        <v>0.34089784338901952</v>
      </c>
      <c r="L855" s="7">
        <f t="shared" si="159"/>
        <v>-1.4718109856488122</v>
      </c>
      <c r="M855">
        <f t="shared" si="157"/>
        <v>1</v>
      </c>
      <c r="N855" s="9">
        <f t="shared" si="160"/>
        <v>0.46140350877192987</v>
      </c>
      <c r="O855">
        <f>COUNTIFS($B$2:B855,B855,$C$2:C855,C855,$D$2:D855,"&lt;"&amp;D855,$F$2:F855,1)</f>
        <v>0</v>
      </c>
      <c r="P855">
        <f t="shared" si="158"/>
        <v>0</v>
      </c>
      <c r="Q855" t="str">
        <f t="shared" si="161"/>
        <v>Intervene</v>
      </c>
      <c r="R855">
        <v>0</v>
      </c>
      <c r="S855">
        <f t="shared" si="162"/>
        <v>1</v>
      </c>
      <c r="T855">
        <f t="shared" si="163"/>
        <v>1</v>
      </c>
      <c r="U855" t="str">
        <f t="shared" si="164"/>
        <v>Not Improved Enough</v>
      </c>
      <c r="V855" t="str">
        <f t="shared" si="165"/>
        <v>Far</v>
      </c>
      <c r="W855" t="str">
        <f t="shared" si="166"/>
        <v>Abnormal</v>
      </c>
      <c r="X855" t="str">
        <f t="shared" si="167"/>
        <v>Allowed</v>
      </c>
    </row>
    <row r="856" spans="1:24" x14ac:dyDescent="0.3">
      <c r="A856" t="s">
        <v>20</v>
      </c>
      <c r="B856" t="s">
        <v>31</v>
      </c>
      <c r="C856" t="s">
        <v>22</v>
      </c>
      <c r="D856" s="3">
        <v>45777</v>
      </c>
      <c r="E856" s="6">
        <v>0.72699999999999998</v>
      </c>
      <c r="F856">
        <v>0</v>
      </c>
      <c r="G856" t="s">
        <v>13</v>
      </c>
      <c r="H856" s="6">
        <v>0.56999999999999995</v>
      </c>
      <c r="I856" s="8">
        <v>0.12725090036014411</v>
      </c>
      <c r="J856" s="5">
        <f t="shared" si="156"/>
        <v>-2.6703176088529658E-2</v>
      </c>
      <c r="K856" s="5" cm="1">
        <f t="array" ref="K856">_xlfn.STDEV.S(IF($C:$C=C856,$I:$I))</f>
        <v>0.34089784338901952</v>
      </c>
      <c r="L856" s="7">
        <f t="shared" si="159"/>
        <v>0.45161352421049872</v>
      </c>
      <c r="M856">
        <f t="shared" si="157"/>
        <v>0</v>
      </c>
      <c r="N856" s="9">
        <f t="shared" si="160"/>
        <v>0.27543859649122815</v>
      </c>
      <c r="O856">
        <f>COUNTIFS($B$2:B856,B856,$C$2:C856,C856,$D$2:D856,"&lt;"&amp;D856,$F$2:F856,1)</f>
        <v>0</v>
      </c>
      <c r="P856">
        <f t="shared" si="158"/>
        <v>0</v>
      </c>
      <c r="Q856" t="str">
        <f t="shared" si="161"/>
        <v>Monitor</v>
      </c>
      <c r="R856">
        <v>0</v>
      </c>
      <c r="S856">
        <f t="shared" si="162"/>
        <v>0</v>
      </c>
      <c r="T856">
        <f t="shared" si="163"/>
        <v>0</v>
      </c>
      <c r="U856" t="str">
        <f t="shared" si="164"/>
        <v>Improved Enough</v>
      </c>
      <c r="V856" t="str">
        <f t="shared" si="165"/>
        <v>Far</v>
      </c>
      <c r="W856" t="str">
        <f t="shared" si="166"/>
        <v>Normal</v>
      </c>
      <c r="X856" t="str">
        <f t="shared" si="167"/>
        <v>Allowed</v>
      </c>
    </row>
    <row r="857" spans="1:24" x14ac:dyDescent="0.3">
      <c r="A857" t="s">
        <v>20</v>
      </c>
      <c r="B857" t="s">
        <v>31</v>
      </c>
      <c r="C857" t="s">
        <v>22</v>
      </c>
      <c r="D857" s="3">
        <v>45808</v>
      </c>
      <c r="E857" s="6">
        <v>0.55600000000000005</v>
      </c>
      <c r="F857">
        <v>0</v>
      </c>
      <c r="G857" t="s">
        <v>13</v>
      </c>
      <c r="H857" s="6">
        <v>0.56999999999999995</v>
      </c>
      <c r="I857" s="8">
        <v>0.23521320495185691</v>
      </c>
      <c r="J857" s="5">
        <f t="shared" si="156"/>
        <v>-2.6703176088529658E-2</v>
      </c>
      <c r="K857" s="5" cm="1">
        <f t="array" ref="K857">_xlfn.STDEV.S(IF($C:$C=C857,$I:$I))</f>
        <v>0.34089784338901952</v>
      </c>
      <c r="L857" s="7">
        <f t="shared" si="159"/>
        <v>0.76831339980493119</v>
      </c>
      <c r="M857">
        <f t="shared" si="157"/>
        <v>-1</v>
      </c>
      <c r="N857" s="9">
        <f t="shared" si="160"/>
        <v>-2.456140350877176E-2</v>
      </c>
      <c r="O857">
        <f>COUNTIFS($B$2:B857,B857,$C$2:C857,C857,$D$2:D857,"&lt;"&amp;D857,$F$2:F857,1)</f>
        <v>0</v>
      </c>
      <c r="P857">
        <f t="shared" si="158"/>
        <v>0</v>
      </c>
      <c r="Q857" t="str">
        <f t="shared" si="161"/>
        <v>Monitor</v>
      </c>
      <c r="R857">
        <v>0</v>
      </c>
      <c r="S857">
        <f t="shared" si="162"/>
        <v>0</v>
      </c>
      <c r="T857">
        <f t="shared" si="163"/>
        <v>0</v>
      </c>
      <c r="U857" t="str">
        <f t="shared" si="164"/>
        <v>Improved Enough</v>
      </c>
      <c r="V857" t="str">
        <f t="shared" si="165"/>
        <v>Close</v>
      </c>
      <c r="W857" t="str">
        <f t="shared" si="166"/>
        <v>Normal</v>
      </c>
      <c r="X857" t="str">
        <f t="shared" si="167"/>
        <v>Allowed</v>
      </c>
    </row>
    <row r="858" spans="1:24" x14ac:dyDescent="0.3">
      <c r="A858" t="s">
        <v>20</v>
      </c>
      <c r="B858" t="s">
        <v>31</v>
      </c>
      <c r="C858" t="s">
        <v>22</v>
      </c>
      <c r="D858" s="3">
        <v>45838</v>
      </c>
      <c r="E858" s="6">
        <v>0.4</v>
      </c>
      <c r="F858">
        <v>0</v>
      </c>
      <c r="G858" t="s">
        <v>13</v>
      </c>
      <c r="H858" s="6">
        <v>0.56999999999999995</v>
      </c>
      <c r="I858" s="8">
        <v>0.28057553956834541</v>
      </c>
      <c r="J858" s="5">
        <f t="shared" si="156"/>
        <v>-2.6703176088529658E-2</v>
      </c>
      <c r="K858" s="5" cm="1">
        <f t="array" ref="K858">_xlfn.STDEV.S(IF($C:$C=C858,$I:$I))</f>
        <v>0.34089784338901952</v>
      </c>
      <c r="L858" s="7">
        <f t="shared" si="159"/>
        <v>0.90138063826417469</v>
      </c>
      <c r="M858">
        <f t="shared" si="157"/>
        <v>-1</v>
      </c>
      <c r="N858" s="9">
        <f t="shared" si="160"/>
        <v>-0.29824561403508765</v>
      </c>
      <c r="O858">
        <f>COUNTIFS($B$2:B858,B858,$C$2:C858,C858,$D$2:D858,"&lt;"&amp;D858,$F$2:F858,1)</f>
        <v>0</v>
      </c>
      <c r="P858">
        <f t="shared" si="158"/>
        <v>0</v>
      </c>
      <c r="Q858" t="str">
        <f t="shared" si="161"/>
        <v>Monitor</v>
      </c>
      <c r="R858">
        <v>0</v>
      </c>
      <c r="S858">
        <f t="shared" si="162"/>
        <v>0</v>
      </c>
      <c r="T858">
        <f t="shared" si="163"/>
        <v>0</v>
      </c>
      <c r="U858" t="str">
        <f t="shared" si="164"/>
        <v>Improved Enough</v>
      </c>
      <c r="V858" t="str">
        <f t="shared" si="165"/>
        <v>Close</v>
      </c>
      <c r="W858" t="str">
        <f t="shared" si="166"/>
        <v>Normal</v>
      </c>
      <c r="X858" t="str">
        <f t="shared" si="167"/>
        <v>Allowed</v>
      </c>
    </row>
    <row r="859" spans="1:24" x14ac:dyDescent="0.3">
      <c r="A859" t="s">
        <v>20</v>
      </c>
      <c r="B859" t="s">
        <v>31</v>
      </c>
      <c r="C859" t="s">
        <v>22</v>
      </c>
      <c r="D859" s="3">
        <v>45869</v>
      </c>
      <c r="E859" s="6">
        <v>1.43</v>
      </c>
      <c r="F859">
        <v>0</v>
      </c>
      <c r="G859" t="s">
        <v>13</v>
      </c>
      <c r="H859" s="6">
        <v>0.56999999999999995</v>
      </c>
      <c r="I859" s="8">
        <v>-2.5749999999999988</v>
      </c>
      <c r="J859" s="5">
        <f t="shared" si="156"/>
        <v>-2.6703176088529658E-2</v>
      </c>
      <c r="K859" s="5" cm="1">
        <f t="array" ref="K859">_xlfn.STDEV.S(IF($C:$C=C859,$I:$I))</f>
        <v>0.34089784338901952</v>
      </c>
      <c r="L859" s="7">
        <f t="shared" si="159"/>
        <v>-7.4752506456998935</v>
      </c>
      <c r="M859">
        <f t="shared" si="157"/>
        <v>1</v>
      </c>
      <c r="N859" s="9">
        <f t="shared" si="160"/>
        <v>1.5087719298245614</v>
      </c>
      <c r="O859">
        <f>COUNTIFS($B$2:B859,B859,$C$2:C859,C859,$D$2:D859,"&lt;"&amp;D859,$F$2:F859,1)</f>
        <v>0</v>
      </c>
      <c r="P859">
        <f t="shared" si="158"/>
        <v>0</v>
      </c>
      <c r="Q859" t="str">
        <f t="shared" si="161"/>
        <v>Intervene</v>
      </c>
      <c r="R859">
        <v>0</v>
      </c>
      <c r="S859">
        <f t="shared" si="162"/>
        <v>1</v>
      </c>
      <c r="T859">
        <f t="shared" si="163"/>
        <v>1</v>
      </c>
      <c r="U859" t="str">
        <f t="shared" si="164"/>
        <v>Not Improved Enough</v>
      </c>
      <c r="V859" t="str">
        <f t="shared" si="165"/>
        <v>Far</v>
      </c>
      <c r="W859" t="str">
        <f t="shared" si="166"/>
        <v>Abnormal</v>
      </c>
      <c r="X859" t="str">
        <f t="shared" si="167"/>
        <v>Allowed</v>
      </c>
    </row>
    <row r="860" spans="1:24" x14ac:dyDescent="0.3">
      <c r="A860" t="s">
        <v>20</v>
      </c>
      <c r="B860" t="s">
        <v>31</v>
      </c>
      <c r="C860" t="s">
        <v>22</v>
      </c>
      <c r="D860" s="3">
        <v>45900</v>
      </c>
      <c r="E860" s="6">
        <v>1.76</v>
      </c>
      <c r="F860">
        <v>0</v>
      </c>
      <c r="G860" t="s">
        <v>13</v>
      </c>
      <c r="H860" s="6">
        <v>0.56999999999999995</v>
      </c>
      <c r="I860" s="8">
        <v>-0.23076923076923081</v>
      </c>
      <c r="J860" s="5">
        <f t="shared" si="156"/>
        <v>-2.6703176088529658E-2</v>
      </c>
      <c r="K860" s="5" cm="1">
        <f t="array" ref="K860">_xlfn.STDEV.S(IF($C:$C=C860,$I:$I))</f>
        <v>0.34089784338901952</v>
      </c>
      <c r="L860" s="7">
        <f t="shared" si="159"/>
        <v>-0.59861351028797449</v>
      </c>
      <c r="M860">
        <f t="shared" si="157"/>
        <v>1</v>
      </c>
      <c r="N860" s="9">
        <f t="shared" si="160"/>
        <v>2.0877192982456143</v>
      </c>
      <c r="O860">
        <f>COUNTIFS($B$2:B860,B860,$C$2:C860,C860,$D$2:D860,"&lt;"&amp;D860,$F$2:F860,1)</f>
        <v>0</v>
      </c>
      <c r="P860">
        <f t="shared" si="158"/>
        <v>0</v>
      </c>
      <c r="Q860" t="str">
        <f t="shared" si="161"/>
        <v>Intervene</v>
      </c>
      <c r="R860">
        <v>0</v>
      </c>
      <c r="S860">
        <f t="shared" si="162"/>
        <v>1</v>
      </c>
      <c r="T860">
        <f t="shared" si="163"/>
        <v>1</v>
      </c>
      <c r="U860" t="str">
        <f t="shared" si="164"/>
        <v>Not Improved Enough</v>
      </c>
      <c r="V860" t="str">
        <f t="shared" si="165"/>
        <v>Far</v>
      </c>
      <c r="W860" t="str">
        <f t="shared" si="166"/>
        <v>Abnormal</v>
      </c>
      <c r="X860" t="str">
        <f t="shared" si="167"/>
        <v>Allowed</v>
      </c>
    </row>
    <row r="861" spans="1:24" x14ac:dyDescent="0.3">
      <c r="A861" t="s">
        <v>20</v>
      </c>
      <c r="B861" t="s">
        <v>31</v>
      </c>
      <c r="C861" t="s">
        <v>22</v>
      </c>
      <c r="D861" s="3">
        <v>45930</v>
      </c>
      <c r="E861" s="6">
        <v>0.35</v>
      </c>
      <c r="F861">
        <v>0</v>
      </c>
      <c r="G861" t="s">
        <v>13</v>
      </c>
      <c r="H861" s="6">
        <v>0.56999999999999995</v>
      </c>
      <c r="I861" s="8">
        <v>0.80113636363636376</v>
      </c>
      <c r="J861" s="5">
        <f t="shared" si="156"/>
        <v>-2.6703176088529658E-2</v>
      </c>
      <c r="K861" s="5" cm="1">
        <f t="array" ref="K861">_xlfn.STDEV.S(IF($C:$C=C861,$I:$I))</f>
        <v>0.34089784338901952</v>
      </c>
      <c r="L861" s="7">
        <f t="shared" si="159"/>
        <v>2.4284094363723936</v>
      </c>
      <c r="M861">
        <f t="shared" si="157"/>
        <v>-1</v>
      </c>
      <c r="N861" s="9">
        <f t="shared" si="160"/>
        <v>-0.38596491228070173</v>
      </c>
      <c r="O861">
        <f>COUNTIFS($B$2:B861,B861,$C$2:C861,C861,$D$2:D861,"&lt;"&amp;D861,$F$2:F861,1)</f>
        <v>0</v>
      </c>
      <c r="P861">
        <f t="shared" si="158"/>
        <v>0</v>
      </c>
      <c r="Q861" t="str">
        <f t="shared" si="161"/>
        <v>Monitor</v>
      </c>
      <c r="R861">
        <v>0</v>
      </c>
      <c r="S861">
        <f t="shared" si="162"/>
        <v>0</v>
      </c>
      <c r="T861">
        <f t="shared" si="163"/>
        <v>0</v>
      </c>
      <c r="U861" t="str">
        <f t="shared" si="164"/>
        <v>Improved Enough</v>
      </c>
      <c r="V861" t="str">
        <f t="shared" si="165"/>
        <v>Close</v>
      </c>
      <c r="W861" t="str">
        <f t="shared" si="166"/>
        <v>Normal</v>
      </c>
      <c r="X861" t="str">
        <f t="shared" si="167"/>
        <v>Allowed</v>
      </c>
    </row>
    <row r="862" spans="1:24" x14ac:dyDescent="0.3">
      <c r="A862" t="s">
        <v>23</v>
      </c>
      <c r="B862" t="s">
        <v>31</v>
      </c>
      <c r="C862" t="s">
        <v>24</v>
      </c>
      <c r="D862" s="3">
        <v>45535</v>
      </c>
      <c r="E862" s="6">
        <v>0.93330000000000002</v>
      </c>
      <c r="F862">
        <v>0</v>
      </c>
      <c r="G862" t="s">
        <v>17</v>
      </c>
      <c r="H862" s="6">
        <v>0.85</v>
      </c>
      <c r="I862" s="8">
        <v>-6.6699999999999982E-2</v>
      </c>
      <c r="J862" s="5">
        <f t="shared" si="156"/>
        <v>4.5902054585511267E-3</v>
      </c>
      <c r="K862" s="5" cm="1">
        <f t="array" ref="K862">_xlfn.STDEV.S(IF($C:$C=C862,$I:$I))</f>
        <v>7.1528610508022367E-2</v>
      </c>
      <c r="L862" s="7">
        <f t="shared" si="159"/>
        <v>-0.99666699733466069</v>
      </c>
      <c r="M862">
        <f t="shared" si="157"/>
        <v>1</v>
      </c>
      <c r="N862" s="9">
        <f t="shared" si="160"/>
        <v>-9.8000000000000045E-2</v>
      </c>
      <c r="O862">
        <f>COUNTIFS($B$2:B862,B862,$C$2:C862,C862,$D$2:D862,"&lt;"&amp;D862,$F$2:F862,1)</f>
        <v>0</v>
      </c>
      <c r="P862">
        <f t="shared" si="158"/>
        <v>0</v>
      </c>
      <c r="Q862" t="str">
        <f t="shared" si="161"/>
        <v>Monitor</v>
      </c>
      <c r="R862">
        <v>0</v>
      </c>
      <c r="S862">
        <f t="shared" si="162"/>
        <v>0</v>
      </c>
      <c r="T862">
        <f t="shared" si="163"/>
        <v>0</v>
      </c>
      <c r="U862" t="str">
        <f t="shared" si="164"/>
        <v>Not Improved Enough</v>
      </c>
      <c r="V862" t="str">
        <f t="shared" si="165"/>
        <v>Close</v>
      </c>
      <c r="W862" t="str">
        <f t="shared" si="166"/>
        <v>Abnormal</v>
      </c>
      <c r="X862" t="str">
        <f t="shared" si="167"/>
        <v>Allowed</v>
      </c>
    </row>
    <row r="863" spans="1:24" x14ac:dyDescent="0.3">
      <c r="A863" t="s">
        <v>23</v>
      </c>
      <c r="B863" t="s">
        <v>31</v>
      </c>
      <c r="C863" t="s">
        <v>24</v>
      </c>
      <c r="D863" s="3">
        <v>45565</v>
      </c>
      <c r="E863" s="6">
        <v>0.9</v>
      </c>
      <c r="F863">
        <v>0</v>
      </c>
      <c r="G863" t="s">
        <v>17</v>
      </c>
      <c r="H863" s="6">
        <v>0.85</v>
      </c>
      <c r="I863" s="8">
        <v>-3.5679845708775311E-2</v>
      </c>
      <c r="J863" s="5">
        <f t="shared" si="156"/>
        <v>4.5902054585511267E-3</v>
      </c>
      <c r="K863" s="5" cm="1">
        <f t="array" ref="K863">_xlfn.STDEV.S(IF($C:$C=C863,$I:$I))</f>
        <v>7.1528610508022367E-2</v>
      </c>
      <c r="L863" s="7">
        <f t="shared" si="159"/>
        <v>-0.56299221921569287</v>
      </c>
      <c r="M863">
        <f t="shared" si="157"/>
        <v>1</v>
      </c>
      <c r="N863" s="9">
        <f t="shared" si="160"/>
        <v>-5.8823529411764761E-2</v>
      </c>
      <c r="O863">
        <f>COUNTIFS($B$2:B863,B863,$C$2:C863,C863,$D$2:D863,"&lt;"&amp;D863,$F$2:F863,1)</f>
        <v>0</v>
      </c>
      <c r="P863">
        <f t="shared" si="158"/>
        <v>0</v>
      </c>
      <c r="Q863" t="str">
        <f t="shared" si="161"/>
        <v>Monitor</v>
      </c>
      <c r="R863">
        <v>0</v>
      </c>
      <c r="S863">
        <f t="shared" si="162"/>
        <v>0</v>
      </c>
      <c r="T863">
        <f t="shared" si="163"/>
        <v>0</v>
      </c>
      <c r="U863" t="str">
        <f t="shared" si="164"/>
        <v>Not Improved Enough</v>
      </c>
      <c r="V863" t="str">
        <f t="shared" si="165"/>
        <v>Close</v>
      </c>
      <c r="W863" t="str">
        <f t="shared" si="166"/>
        <v>Abnormal</v>
      </c>
      <c r="X863" t="str">
        <f t="shared" si="167"/>
        <v>Allowed</v>
      </c>
    </row>
    <row r="864" spans="1:24" x14ac:dyDescent="0.3">
      <c r="A864" t="s">
        <v>23</v>
      </c>
      <c r="B864" t="s">
        <v>31</v>
      </c>
      <c r="C864" t="s">
        <v>24</v>
      </c>
      <c r="D864" s="3">
        <v>45596</v>
      </c>
      <c r="E864" s="6">
        <v>0.89290000000000003</v>
      </c>
      <c r="F864">
        <v>0</v>
      </c>
      <c r="G864" t="s">
        <v>17</v>
      </c>
      <c r="H864" s="6">
        <v>0.85</v>
      </c>
      <c r="I864" s="8">
        <v>-7.8888888888888828E-3</v>
      </c>
      <c r="J864" s="5">
        <f t="shared" si="156"/>
        <v>4.5902054585511267E-3</v>
      </c>
      <c r="K864" s="5" cm="1">
        <f t="array" ref="K864">_xlfn.STDEV.S(IF($C:$C=C864,$I:$I))</f>
        <v>7.1528610508022367E-2</v>
      </c>
      <c r="L864" s="7">
        <f t="shared" si="159"/>
        <v>-0.17446297724517387</v>
      </c>
      <c r="M864">
        <f t="shared" si="157"/>
        <v>0</v>
      </c>
      <c r="N864" s="9">
        <f t="shared" si="160"/>
        <v>-5.0470588235294177E-2</v>
      </c>
      <c r="O864">
        <f>COUNTIFS($B$2:B864,B864,$C$2:C864,C864,$D$2:D864,"&lt;"&amp;D864,$F$2:F864,1)</f>
        <v>0</v>
      </c>
      <c r="P864">
        <f t="shared" si="158"/>
        <v>0</v>
      </c>
      <c r="Q864" t="str">
        <f t="shared" si="161"/>
        <v>Monitor</v>
      </c>
      <c r="R864">
        <v>0</v>
      </c>
      <c r="S864">
        <f t="shared" si="162"/>
        <v>0</v>
      </c>
      <c r="T864">
        <f t="shared" si="163"/>
        <v>0</v>
      </c>
      <c r="U864" t="str">
        <f t="shared" si="164"/>
        <v>Not Improved Enough</v>
      </c>
      <c r="V864" t="str">
        <f t="shared" si="165"/>
        <v>Close</v>
      </c>
      <c r="W864" t="str">
        <f t="shared" si="166"/>
        <v>Normal</v>
      </c>
      <c r="X864" t="str">
        <f t="shared" si="167"/>
        <v>Allowed</v>
      </c>
    </row>
    <row r="865" spans="1:24" x14ac:dyDescent="0.3">
      <c r="A865" t="s">
        <v>23</v>
      </c>
      <c r="B865" t="s">
        <v>31</v>
      </c>
      <c r="C865" t="s">
        <v>24</v>
      </c>
      <c r="D865" s="3">
        <v>45626</v>
      </c>
      <c r="E865" s="6">
        <v>0.84209999999999996</v>
      </c>
      <c r="F865">
        <v>0</v>
      </c>
      <c r="G865" t="s">
        <v>17</v>
      </c>
      <c r="H865" s="6">
        <v>0.85</v>
      </c>
      <c r="I865" s="8">
        <v>-5.6893269123082173E-2</v>
      </c>
      <c r="J865" s="5">
        <f t="shared" si="156"/>
        <v>4.5902054585511267E-3</v>
      </c>
      <c r="K865" s="5" cm="1">
        <f t="array" ref="K865">_xlfn.STDEV.S(IF($C:$C=C865,$I:$I))</f>
        <v>7.1528610508022367E-2</v>
      </c>
      <c r="L865" s="7">
        <f t="shared" si="159"/>
        <v>-0.85956478316795426</v>
      </c>
      <c r="M865">
        <f t="shared" si="157"/>
        <v>1</v>
      </c>
      <c r="N865" s="9">
        <f t="shared" si="160"/>
        <v>9.294117647058845E-3</v>
      </c>
      <c r="O865">
        <f>COUNTIFS($B$2:B865,B865,$C$2:C865,C865,$D$2:D865,"&lt;"&amp;D865,$F$2:F865,1)</f>
        <v>0</v>
      </c>
      <c r="P865">
        <f t="shared" si="158"/>
        <v>0</v>
      </c>
      <c r="Q865" t="str">
        <f t="shared" si="161"/>
        <v>Monitor</v>
      </c>
      <c r="R865">
        <v>0</v>
      </c>
      <c r="S865">
        <f t="shared" si="162"/>
        <v>0</v>
      </c>
      <c r="T865">
        <f t="shared" si="163"/>
        <v>0</v>
      </c>
      <c r="U865" t="str">
        <f t="shared" si="164"/>
        <v>Not Improved Enough</v>
      </c>
      <c r="V865" t="str">
        <f t="shared" si="165"/>
        <v>Close</v>
      </c>
      <c r="W865" t="str">
        <f t="shared" si="166"/>
        <v>Abnormal</v>
      </c>
      <c r="X865" t="str">
        <f t="shared" si="167"/>
        <v>Allowed</v>
      </c>
    </row>
    <row r="866" spans="1:24" x14ac:dyDescent="0.3">
      <c r="A866" t="s">
        <v>23</v>
      </c>
      <c r="B866" t="s">
        <v>31</v>
      </c>
      <c r="C866" t="s">
        <v>24</v>
      </c>
      <c r="D866" s="3">
        <v>45657</v>
      </c>
      <c r="E866" s="6">
        <v>0.92859999999999998</v>
      </c>
      <c r="F866">
        <v>0</v>
      </c>
      <c r="G866" t="s">
        <v>17</v>
      </c>
      <c r="H866" s="6">
        <v>0.85</v>
      </c>
      <c r="I866" s="8">
        <v>0.1027193919962</v>
      </c>
      <c r="J866" s="5">
        <f t="shared" si="156"/>
        <v>4.5902054585511267E-3</v>
      </c>
      <c r="K866" s="5" cm="1">
        <f t="array" ref="K866">_xlfn.STDEV.S(IF($C:$C=C866,$I:$I))</f>
        <v>7.1528610508022367E-2</v>
      </c>
      <c r="L866" s="7">
        <f t="shared" si="159"/>
        <v>1.3718872188443125</v>
      </c>
      <c r="M866">
        <f t="shared" si="157"/>
        <v>-1</v>
      </c>
      <c r="N866" s="9">
        <f t="shared" si="160"/>
        <v>-9.2470588235294124E-2</v>
      </c>
      <c r="O866">
        <f>COUNTIFS($B$2:B866,B866,$C$2:C866,C866,$D$2:D866,"&lt;"&amp;D866,$F$2:F866,1)</f>
        <v>0</v>
      </c>
      <c r="P866">
        <f t="shared" si="158"/>
        <v>0</v>
      </c>
      <c r="Q866" t="str">
        <f t="shared" si="161"/>
        <v>Monitor</v>
      </c>
      <c r="R866">
        <v>0</v>
      </c>
      <c r="S866">
        <f t="shared" si="162"/>
        <v>0</v>
      </c>
      <c r="T866">
        <f t="shared" si="163"/>
        <v>0</v>
      </c>
      <c r="U866" t="str">
        <f t="shared" si="164"/>
        <v>Improved Enough</v>
      </c>
      <c r="V866" t="str">
        <f t="shared" si="165"/>
        <v>Close</v>
      </c>
      <c r="W866" t="str">
        <f t="shared" si="166"/>
        <v>Normal</v>
      </c>
      <c r="X866" t="str">
        <f t="shared" si="167"/>
        <v>Allowed</v>
      </c>
    </row>
    <row r="867" spans="1:24" x14ac:dyDescent="0.3">
      <c r="A867" t="s">
        <v>23</v>
      </c>
      <c r="B867" t="s">
        <v>31</v>
      </c>
      <c r="C867" t="s">
        <v>24</v>
      </c>
      <c r="D867" s="3">
        <v>45688</v>
      </c>
      <c r="E867" s="6">
        <v>0.94120000000000004</v>
      </c>
      <c r="F867">
        <v>0</v>
      </c>
      <c r="G867" t="s">
        <v>17</v>
      </c>
      <c r="H867" s="6">
        <v>0.85</v>
      </c>
      <c r="I867" s="8">
        <v>1.356881326728414E-2</v>
      </c>
      <c r="J867" s="5">
        <f t="shared" si="156"/>
        <v>4.5902054585511267E-3</v>
      </c>
      <c r="K867" s="5" cm="1">
        <f t="array" ref="K867">_xlfn.STDEV.S(IF($C:$C=C867,$I:$I))</f>
        <v>7.1528610508022367E-2</v>
      </c>
      <c r="L867" s="7">
        <f t="shared" si="159"/>
        <v>0.12552470605766916</v>
      </c>
      <c r="M867">
        <f t="shared" si="157"/>
        <v>0</v>
      </c>
      <c r="N867" s="9">
        <f t="shared" si="160"/>
        <v>-0.1072941176470589</v>
      </c>
      <c r="O867">
        <f>COUNTIFS($B$2:B867,B867,$C$2:C867,C867,$D$2:D867,"&lt;"&amp;D867,$F$2:F867,1)</f>
        <v>0</v>
      </c>
      <c r="P867">
        <f t="shared" si="158"/>
        <v>0</v>
      </c>
      <c r="Q867" t="str">
        <f t="shared" si="161"/>
        <v>Monitor</v>
      </c>
      <c r="R867">
        <v>0</v>
      </c>
      <c r="S867">
        <f t="shared" si="162"/>
        <v>0</v>
      </c>
      <c r="T867">
        <f t="shared" si="163"/>
        <v>0</v>
      </c>
      <c r="U867" t="str">
        <f t="shared" si="164"/>
        <v>Improved Enough</v>
      </c>
      <c r="V867" t="str">
        <f t="shared" si="165"/>
        <v>Close</v>
      </c>
      <c r="W867" t="str">
        <f t="shared" si="166"/>
        <v>Normal</v>
      </c>
      <c r="X867" t="str">
        <f t="shared" si="167"/>
        <v>Allowed</v>
      </c>
    </row>
    <row r="868" spans="1:24" x14ac:dyDescent="0.3">
      <c r="A868" t="s">
        <v>23</v>
      </c>
      <c r="B868" t="s">
        <v>31</v>
      </c>
      <c r="C868" t="s">
        <v>24</v>
      </c>
      <c r="D868" s="3">
        <v>45716</v>
      </c>
      <c r="E868" s="6">
        <v>1</v>
      </c>
      <c r="F868">
        <v>0</v>
      </c>
      <c r="G868" t="s">
        <v>17</v>
      </c>
      <c r="H868" s="6">
        <v>0.85</v>
      </c>
      <c r="I868" s="8">
        <v>6.2473438164045859E-2</v>
      </c>
      <c r="J868" s="5">
        <f t="shared" si="156"/>
        <v>4.5902054585511267E-3</v>
      </c>
      <c r="K868" s="5" cm="1">
        <f t="array" ref="K868">_xlfn.STDEV.S(IF($C:$C=C868,$I:$I))</f>
        <v>7.1528610508022367E-2</v>
      </c>
      <c r="L868" s="7">
        <f t="shared" si="159"/>
        <v>0.8092318904895095</v>
      </c>
      <c r="M868">
        <f t="shared" si="157"/>
        <v>-1</v>
      </c>
      <c r="N868" s="9">
        <f t="shared" si="160"/>
        <v>-0.17647058823529416</v>
      </c>
      <c r="O868">
        <f>COUNTIFS($B$2:B868,B868,$C$2:C868,C868,$D$2:D868,"&lt;"&amp;D868,$F$2:F868,1)</f>
        <v>0</v>
      </c>
      <c r="P868">
        <f t="shared" si="158"/>
        <v>0</v>
      </c>
      <c r="Q868" t="str">
        <f t="shared" si="161"/>
        <v>Monitor</v>
      </c>
      <c r="R868">
        <v>0</v>
      </c>
      <c r="S868">
        <f t="shared" si="162"/>
        <v>0</v>
      </c>
      <c r="T868">
        <f t="shared" si="163"/>
        <v>0</v>
      </c>
      <c r="U868" t="str">
        <f t="shared" si="164"/>
        <v>Improved Enough</v>
      </c>
      <c r="V868" t="str">
        <f t="shared" si="165"/>
        <v>Close</v>
      </c>
      <c r="W868" t="str">
        <f t="shared" si="166"/>
        <v>Normal</v>
      </c>
      <c r="X868" t="str">
        <f t="shared" si="167"/>
        <v>Allowed</v>
      </c>
    </row>
    <row r="869" spans="1:24" x14ac:dyDescent="0.3">
      <c r="A869" t="s">
        <v>23</v>
      </c>
      <c r="B869" t="s">
        <v>31</v>
      </c>
      <c r="C869" t="s">
        <v>24</v>
      </c>
      <c r="D869" s="3">
        <v>45747</v>
      </c>
      <c r="E869" s="6">
        <v>0.86360000000000003</v>
      </c>
      <c r="F869">
        <v>0</v>
      </c>
      <c r="G869" t="s">
        <v>17</v>
      </c>
      <c r="H869" s="6">
        <v>0.85</v>
      </c>
      <c r="I869" s="8">
        <v>-0.13639999999999999</v>
      </c>
      <c r="J869" s="5">
        <f t="shared" si="156"/>
        <v>4.5902054585511267E-3</v>
      </c>
      <c r="K869" s="5" cm="1">
        <f t="array" ref="K869">_xlfn.STDEV.S(IF($C:$C=C869,$I:$I))</f>
        <v>7.1528610508022367E-2</v>
      </c>
      <c r="L869" s="7">
        <f t="shared" si="159"/>
        <v>-1.9711022548486135</v>
      </c>
      <c r="M869">
        <f t="shared" si="157"/>
        <v>1</v>
      </c>
      <c r="N869" s="9">
        <f t="shared" si="160"/>
        <v>-1.6000000000000066E-2</v>
      </c>
      <c r="O869">
        <f>COUNTIFS($B$2:B869,B869,$C$2:C869,C869,$D$2:D869,"&lt;"&amp;D869,$F$2:F869,1)</f>
        <v>0</v>
      </c>
      <c r="P869">
        <f t="shared" si="158"/>
        <v>0</v>
      </c>
      <c r="Q869" t="str">
        <f t="shared" si="161"/>
        <v>Monitor</v>
      </c>
      <c r="R869">
        <v>0</v>
      </c>
      <c r="S869">
        <f t="shared" si="162"/>
        <v>0</v>
      </c>
      <c r="T869">
        <f t="shared" si="163"/>
        <v>0</v>
      </c>
      <c r="U869" t="str">
        <f t="shared" si="164"/>
        <v>Not Improved Enough</v>
      </c>
      <c r="V869" t="str">
        <f t="shared" si="165"/>
        <v>Close</v>
      </c>
      <c r="W869" t="str">
        <f t="shared" si="166"/>
        <v>Abnormal</v>
      </c>
      <c r="X869" t="str">
        <f t="shared" si="167"/>
        <v>Allowed</v>
      </c>
    </row>
    <row r="870" spans="1:24" x14ac:dyDescent="0.3">
      <c r="A870" t="s">
        <v>23</v>
      </c>
      <c r="B870" t="s">
        <v>31</v>
      </c>
      <c r="C870" t="s">
        <v>24</v>
      </c>
      <c r="D870" s="3">
        <v>45777</v>
      </c>
      <c r="E870" s="6">
        <v>0.94740000000000002</v>
      </c>
      <c r="F870">
        <v>0</v>
      </c>
      <c r="G870" t="s">
        <v>17</v>
      </c>
      <c r="H870" s="6">
        <v>0.85</v>
      </c>
      <c r="I870" s="8">
        <v>9.7035664659564591E-2</v>
      </c>
      <c r="J870" s="5">
        <f t="shared" si="156"/>
        <v>4.5902054585511267E-3</v>
      </c>
      <c r="K870" s="5" cm="1">
        <f t="array" ref="K870">_xlfn.STDEV.S(IF($C:$C=C870,$I:$I))</f>
        <v>7.1528610508022367E-2</v>
      </c>
      <c r="L870" s="7">
        <f t="shared" si="159"/>
        <v>1.2924263248570325</v>
      </c>
      <c r="M870">
        <f t="shared" si="157"/>
        <v>-1</v>
      </c>
      <c r="N870" s="9">
        <f t="shared" si="160"/>
        <v>-0.1145882352941177</v>
      </c>
      <c r="O870">
        <f>COUNTIFS($B$2:B870,B870,$C$2:C870,C870,$D$2:D870,"&lt;"&amp;D870,$F$2:F870,1)</f>
        <v>0</v>
      </c>
      <c r="P870">
        <f t="shared" si="158"/>
        <v>0</v>
      </c>
      <c r="Q870" t="str">
        <f t="shared" si="161"/>
        <v>Monitor</v>
      </c>
      <c r="R870">
        <v>0</v>
      </c>
      <c r="S870">
        <f t="shared" si="162"/>
        <v>0</v>
      </c>
      <c r="T870">
        <f t="shared" si="163"/>
        <v>0</v>
      </c>
      <c r="U870" t="str">
        <f t="shared" si="164"/>
        <v>Improved Enough</v>
      </c>
      <c r="V870" t="str">
        <f t="shared" si="165"/>
        <v>Close</v>
      </c>
      <c r="W870" t="str">
        <f t="shared" si="166"/>
        <v>Normal</v>
      </c>
      <c r="X870" t="str">
        <f t="shared" si="167"/>
        <v>Allowed</v>
      </c>
    </row>
    <row r="871" spans="1:24" x14ac:dyDescent="0.3">
      <c r="A871" t="s">
        <v>23</v>
      </c>
      <c r="B871" t="s">
        <v>31</v>
      </c>
      <c r="C871" t="s">
        <v>24</v>
      </c>
      <c r="D871" s="3">
        <v>45808</v>
      </c>
      <c r="E871" s="6">
        <v>0.88890000000000002</v>
      </c>
      <c r="F871">
        <v>0</v>
      </c>
      <c r="G871" t="s">
        <v>17</v>
      </c>
      <c r="H871" s="6">
        <v>0.85</v>
      </c>
      <c r="I871" s="8">
        <v>-6.1747941735275487E-2</v>
      </c>
      <c r="J871" s="5">
        <f t="shared" si="156"/>
        <v>4.5902054585511267E-3</v>
      </c>
      <c r="K871" s="5" cm="1">
        <f t="array" ref="K871">_xlfn.STDEV.S(IF($C:$C=C871,$I:$I))</f>
        <v>7.1528610508022367E-2</v>
      </c>
      <c r="L871" s="7">
        <f t="shared" si="159"/>
        <v>-0.92743514410064465</v>
      </c>
      <c r="M871">
        <f t="shared" si="157"/>
        <v>1</v>
      </c>
      <c r="N871" s="9">
        <f t="shared" si="160"/>
        <v>-4.5764705882352999E-2</v>
      </c>
      <c r="O871">
        <f>COUNTIFS($B$2:B871,B871,$C$2:C871,C871,$D$2:D871,"&lt;"&amp;D871,$F$2:F871,1)</f>
        <v>0</v>
      </c>
      <c r="P871">
        <f t="shared" si="158"/>
        <v>0</v>
      </c>
      <c r="Q871" t="str">
        <f t="shared" si="161"/>
        <v>Monitor</v>
      </c>
      <c r="R871">
        <v>0</v>
      </c>
      <c r="S871">
        <f t="shared" si="162"/>
        <v>0</v>
      </c>
      <c r="T871">
        <f t="shared" si="163"/>
        <v>0</v>
      </c>
      <c r="U871" t="str">
        <f t="shared" si="164"/>
        <v>Not Improved Enough</v>
      </c>
      <c r="V871" t="str">
        <f t="shared" si="165"/>
        <v>Close</v>
      </c>
      <c r="W871" t="str">
        <f t="shared" si="166"/>
        <v>Abnormal</v>
      </c>
      <c r="X871" t="str">
        <f t="shared" si="167"/>
        <v>Allowed</v>
      </c>
    </row>
    <row r="872" spans="1:24" x14ac:dyDescent="0.3">
      <c r="A872" t="s">
        <v>23</v>
      </c>
      <c r="B872" t="s">
        <v>31</v>
      </c>
      <c r="C872" t="s">
        <v>24</v>
      </c>
      <c r="D872" s="3">
        <v>45838</v>
      </c>
      <c r="E872" s="6">
        <v>0.77780000000000005</v>
      </c>
      <c r="F872">
        <v>0</v>
      </c>
      <c r="G872" t="s">
        <v>17</v>
      </c>
      <c r="H872" s="6">
        <v>0.85</v>
      </c>
      <c r="I872" s="8">
        <v>-0.12498593767577899</v>
      </c>
      <c r="J872" s="5">
        <f t="shared" si="156"/>
        <v>4.5902054585511267E-3</v>
      </c>
      <c r="K872" s="5" cm="1">
        <f t="array" ref="K872">_xlfn.STDEV.S(IF($C:$C=C872,$I:$I))</f>
        <v>7.1528610508022367E-2</v>
      </c>
      <c r="L872" s="7">
        <f t="shared" si="159"/>
        <v>-1.8115288723495804</v>
      </c>
      <c r="M872">
        <f t="shared" si="157"/>
        <v>1</v>
      </c>
      <c r="N872" s="9">
        <f t="shared" si="160"/>
        <v>8.4941176470588159E-2</v>
      </c>
      <c r="O872">
        <f>COUNTIFS($B$2:B872,B872,$C$2:C872,C872,$D$2:D872,"&lt;"&amp;D872,$F$2:F872,1)</f>
        <v>0</v>
      </c>
      <c r="P872">
        <f t="shared" si="158"/>
        <v>0</v>
      </c>
      <c r="Q872" t="str">
        <f t="shared" si="161"/>
        <v>Intervene</v>
      </c>
      <c r="R872">
        <v>0</v>
      </c>
      <c r="S872">
        <f t="shared" si="162"/>
        <v>1</v>
      </c>
      <c r="T872">
        <f t="shared" si="163"/>
        <v>1</v>
      </c>
      <c r="U872" t="str">
        <f t="shared" si="164"/>
        <v>Not Improved Enough</v>
      </c>
      <c r="V872" t="str">
        <f t="shared" si="165"/>
        <v>Far</v>
      </c>
      <c r="W872" t="str">
        <f t="shared" si="166"/>
        <v>Abnormal</v>
      </c>
      <c r="X872" t="str">
        <f t="shared" si="167"/>
        <v>Allowed</v>
      </c>
    </row>
    <row r="873" spans="1:24" x14ac:dyDescent="0.3">
      <c r="A873" t="s">
        <v>23</v>
      </c>
      <c r="B873" t="s">
        <v>31</v>
      </c>
      <c r="C873" t="s">
        <v>24</v>
      </c>
      <c r="D873" s="3">
        <v>45869</v>
      </c>
      <c r="E873" s="6">
        <v>0.89700000000000002</v>
      </c>
      <c r="F873">
        <v>0</v>
      </c>
      <c r="G873" t="s">
        <v>17</v>
      </c>
      <c r="H873" s="6">
        <v>0.85</v>
      </c>
      <c r="I873" s="8">
        <v>0.15325276420673689</v>
      </c>
      <c r="J873" s="5">
        <f t="shared" si="156"/>
        <v>4.5902054585511267E-3</v>
      </c>
      <c r="K873" s="5" cm="1">
        <f t="array" ref="K873">_xlfn.STDEV.S(IF($C:$C=C873,$I:$I))</f>
        <v>7.1528610508022367E-2</v>
      </c>
      <c r="L873" s="7">
        <f t="shared" si="159"/>
        <v>2.0783649744113561</v>
      </c>
      <c r="M873">
        <f t="shared" si="157"/>
        <v>-1</v>
      </c>
      <c r="N873" s="9">
        <f t="shared" si="160"/>
        <v>-5.5294117647058875E-2</v>
      </c>
      <c r="O873">
        <f>COUNTIFS($B$2:B873,B873,$C$2:C873,C873,$D$2:D873,"&lt;"&amp;D873,$F$2:F873,1)</f>
        <v>0</v>
      </c>
      <c r="P873">
        <f t="shared" si="158"/>
        <v>0</v>
      </c>
      <c r="Q873" t="str">
        <f t="shared" si="161"/>
        <v>Monitor</v>
      </c>
      <c r="R873">
        <v>0</v>
      </c>
      <c r="S873">
        <f t="shared" si="162"/>
        <v>0</v>
      </c>
      <c r="T873">
        <f t="shared" si="163"/>
        <v>0</v>
      </c>
      <c r="U873" t="str">
        <f t="shared" si="164"/>
        <v>Improved Enough</v>
      </c>
      <c r="V873" t="str">
        <f t="shared" si="165"/>
        <v>Close</v>
      </c>
      <c r="W873" t="str">
        <f t="shared" si="166"/>
        <v>Normal</v>
      </c>
      <c r="X873" t="str">
        <f t="shared" si="167"/>
        <v>Allowed</v>
      </c>
    </row>
    <row r="874" spans="1:24" x14ac:dyDescent="0.3">
      <c r="A874" t="s">
        <v>23</v>
      </c>
      <c r="B874" t="s">
        <v>31</v>
      </c>
      <c r="C874" t="s">
        <v>24</v>
      </c>
      <c r="D874" s="3">
        <v>45900</v>
      </c>
      <c r="E874" s="6">
        <v>1</v>
      </c>
      <c r="F874">
        <v>0</v>
      </c>
      <c r="G874" t="s">
        <v>17</v>
      </c>
      <c r="H874" s="6">
        <v>0.85</v>
      </c>
      <c r="I874" s="8">
        <v>0.11482720178372351</v>
      </c>
      <c r="J874" s="5">
        <f t="shared" si="156"/>
        <v>4.5902054585511267E-3</v>
      </c>
      <c r="K874" s="5" cm="1">
        <f t="array" ref="K874">_xlfn.STDEV.S(IF($C:$C=C874,$I:$I))</f>
        <v>7.1528610508022367E-2</v>
      </c>
      <c r="L874" s="7">
        <f t="shared" si="159"/>
        <v>1.541159482090158</v>
      </c>
      <c r="M874">
        <f t="shared" si="157"/>
        <v>-1</v>
      </c>
      <c r="N874" s="9">
        <f t="shared" si="160"/>
        <v>-0.17647058823529416</v>
      </c>
      <c r="O874">
        <f>COUNTIFS($B$2:B874,B874,$C$2:C874,C874,$D$2:D874,"&lt;"&amp;D874,$F$2:F874,1)</f>
        <v>0</v>
      </c>
      <c r="P874">
        <f t="shared" si="158"/>
        <v>0</v>
      </c>
      <c r="Q874" t="str">
        <f t="shared" si="161"/>
        <v>Monitor</v>
      </c>
      <c r="R874">
        <v>0</v>
      </c>
      <c r="S874">
        <f t="shared" si="162"/>
        <v>0</v>
      </c>
      <c r="T874">
        <f t="shared" si="163"/>
        <v>0</v>
      </c>
      <c r="U874" t="str">
        <f t="shared" si="164"/>
        <v>Improved Enough</v>
      </c>
      <c r="V874" t="str">
        <f t="shared" si="165"/>
        <v>Close</v>
      </c>
      <c r="W874" t="str">
        <f t="shared" si="166"/>
        <v>Normal</v>
      </c>
      <c r="X874" t="str">
        <f t="shared" si="167"/>
        <v>Allowed</v>
      </c>
    </row>
    <row r="875" spans="1:24" x14ac:dyDescent="0.3">
      <c r="A875" t="s">
        <v>23</v>
      </c>
      <c r="B875" t="s">
        <v>31</v>
      </c>
      <c r="C875" t="s">
        <v>24</v>
      </c>
      <c r="D875" s="3">
        <v>45930</v>
      </c>
      <c r="E875" s="6">
        <v>0.9</v>
      </c>
      <c r="F875">
        <v>0</v>
      </c>
      <c r="G875" t="s">
        <v>17</v>
      </c>
      <c r="H875" s="6">
        <v>0.85</v>
      </c>
      <c r="I875" s="8">
        <v>-9.9999999999999978E-2</v>
      </c>
      <c r="J875" s="5">
        <f t="shared" si="156"/>
        <v>4.5902054585511267E-3</v>
      </c>
      <c r="K875" s="5" cm="1">
        <f t="array" ref="K875">_xlfn.STDEV.S(IF($C:$C=C875,$I:$I))</f>
        <v>7.1528610508022367E-2</v>
      </c>
      <c r="L875" s="7">
        <f t="shared" si="159"/>
        <v>-1.4622149754582563</v>
      </c>
      <c r="M875">
        <f t="shared" si="157"/>
        <v>1</v>
      </c>
      <c r="N875" s="9">
        <f t="shared" si="160"/>
        <v>-5.8823529411764761E-2</v>
      </c>
      <c r="O875">
        <f>COUNTIFS($B$2:B875,B875,$C$2:C875,C875,$D$2:D875,"&lt;"&amp;D875,$F$2:F875,1)</f>
        <v>0</v>
      </c>
      <c r="P875">
        <f t="shared" si="158"/>
        <v>0</v>
      </c>
      <c r="Q875" t="str">
        <f t="shared" si="161"/>
        <v>Monitor</v>
      </c>
      <c r="R875">
        <v>0</v>
      </c>
      <c r="S875">
        <f t="shared" si="162"/>
        <v>0</v>
      </c>
      <c r="T875">
        <f t="shared" si="163"/>
        <v>0</v>
      </c>
      <c r="U875" t="str">
        <f t="shared" si="164"/>
        <v>Not Improved Enough</v>
      </c>
      <c r="V875" t="str">
        <f t="shared" si="165"/>
        <v>Close</v>
      </c>
      <c r="W875" t="str">
        <f t="shared" si="166"/>
        <v>Abnormal</v>
      </c>
      <c r="X875" t="str">
        <f t="shared" si="167"/>
        <v>Allowed</v>
      </c>
    </row>
    <row r="876" spans="1:24" x14ac:dyDescent="0.3">
      <c r="A876" t="s">
        <v>23</v>
      </c>
      <c r="B876" t="s">
        <v>31</v>
      </c>
      <c r="C876" t="s">
        <v>24</v>
      </c>
      <c r="D876" s="3">
        <v>45961</v>
      </c>
      <c r="E876" s="6">
        <v>0.95199999999999996</v>
      </c>
      <c r="F876">
        <v>0</v>
      </c>
      <c r="G876" t="s">
        <v>17</v>
      </c>
      <c r="H876" s="6">
        <v>0.85</v>
      </c>
      <c r="I876" s="8">
        <v>5.7777777777777713E-2</v>
      </c>
      <c r="J876" s="5">
        <f t="shared" si="156"/>
        <v>4.5902054585511267E-3</v>
      </c>
      <c r="K876" s="5" cm="1">
        <f t="array" ref="K876">_xlfn.STDEV.S(IF($C:$C=C876,$I:$I))</f>
        <v>7.1528610508022367E-2</v>
      </c>
      <c r="L876" s="7">
        <f t="shared" si="159"/>
        <v>0.74358458722277676</v>
      </c>
      <c r="M876">
        <f t="shared" si="157"/>
        <v>-1</v>
      </c>
      <c r="N876" s="9">
        <f t="shared" si="160"/>
        <v>-0.11999999999999998</v>
      </c>
      <c r="O876">
        <f>COUNTIFS($B$2:B876,B876,$C$2:C876,C876,$D$2:D876,"&lt;"&amp;D876,$F$2:F876,1)</f>
        <v>0</v>
      </c>
      <c r="P876">
        <f t="shared" si="158"/>
        <v>0</v>
      </c>
      <c r="Q876" t="str">
        <f t="shared" si="161"/>
        <v>Monitor</v>
      </c>
      <c r="R876">
        <v>0</v>
      </c>
      <c r="S876">
        <f t="shared" si="162"/>
        <v>0</v>
      </c>
      <c r="T876">
        <f t="shared" si="163"/>
        <v>0</v>
      </c>
      <c r="U876" t="str">
        <f t="shared" si="164"/>
        <v>Improved Enough</v>
      </c>
      <c r="V876" t="str">
        <f t="shared" si="165"/>
        <v>Close</v>
      </c>
      <c r="W876" t="str">
        <f t="shared" si="166"/>
        <v>Normal</v>
      </c>
      <c r="X876" t="str">
        <f t="shared" si="167"/>
        <v>Allowed</v>
      </c>
    </row>
    <row r="877" spans="1:24" x14ac:dyDescent="0.3">
      <c r="A877" t="s">
        <v>23</v>
      </c>
      <c r="B877" t="s">
        <v>31</v>
      </c>
      <c r="C877" t="s">
        <v>24</v>
      </c>
      <c r="D877" s="3">
        <v>45991</v>
      </c>
      <c r="E877" s="6">
        <v>1</v>
      </c>
      <c r="F877">
        <v>0</v>
      </c>
      <c r="G877" t="s">
        <v>17</v>
      </c>
      <c r="H877" s="6">
        <v>0.85</v>
      </c>
      <c r="I877" s="8">
        <v>5.0420168067226941E-2</v>
      </c>
      <c r="J877" s="5">
        <f t="shared" si="156"/>
        <v>4.5902054585511267E-3</v>
      </c>
      <c r="K877" s="5" cm="1">
        <f t="array" ref="K877">_xlfn.STDEV.S(IF($C:$C=C877,$I:$I))</f>
        <v>7.1528610508022367E-2</v>
      </c>
      <c r="L877" s="7">
        <f t="shared" si="159"/>
        <v>0.64072211501348408</v>
      </c>
      <c r="M877">
        <f t="shared" si="157"/>
        <v>-1</v>
      </c>
      <c r="N877" s="9">
        <f t="shared" si="160"/>
        <v>-0.17647058823529416</v>
      </c>
      <c r="O877">
        <f>COUNTIFS($B$2:B877,B877,$C$2:C877,C877,$D$2:D877,"&lt;"&amp;D877,$F$2:F877,1)</f>
        <v>0</v>
      </c>
      <c r="P877">
        <f t="shared" si="158"/>
        <v>0</v>
      </c>
      <c r="Q877" t="str">
        <f t="shared" si="161"/>
        <v>Monitor</v>
      </c>
      <c r="R877">
        <v>0</v>
      </c>
      <c r="S877">
        <f t="shared" si="162"/>
        <v>0</v>
      </c>
      <c r="T877">
        <f t="shared" si="163"/>
        <v>0</v>
      </c>
      <c r="U877" t="str">
        <f t="shared" si="164"/>
        <v>Improved Enough</v>
      </c>
      <c r="V877" t="str">
        <f t="shared" si="165"/>
        <v>Close</v>
      </c>
      <c r="W877" t="str">
        <f t="shared" si="166"/>
        <v>Normal</v>
      </c>
      <c r="X877" t="str">
        <f t="shared" si="167"/>
        <v>Allowed</v>
      </c>
    </row>
    <row r="878" spans="1:24" x14ac:dyDescent="0.3">
      <c r="A878" t="s">
        <v>23</v>
      </c>
      <c r="B878" t="s">
        <v>31</v>
      </c>
      <c r="C878" t="s">
        <v>25</v>
      </c>
      <c r="D878" s="3">
        <v>45565</v>
      </c>
      <c r="E878" s="6">
        <v>0.66669999999999996</v>
      </c>
      <c r="F878">
        <v>0</v>
      </c>
      <c r="G878" t="s">
        <v>17</v>
      </c>
      <c r="H878" s="6">
        <v>0.65</v>
      </c>
      <c r="I878" s="8">
        <v>-0.33329999999999999</v>
      </c>
      <c r="J878" s="5">
        <f t="shared" si="156"/>
        <v>1.2057533289701232E-2</v>
      </c>
      <c r="K878" s="5" cm="1">
        <f t="array" ref="K878">_xlfn.STDEV.S(IF($C:$C=C878,$I:$I))</f>
        <v>0.17981498891186962</v>
      </c>
      <c r="L878" s="7">
        <f t="shared" si="159"/>
        <v>-1.9206270588430578</v>
      </c>
      <c r="M878">
        <f t="shared" si="157"/>
        <v>1</v>
      </c>
      <c r="N878" s="9">
        <f t="shared" si="160"/>
        <v>-2.5692307692307594E-2</v>
      </c>
      <c r="O878">
        <f>COUNTIFS($B$2:B878,B878,$C$2:C878,C878,$D$2:D878,"&lt;"&amp;D878,$F$2:F878,1)</f>
        <v>0</v>
      </c>
      <c r="P878">
        <f t="shared" si="158"/>
        <v>0</v>
      </c>
      <c r="Q878" t="str">
        <f t="shared" si="161"/>
        <v>Monitor</v>
      </c>
      <c r="R878">
        <v>0</v>
      </c>
      <c r="S878">
        <f t="shared" si="162"/>
        <v>0</v>
      </c>
      <c r="T878">
        <f t="shared" si="163"/>
        <v>0</v>
      </c>
      <c r="U878" t="str">
        <f t="shared" si="164"/>
        <v>Not Improved Enough</v>
      </c>
      <c r="V878" t="str">
        <f t="shared" si="165"/>
        <v>Close</v>
      </c>
      <c r="W878" t="str">
        <f t="shared" si="166"/>
        <v>Abnormal</v>
      </c>
      <c r="X878" t="str">
        <f t="shared" si="167"/>
        <v>Allowed</v>
      </c>
    </row>
    <row r="879" spans="1:24" x14ac:dyDescent="0.3">
      <c r="A879" t="s">
        <v>23</v>
      </c>
      <c r="B879" t="s">
        <v>31</v>
      </c>
      <c r="C879" t="s">
        <v>25</v>
      </c>
      <c r="D879" s="3">
        <v>45596</v>
      </c>
      <c r="E879" s="6">
        <v>0.75</v>
      </c>
      <c r="F879">
        <v>0</v>
      </c>
      <c r="G879" t="s">
        <v>17</v>
      </c>
      <c r="H879" s="6">
        <v>0.65</v>
      </c>
      <c r="I879" s="8">
        <v>0.12494375281235939</v>
      </c>
      <c r="J879" s="5">
        <f t="shared" si="156"/>
        <v>1.2057533289701232E-2</v>
      </c>
      <c r="K879" s="5" cm="1">
        <f t="array" ref="K879">_xlfn.STDEV.S(IF($C:$C=C879,$I:$I))</f>
        <v>0.17981498891186962</v>
      </c>
      <c r="L879" s="7">
        <f t="shared" si="159"/>
        <v>0.62779093225640725</v>
      </c>
      <c r="M879">
        <f t="shared" si="157"/>
        <v>-1</v>
      </c>
      <c r="N879" s="9">
        <f t="shared" si="160"/>
        <v>-0.1538461538461538</v>
      </c>
      <c r="O879">
        <f>COUNTIFS($B$2:B879,B879,$C$2:C879,C879,$D$2:D879,"&lt;"&amp;D879,$F$2:F879,1)</f>
        <v>0</v>
      </c>
      <c r="P879">
        <f t="shared" si="158"/>
        <v>0</v>
      </c>
      <c r="Q879" t="str">
        <f t="shared" si="161"/>
        <v>Monitor</v>
      </c>
      <c r="R879">
        <v>0</v>
      </c>
      <c r="S879">
        <f t="shared" si="162"/>
        <v>0</v>
      </c>
      <c r="T879">
        <f t="shared" si="163"/>
        <v>0</v>
      </c>
      <c r="U879" t="str">
        <f t="shared" si="164"/>
        <v>Improved Enough</v>
      </c>
      <c r="V879" t="str">
        <f t="shared" si="165"/>
        <v>Close</v>
      </c>
      <c r="W879" t="str">
        <f t="shared" si="166"/>
        <v>Normal</v>
      </c>
      <c r="X879" t="str">
        <f t="shared" si="167"/>
        <v>Allowed</v>
      </c>
    </row>
    <row r="880" spans="1:24" x14ac:dyDescent="0.3">
      <c r="A880" t="s">
        <v>23</v>
      </c>
      <c r="B880" t="s">
        <v>31</v>
      </c>
      <c r="C880" t="s">
        <v>25</v>
      </c>
      <c r="D880" s="3">
        <v>45626</v>
      </c>
      <c r="E880" s="6">
        <v>0.6</v>
      </c>
      <c r="F880">
        <v>0</v>
      </c>
      <c r="G880" t="s">
        <v>17</v>
      </c>
      <c r="H880" s="6">
        <v>0.65</v>
      </c>
      <c r="I880" s="8">
        <v>-0.2</v>
      </c>
      <c r="J880" s="5">
        <f t="shared" si="156"/>
        <v>1.2057533289701232E-2</v>
      </c>
      <c r="K880" s="5" cm="1">
        <f t="array" ref="K880">_xlfn.STDEV.S(IF($C:$C=C880,$I:$I))</f>
        <v>0.17981498891186962</v>
      </c>
      <c r="L880" s="7">
        <f t="shared" si="159"/>
        <v>-1.1793095479578415</v>
      </c>
      <c r="M880">
        <f t="shared" si="157"/>
        <v>1</v>
      </c>
      <c r="N880" s="9">
        <f t="shared" si="160"/>
        <v>7.6923076923076983E-2</v>
      </c>
      <c r="O880">
        <f>COUNTIFS($B$2:B880,B880,$C$2:C880,C880,$D$2:D880,"&lt;"&amp;D880,$F$2:F880,1)</f>
        <v>0</v>
      </c>
      <c r="P880">
        <f t="shared" si="158"/>
        <v>0</v>
      </c>
      <c r="Q880" t="str">
        <f t="shared" si="161"/>
        <v>Intervene</v>
      </c>
      <c r="R880">
        <v>0</v>
      </c>
      <c r="S880">
        <f t="shared" si="162"/>
        <v>1</v>
      </c>
      <c r="T880">
        <f t="shared" si="163"/>
        <v>1</v>
      </c>
      <c r="U880" t="str">
        <f t="shared" si="164"/>
        <v>Not Improved Enough</v>
      </c>
      <c r="V880" t="str">
        <f t="shared" si="165"/>
        <v>Far</v>
      </c>
      <c r="W880" t="str">
        <f t="shared" si="166"/>
        <v>Abnormal</v>
      </c>
      <c r="X880" t="str">
        <f t="shared" si="167"/>
        <v>Allowed</v>
      </c>
    </row>
    <row r="881" spans="1:24" x14ac:dyDescent="0.3">
      <c r="A881" t="s">
        <v>23</v>
      </c>
      <c r="B881" t="s">
        <v>31</v>
      </c>
      <c r="C881" t="s">
        <v>25</v>
      </c>
      <c r="D881" s="3">
        <v>45657</v>
      </c>
      <c r="E881" s="6">
        <v>0.5</v>
      </c>
      <c r="F881">
        <v>0</v>
      </c>
      <c r="G881" t="s">
        <v>17</v>
      </c>
      <c r="H881" s="6">
        <v>0.65</v>
      </c>
      <c r="I881" s="8">
        <v>-0.1666666666666666</v>
      </c>
      <c r="J881" s="5">
        <f t="shared" si="156"/>
        <v>1.2057533289701232E-2</v>
      </c>
      <c r="K881" s="5" cm="1">
        <f t="array" ref="K881">_xlfn.STDEV.S(IF($C:$C=C881,$I:$I))</f>
        <v>0.17981498891186962</v>
      </c>
      <c r="L881" s="7">
        <f t="shared" si="159"/>
        <v>-0.99393382630612415</v>
      </c>
      <c r="M881">
        <f t="shared" si="157"/>
        <v>1</v>
      </c>
      <c r="N881" s="9">
        <f t="shared" si="160"/>
        <v>0.23076923076923078</v>
      </c>
      <c r="O881">
        <f>COUNTIFS($B$2:B881,B881,$C$2:C881,C881,$D$2:D881,"&lt;"&amp;D881,$F$2:F881,1)</f>
        <v>0</v>
      </c>
      <c r="P881">
        <f t="shared" si="158"/>
        <v>0</v>
      </c>
      <c r="Q881" t="str">
        <f t="shared" si="161"/>
        <v>Intervene</v>
      </c>
      <c r="R881">
        <v>0</v>
      </c>
      <c r="S881">
        <f t="shared" si="162"/>
        <v>1</v>
      </c>
      <c r="T881">
        <f t="shared" si="163"/>
        <v>1</v>
      </c>
      <c r="U881" t="str">
        <f t="shared" si="164"/>
        <v>Not Improved Enough</v>
      </c>
      <c r="V881" t="str">
        <f t="shared" si="165"/>
        <v>Far</v>
      </c>
      <c r="W881" t="str">
        <f t="shared" si="166"/>
        <v>Abnormal</v>
      </c>
      <c r="X881" t="str">
        <f t="shared" si="167"/>
        <v>Allowed</v>
      </c>
    </row>
    <row r="882" spans="1:24" x14ac:dyDescent="0.3">
      <c r="A882" t="s">
        <v>23</v>
      </c>
      <c r="B882" t="s">
        <v>31</v>
      </c>
      <c r="C882" t="s">
        <v>25</v>
      </c>
      <c r="D882" s="3">
        <v>45688</v>
      </c>
      <c r="E882" s="6">
        <v>0.42859999999999998</v>
      </c>
      <c r="F882">
        <v>0</v>
      </c>
      <c r="G882" t="s">
        <v>17</v>
      </c>
      <c r="H882" s="6">
        <v>0.65</v>
      </c>
      <c r="I882" s="8">
        <v>-0.14280000000000001</v>
      </c>
      <c r="J882" s="5">
        <f t="shared" si="156"/>
        <v>1.2057533289701232E-2</v>
      </c>
      <c r="K882" s="5" cm="1">
        <f t="array" ref="K882">_xlfn.STDEV.S(IF($C:$C=C882,$I:$I))</f>
        <v>0.17981498891186962</v>
      </c>
      <c r="L882" s="7">
        <f t="shared" si="159"/>
        <v>-0.8612048096034951</v>
      </c>
      <c r="M882">
        <f t="shared" si="157"/>
        <v>1</v>
      </c>
      <c r="N882" s="9">
        <f t="shared" si="160"/>
        <v>0.34061538461538465</v>
      </c>
      <c r="O882">
        <f>COUNTIFS($B$2:B882,B882,$C$2:C882,C882,$D$2:D882,"&lt;"&amp;D882,$F$2:F882,1)</f>
        <v>0</v>
      </c>
      <c r="P882">
        <f t="shared" si="158"/>
        <v>0</v>
      </c>
      <c r="Q882" t="str">
        <f t="shared" si="161"/>
        <v>Intervene</v>
      </c>
      <c r="R882">
        <v>0</v>
      </c>
      <c r="S882">
        <f t="shared" si="162"/>
        <v>1</v>
      </c>
      <c r="T882">
        <f t="shared" si="163"/>
        <v>1</v>
      </c>
      <c r="U882" t="str">
        <f t="shared" si="164"/>
        <v>Not Improved Enough</v>
      </c>
      <c r="V882" t="str">
        <f t="shared" si="165"/>
        <v>Far</v>
      </c>
      <c r="W882" t="str">
        <f t="shared" si="166"/>
        <v>Abnormal</v>
      </c>
      <c r="X882" t="str">
        <f t="shared" si="167"/>
        <v>Allowed</v>
      </c>
    </row>
    <row r="883" spans="1:24" x14ac:dyDescent="0.3">
      <c r="A883" t="s">
        <v>23</v>
      </c>
      <c r="B883" t="s">
        <v>31</v>
      </c>
      <c r="C883" t="s">
        <v>25</v>
      </c>
      <c r="D883" s="3">
        <v>45716</v>
      </c>
      <c r="E883" s="6">
        <v>0.66669999999999996</v>
      </c>
      <c r="F883">
        <v>0</v>
      </c>
      <c r="G883" t="s">
        <v>17</v>
      </c>
      <c r="H883" s="6">
        <v>0.65</v>
      </c>
      <c r="I883" s="8">
        <v>0.55552963135790945</v>
      </c>
      <c r="J883" s="5">
        <f t="shared" si="156"/>
        <v>1.2057533289701232E-2</v>
      </c>
      <c r="K883" s="5" cm="1">
        <f t="array" ref="K883">_xlfn.STDEV.S(IF($C:$C=C883,$I:$I))</f>
        <v>0.17981498891186962</v>
      </c>
      <c r="L883" s="7">
        <f t="shared" si="159"/>
        <v>3.0223959713090052</v>
      </c>
      <c r="M883">
        <f t="shared" si="157"/>
        <v>-1</v>
      </c>
      <c r="N883" s="9">
        <f t="shared" si="160"/>
        <v>-2.5692307692307594E-2</v>
      </c>
      <c r="O883">
        <f>COUNTIFS($B$2:B883,B883,$C$2:C883,C883,$D$2:D883,"&lt;"&amp;D883,$F$2:F883,1)</f>
        <v>0</v>
      </c>
      <c r="P883">
        <f t="shared" si="158"/>
        <v>0</v>
      </c>
      <c r="Q883" t="str">
        <f t="shared" si="161"/>
        <v>Monitor</v>
      </c>
      <c r="R883">
        <v>0</v>
      </c>
      <c r="S883">
        <f t="shared" si="162"/>
        <v>0</v>
      </c>
      <c r="T883">
        <f t="shared" si="163"/>
        <v>0</v>
      </c>
      <c r="U883" t="str">
        <f t="shared" si="164"/>
        <v>Improved Enough</v>
      </c>
      <c r="V883" t="str">
        <f t="shared" si="165"/>
        <v>Close</v>
      </c>
      <c r="W883" t="str">
        <f t="shared" si="166"/>
        <v>Normal</v>
      </c>
      <c r="X883" t="str">
        <f t="shared" si="167"/>
        <v>Allowed</v>
      </c>
    </row>
    <row r="884" spans="1:24" x14ac:dyDescent="0.3">
      <c r="A884" t="s">
        <v>23</v>
      </c>
      <c r="B884" t="s">
        <v>31</v>
      </c>
      <c r="C884" t="s">
        <v>25</v>
      </c>
      <c r="D884" s="3">
        <v>45747</v>
      </c>
      <c r="E884" s="6">
        <v>1</v>
      </c>
      <c r="F884">
        <v>0</v>
      </c>
      <c r="G884" t="s">
        <v>17</v>
      </c>
      <c r="H884" s="6">
        <v>0.65</v>
      </c>
      <c r="I884" s="8">
        <v>0.49992500374981258</v>
      </c>
      <c r="J884" s="5">
        <f t="shared" si="156"/>
        <v>1.2057533289701232E-2</v>
      </c>
      <c r="K884" s="5" cm="1">
        <f t="array" ref="K884">_xlfn.STDEV.S(IF($C:$C=C884,$I:$I))</f>
        <v>0.17981498891186962</v>
      </c>
      <c r="L884" s="7">
        <f t="shared" si="159"/>
        <v>2.713163532208227</v>
      </c>
      <c r="M884">
        <f t="shared" si="157"/>
        <v>-1</v>
      </c>
      <c r="N884" s="9">
        <f t="shared" si="160"/>
        <v>-0.53846153846153844</v>
      </c>
      <c r="O884">
        <f>COUNTIFS($B$2:B884,B884,$C$2:C884,C884,$D$2:D884,"&lt;"&amp;D884,$F$2:F884,1)</f>
        <v>0</v>
      </c>
      <c r="P884">
        <f t="shared" si="158"/>
        <v>0</v>
      </c>
      <c r="Q884" t="str">
        <f t="shared" si="161"/>
        <v>Monitor</v>
      </c>
      <c r="R884">
        <v>0</v>
      </c>
      <c r="S884">
        <f t="shared" si="162"/>
        <v>0</v>
      </c>
      <c r="T884">
        <f t="shared" si="163"/>
        <v>0</v>
      </c>
      <c r="U884" t="str">
        <f t="shared" si="164"/>
        <v>Improved Enough</v>
      </c>
      <c r="V884" t="str">
        <f t="shared" si="165"/>
        <v>Close</v>
      </c>
      <c r="W884" t="str">
        <f t="shared" si="166"/>
        <v>Normal</v>
      </c>
      <c r="X884" t="str">
        <f t="shared" si="167"/>
        <v>Allowed</v>
      </c>
    </row>
    <row r="885" spans="1:24" x14ac:dyDescent="0.3">
      <c r="A885" t="s">
        <v>23</v>
      </c>
      <c r="B885" t="s">
        <v>31</v>
      </c>
      <c r="C885" t="s">
        <v>25</v>
      </c>
      <c r="D885" s="3">
        <v>45777</v>
      </c>
      <c r="E885" s="6">
        <v>0.75</v>
      </c>
      <c r="F885">
        <v>0</v>
      </c>
      <c r="G885" t="s">
        <v>17</v>
      </c>
      <c r="H885" s="6">
        <v>0.65</v>
      </c>
      <c r="I885" s="8">
        <v>-0.25</v>
      </c>
      <c r="J885" s="5">
        <f t="shared" si="156"/>
        <v>1.2057533289701232E-2</v>
      </c>
      <c r="K885" s="5" cm="1">
        <f t="array" ref="K885">_xlfn.STDEV.S(IF($C:$C=C885,$I:$I))</f>
        <v>0.17981498891186962</v>
      </c>
      <c r="L885" s="7">
        <f t="shared" si="159"/>
        <v>-1.4573731304354169</v>
      </c>
      <c r="M885">
        <f t="shared" si="157"/>
        <v>1</v>
      </c>
      <c r="N885" s="9">
        <f t="shared" si="160"/>
        <v>-0.1538461538461538</v>
      </c>
      <c r="O885">
        <f>COUNTIFS($B$2:B885,B885,$C$2:C885,C885,$D$2:D885,"&lt;"&amp;D885,$F$2:F885,1)</f>
        <v>0</v>
      </c>
      <c r="P885">
        <f t="shared" si="158"/>
        <v>0</v>
      </c>
      <c r="Q885" t="str">
        <f t="shared" si="161"/>
        <v>Monitor</v>
      </c>
      <c r="R885">
        <v>0</v>
      </c>
      <c r="S885">
        <f t="shared" si="162"/>
        <v>0</v>
      </c>
      <c r="T885">
        <f t="shared" si="163"/>
        <v>0</v>
      </c>
      <c r="U885" t="str">
        <f t="shared" si="164"/>
        <v>Not Improved Enough</v>
      </c>
      <c r="V885" t="str">
        <f t="shared" si="165"/>
        <v>Close</v>
      </c>
      <c r="W885" t="str">
        <f t="shared" si="166"/>
        <v>Abnormal</v>
      </c>
      <c r="X885" t="str">
        <f t="shared" si="167"/>
        <v>Allowed</v>
      </c>
    </row>
    <row r="886" spans="1:24" x14ac:dyDescent="0.3">
      <c r="A886" t="s">
        <v>23</v>
      </c>
      <c r="B886" t="s">
        <v>31</v>
      </c>
      <c r="C886" t="s">
        <v>25</v>
      </c>
      <c r="D886" s="3">
        <v>45808</v>
      </c>
      <c r="E886" s="6">
        <v>0.4</v>
      </c>
      <c r="F886">
        <v>0</v>
      </c>
      <c r="G886" t="s">
        <v>17</v>
      </c>
      <c r="H886" s="6">
        <v>0.65</v>
      </c>
      <c r="I886" s="8">
        <v>-0.46666666666666662</v>
      </c>
      <c r="J886" s="5">
        <f t="shared" si="156"/>
        <v>1.2057533289701232E-2</v>
      </c>
      <c r="K886" s="5" cm="1">
        <f t="array" ref="K886">_xlfn.STDEV.S(IF($C:$C=C886,$I:$I))</f>
        <v>0.17981498891186962</v>
      </c>
      <c r="L886" s="7">
        <f t="shared" si="159"/>
        <v>-2.6623153211715778</v>
      </c>
      <c r="M886">
        <f t="shared" si="157"/>
        <v>1</v>
      </c>
      <c r="N886" s="9">
        <f t="shared" si="160"/>
        <v>0.38461538461538458</v>
      </c>
      <c r="O886">
        <f>COUNTIFS($B$2:B886,B886,$C$2:C886,C886,$D$2:D886,"&lt;"&amp;D886,$F$2:F886,1)</f>
        <v>0</v>
      </c>
      <c r="P886">
        <f t="shared" si="158"/>
        <v>0</v>
      </c>
      <c r="Q886" t="str">
        <f t="shared" si="161"/>
        <v>Intervene</v>
      </c>
      <c r="R886">
        <v>0</v>
      </c>
      <c r="S886">
        <f t="shared" si="162"/>
        <v>1</v>
      </c>
      <c r="T886">
        <f t="shared" si="163"/>
        <v>1</v>
      </c>
      <c r="U886" t="str">
        <f t="shared" si="164"/>
        <v>Not Improved Enough</v>
      </c>
      <c r="V886" t="str">
        <f t="shared" si="165"/>
        <v>Far</v>
      </c>
      <c r="W886" t="str">
        <f t="shared" si="166"/>
        <v>Abnormal</v>
      </c>
      <c r="X886" t="str">
        <f t="shared" si="167"/>
        <v>Allowed</v>
      </c>
    </row>
    <row r="887" spans="1:24" x14ac:dyDescent="0.3">
      <c r="A887" t="s">
        <v>23</v>
      </c>
      <c r="B887" t="s">
        <v>31</v>
      </c>
      <c r="C887" t="s">
        <v>25</v>
      </c>
      <c r="D887" s="3">
        <v>45838</v>
      </c>
      <c r="E887" s="6">
        <v>0.33329999999999999</v>
      </c>
      <c r="F887">
        <v>0</v>
      </c>
      <c r="G887" t="s">
        <v>17</v>
      </c>
      <c r="H887" s="6">
        <v>0.65</v>
      </c>
      <c r="I887" s="8">
        <v>-0.16675000000000009</v>
      </c>
      <c r="J887" s="5">
        <f t="shared" si="156"/>
        <v>1.2057533289701232E-2</v>
      </c>
      <c r="K887" s="5" cm="1">
        <f t="array" ref="K887">_xlfn.STDEV.S(IF($C:$C=C887,$I:$I))</f>
        <v>0.17981498891186962</v>
      </c>
      <c r="L887" s="7">
        <f t="shared" si="159"/>
        <v>-0.99439726561025432</v>
      </c>
      <c r="M887">
        <f t="shared" si="157"/>
        <v>1</v>
      </c>
      <c r="N887" s="9">
        <f t="shared" si="160"/>
        <v>0.48723076923076925</v>
      </c>
      <c r="O887">
        <f>COUNTIFS($B$2:B887,B887,$C$2:C887,C887,$D$2:D887,"&lt;"&amp;D887,$F$2:F887,1)</f>
        <v>0</v>
      </c>
      <c r="P887">
        <f t="shared" si="158"/>
        <v>0</v>
      </c>
      <c r="Q887" t="str">
        <f t="shared" si="161"/>
        <v>Intervene</v>
      </c>
      <c r="R887">
        <v>0</v>
      </c>
      <c r="S887">
        <f t="shared" si="162"/>
        <v>1</v>
      </c>
      <c r="T887">
        <f t="shared" si="163"/>
        <v>1</v>
      </c>
      <c r="U887" t="str">
        <f t="shared" si="164"/>
        <v>Not Improved Enough</v>
      </c>
      <c r="V887" t="str">
        <f t="shared" si="165"/>
        <v>Far</v>
      </c>
      <c r="W887" t="str">
        <f t="shared" si="166"/>
        <v>Abnormal</v>
      </c>
      <c r="X887" t="str">
        <f t="shared" si="167"/>
        <v>Allowed</v>
      </c>
    </row>
    <row r="888" spans="1:24" x14ac:dyDescent="0.3">
      <c r="A888" t="s">
        <v>23</v>
      </c>
      <c r="B888" t="s">
        <v>31</v>
      </c>
      <c r="C888" t="s">
        <v>25</v>
      </c>
      <c r="D888" s="3">
        <v>45900</v>
      </c>
      <c r="E888" s="6">
        <v>0.75</v>
      </c>
      <c r="F888">
        <v>0</v>
      </c>
      <c r="G888" t="s">
        <v>17</v>
      </c>
      <c r="H888" s="6">
        <v>0.65</v>
      </c>
      <c r="I888" s="8">
        <v>1.25022502250225</v>
      </c>
      <c r="J888" s="5">
        <f t="shared" si="156"/>
        <v>1.2057533289701232E-2</v>
      </c>
      <c r="K888" s="5" cm="1">
        <f t="array" ref="K888">_xlfn.STDEV.S(IF($C:$C=C888,$I:$I))</f>
        <v>0.17981498891186962</v>
      </c>
      <c r="L888" s="7">
        <f t="shared" si="159"/>
        <v>6.8857857551541244</v>
      </c>
      <c r="M888">
        <f t="shared" si="157"/>
        <v>-1</v>
      </c>
      <c r="N888" s="9">
        <f t="shared" si="160"/>
        <v>-0.1538461538461538</v>
      </c>
      <c r="O888">
        <f>COUNTIFS($B$2:B888,B888,$C$2:C888,C888,$D$2:D888,"&lt;"&amp;D888,$F$2:F888,1)</f>
        <v>0</v>
      </c>
      <c r="P888">
        <f t="shared" si="158"/>
        <v>0</v>
      </c>
      <c r="Q888" t="str">
        <f t="shared" si="161"/>
        <v>Monitor</v>
      </c>
      <c r="R888">
        <v>0</v>
      </c>
      <c r="S888">
        <f t="shared" si="162"/>
        <v>0</v>
      </c>
      <c r="T888">
        <f t="shared" si="163"/>
        <v>0</v>
      </c>
      <c r="U888" t="str">
        <f t="shared" si="164"/>
        <v>Improved Enough</v>
      </c>
      <c r="V888" t="str">
        <f t="shared" si="165"/>
        <v>Close</v>
      </c>
      <c r="W888" t="str">
        <f t="shared" si="166"/>
        <v>Normal</v>
      </c>
      <c r="X888" t="str">
        <f t="shared" si="167"/>
        <v>Allowed</v>
      </c>
    </row>
    <row r="889" spans="1:24" x14ac:dyDescent="0.3">
      <c r="A889" t="s">
        <v>23</v>
      </c>
      <c r="B889" t="s">
        <v>31</v>
      </c>
      <c r="C889" t="s">
        <v>25</v>
      </c>
      <c r="D889" s="3">
        <v>45961</v>
      </c>
      <c r="E889" s="6">
        <v>1</v>
      </c>
      <c r="F889">
        <v>0</v>
      </c>
      <c r="G889" t="s">
        <v>17</v>
      </c>
      <c r="H889" s="6">
        <v>0.65</v>
      </c>
      <c r="I889" s="8">
        <v>0.33333333333333331</v>
      </c>
      <c r="J889" s="5">
        <f t="shared" si="156"/>
        <v>1.2057533289701232E-2</v>
      </c>
      <c r="K889" s="5" cm="1">
        <f t="array" ref="K889">_xlfn.STDEV.S(IF($C:$C=C889,$I:$I))</f>
        <v>0.17981498891186962</v>
      </c>
      <c r="L889" s="7">
        <f t="shared" si="159"/>
        <v>1.7867019984696317</v>
      </c>
      <c r="M889">
        <f t="shared" si="157"/>
        <v>-1</v>
      </c>
      <c r="N889" s="9">
        <f t="shared" si="160"/>
        <v>-0.53846153846153844</v>
      </c>
      <c r="O889">
        <f>COUNTIFS($B$2:B889,B889,$C$2:C889,C889,$D$2:D889,"&lt;"&amp;D889,$F$2:F889,1)</f>
        <v>0</v>
      </c>
      <c r="P889">
        <f t="shared" si="158"/>
        <v>0</v>
      </c>
      <c r="Q889" t="str">
        <f t="shared" si="161"/>
        <v>Monitor</v>
      </c>
      <c r="R889">
        <v>0</v>
      </c>
      <c r="S889">
        <f t="shared" si="162"/>
        <v>0</v>
      </c>
      <c r="T889">
        <f t="shared" si="163"/>
        <v>0</v>
      </c>
      <c r="U889" t="str">
        <f t="shared" si="164"/>
        <v>Improved Enough</v>
      </c>
      <c r="V889" t="str">
        <f t="shared" si="165"/>
        <v>Close</v>
      </c>
      <c r="W889" t="str">
        <f t="shared" si="166"/>
        <v>Normal</v>
      </c>
      <c r="X889" t="str">
        <f t="shared" si="167"/>
        <v>Allowed</v>
      </c>
    </row>
    <row r="890" spans="1:24" x14ac:dyDescent="0.3">
      <c r="A890" t="s">
        <v>23</v>
      </c>
      <c r="B890" t="s">
        <v>31</v>
      </c>
      <c r="C890" t="s">
        <v>25</v>
      </c>
      <c r="D890" s="3">
        <v>45991</v>
      </c>
      <c r="E890" s="6">
        <v>0.66700000000000004</v>
      </c>
      <c r="F890">
        <v>0</v>
      </c>
      <c r="G890" t="s">
        <v>17</v>
      </c>
      <c r="H890" s="6">
        <v>0.65</v>
      </c>
      <c r="I890" s="8">
        <v>-0.33300000000000002</v>
      </c>
      <c r="J890" s="5">
        <f t="shared" si="156"/>
        <v>1.2057533289701232E-2</v>
      </c>
      <c r="K890" s="5" cm="1">
        <f t="array" ref="K890">_xlfn.STDEV.S(IF($C:$C=C890,$I:$I))</f>
        <v>0.17981498891186962</v>
      </c>
      <c r="L890" s="7">
        <f t="shared" si="159"/>
        <v>-1.9189586773481926</v>
      </c>
      <c r="M890">
        <f t="shared" si="157"/>
        <v>1</v>
      </c>
      <c r="N890" s="9">
        <f t="shared" si="160"/>
        <v>-2.6153846153846177E-2</v>
      </c>
      <c r="O890">
        <f>COUNTIFS($B$2:B890,B890,$C$2:C890,C890,$D$2:D890,"&lt;"&amp;D890,$F$2:F890,1)</f>
        <v>0</v>
      </c>
      <c r="P890">
        <f t="shared" si="158"/>
        <v>0</v>
      </c>
      <c r="Q890" t="str">
        <f t="shared" si="161"/>
        <v>Monitor</v>
      </c>
      <c r="R890">
        <v>0</v>
      </c>
      <c r="S890">
        <f t="shared" si="162"/>
        <v>0</v>
      </c>
      <c r="T890">
        <f t="shared" si="163"/>
        <v>0</v>
      </c>
      <c r="U890" t="str">
        <f t="shared" si="164"/>
        <v>Not Improved Enough</v>
      </c>
      <c r="V890" t="str">
        <f t="shared" si="165"/>
        <v>Close</v>
      </c>
      <c r="W890" t="str">
        <f t="shared" si="166"/>
        <v>Abnormal</v>
      </c>
      <c r="X890" t="str">
        <f t="shared" si="167"/>
        <v>Allowed</v>
      </c>
    </row>
    <row r="891" spans="1:24" x14ac:dyDescent="0.3">
      <c r="A891" t="s">
        <v>23</v>
      </c>
      <c r="B891" t="s">
        <v>31</v>
      </c>
      <c r="C891" t="s">
        <v>26</v>
      </c>
      <c r="D891" s="3">
        <v>45565</v>
      </c>
      <c r="E891" s="6">
        <v>1</v>
      </c>
      <c r="F891">
        <v>0</v>
      </c>
      <c r="G891" t="s">
        <v>17</v>
      </c>
      <c r="H891" s="6">
        <v>0.85</v>
      </c>
      <c r="I891" s="8">
        <v>0</v>
      </c>
      <c r="J891" s="5">
        <f t="shared" si="156"/>
        <v>1.8209321594669165E-2</v>
      </c>
      <c r="K891" s="5" cm="1">
        <f t="array" ref="K891">_xlfn.STDEV.S(IF($C:$C=C891,$I:$I))</f>
        <v>0.22834931756330515</v>
      </c>
      <c r="L891" s="7">
        <f t="shared" si="159"/>
        <v>-7.9743271357143444E-2</v>
      </c>
      <c r="M891">
        <f t="shared" si="157"/>
        <v>0</v>
      </c>
      <c r="N891" s="9">
        <f t="shared" si="160"/>
        <v>-0.17647058823529416</v>
      </c>
      <c r="O891">
        <f>COUNTIFS($B$2:B891,B891,$C$2:C891,C891,$D$2:D891,"&lt;"&amp;D891,$F$2:F891,1)</f>
        <v>0</v>
      </c>
      <c r="P891">
        <f t="shared" si="158"/>
        <v>0</v>
      </c>
      <c r="Q891" t="str">
        <f t="shared" si="161"/>
        <v>Monitor</v>
      </c>
      <c r="R891">
        <v>0</v>
      </c>
      <c r="S891">
        <f t="shared" si="162"/>
        <v>0</v>
      </c>
      <c r="T891">
        <f t="shared" si="163"/>
        <v>0</v>
      </c>
      <c r="U891" t="str">
        <f t="shared" si="164"/>
        <v>Not Improved Enough</v>
      </c>
      <c r="V891" t="str">
        <f t="shared" si="165"/>
        <v>Close</v>
      </c>
      <c r="W891" t="str">
        <f t="shared" si="166"/>
        <v>Normal</v>
      </c>
      <c r="X891" t="str">
        <f t="shared" si="167"/>
        <v>Allowed</v>
      </c>
    </row>
    <row r="892" spans="1:24" x14ac:dyDescent="0.3">
      <c r="A892" t="s">
        <v>23</v>
      </c>
      <c r="B892" t="s">
        <v>31</v>
      </c>
      <c r="C892" t="s">
        <v>26</v>
      </c>
      <c r="D892" s="3">
        <v>45596</v>
      </c>
      <c r="E892" s="6">
        <v>0.75</v>
      </c>
      <c r="F892">
        <v>0</v>
      </c>
      <c r="G892" t="s">
        <v>17</v>
      </c>
      <c r="H892" s="6">
        <v>0.85</v>
      </c>
      <c r="I892" s="8">
        <v>-0.25</v>
      </c>
      <c r="J892" s="5">
        <f t="shared" si="156"/>
        <v>1.8209321594669165E-2</v>
      </c>
      <c r="K892" s="5" cm="1">
        <f t="array" ref="K892">_xlfn.STDEV.S(IF($C:$C=C892,$I:$I))</f>
        <v>0.22834931756330515</v>
      </c>
      <c r="L892" s="7">
        <f t="shared" si="159"/>
        <v>-1.1745571410359641</v>
      </c>
      <c r="M892">
        <f t="shared" si="157"/>
        <v>1</v>
      </c>
      <c r="N892" s="9">
        <f t="shared" si="160"/>
        <v>0.11764705882352938</v>
      </c>
      <c r="O892">
        <f>COUNTIFS($B$2:B892,B892,$C$2:C892,C892,$D$2:D892,"&lt;"&amp;D892,$F$2:F892,1)</f>
        <v>0</v>
      </c>
      <c r="P892">
        <f t="shared" si="158"/>
        <v>0</v>
      </c>
      <c r="Q892" t="str">
        <f t="shared" si="161"/>
        <v>Intervene</v>
      </c>
      <c r="R892">
        <v>0</v>
      </c>
      <c r="S892">
        <f t="shared" si="162"/>
        <v>1</v>
      </c>
      <c r="T892">
        <f t="shared" si="163"/>
        <v>1</v>
      </c>
      <c r="U892" t="str">
        <f t="shared" si="164"/>
        <v>Not Improved Enough</v>
      </c>
      <c r="V892" t="str">
        <f t="shared" si="165"/>
        <v>Far</v>
      </c>
      <c r="W892" t="str">
        <f t="shared" si="166"/>
        <v>Abnormal</v>
      </c>
      <c r="X892" t="str">
        <f t="shared" si="167"/>
        <v>Allowed</v>
      </c>
    </row>
    <row r="893" spans="1:24" x14ac:dyDescent="0.3">
      <c r="A893" t="s">
        <v>23</v>
      </c>
      <c r="B893" t="s">
        <v>31</v>
      </c>
      <c r="C893" t="s">
        <v>26</v>
      </c>
      <c r="D893" s="3">
        <v>45626</v>
      </c>
      <c r="E893" s="6">
        <v>0.8</v>
      </c>
      <c r="F893">
        <v>0</v>
      </c>
      <c r="G893" t="s">
        <v>17</v>
      </c>
      <c r="H893" s="6">
        <v>0.85</v>
      </c>
      <c r="I893" s="8">
        <v>6.6666666666666721E-2</v>
      </c>
      <c r="J893" s="5">
        <f t="shared" si="156"/>
        <v>1.8209321594669165E-2</v>
      </c>
      <c r="K893" s="5" cm="1">
        <f t="array" ref="K893">_xlfn.STDEV.S(IF($C:$C=C893,$I:$I))</f>
        <v>0.22834931756330515</v>
      </c>
      <c r="L893" s="7">
        <f t="shared" si="159"/>
        <v>0.21220709389054232</v>
      </c>
      <c r="M893">
        <f t="shared" si="157"/>
        <v>0</v>
      </c>
      <c r="N893" s="9">
        <f t="shared" si="160"/>
        <v>5.8823529411764629E-2</v>
      </c>
      <c r="O893">
        <f>COUNTIFS($B$2:B893,B893,$C$2:C893,C893,$D$2:D893,"&lt;"&amp;D893,$F$2:F893,1)</f>
        <v>0</v>
      </c>
      <c r="P893">
        <f t="shared" si="158"/>
        <v>0</v>
      </c>
      <c r="Q893" t="str">
        <f t="shared" si="161"/>
        <v>Monitor</v>
      </c>
      <c r="R893">
        <v>0</v>
      </c>
      <c r="S893">
        <f t="shared" si="162"/>
        <v>0</v>
      </c>
      <c r="T893">
        <f t="shared" si="163"/>
        <v>0</v>
      </c>
      <c r="U893" t="str">
        <f t="shared" si="164"/>
        <v>Improved Enough</v>
      </c>
      <c r="V893" t="str">
        <f t="shared" si="165"/>
        <v>Far</v>
      </c>
      <c r="W893" t="str">
        <f t="shared" si="166"/>
        <v>Normal</v>
      </c>
      <c r="X893" t="str">
        <f t="shared" si="167"/>
        <v>Allowed</v>
      </c>
    </row>
    <row r="894" spans="1:24" x14ac:dyDescent="0.3">
      <c r="A894" t="s">
        <v>23</v>
      </c>
      <c r="B894" t="s">
        <v>31</v>
      </c>
      <c r="C894" t="s">
        <v>26</v>
      </c>
      <c r="D894" s="3">
        <v>45688</v>
      </c>
      <c r="E894" s="6">
        <v>1</v>
      </c>
      <c r="F894">
        <v>0</v>
      </c>
      <c r="G894" t="s">
        <v>17</v>
      </c>
      <c r="H894" s="6">
        <v>0.85</v>
      </c>
      <c r="I894" s="8">
        <v>0.24999999999999989</v>
      </c>
      <c r="J894" s="5">
        <f t="shared" si="156"/>
        <v>1.8209321594669165E-2</v>
      </c>
      <c r="K894" s="5" cm="1">
        <f t="array" ref="K894">_xlfn.STDEV.S(IF($C:$C=C894,$I:$I))</f>
        <v>0.22834931756330515</v>
      </c>
      <c r="L894" s="7">
        <f t="shared" si="159"/>
        <v>1.0150705983216768</v>
      </c>
      <c r="M894">
        <f t="shared" si="157"/>
        <v>-1</v>
      </c>
      <c r="N894" s="9">
        <f t="shared" si="160"/>
        <v>-0.17647058823529416</v>
      </c>
      <c r="O894">
        <f>COUNTIFS($B$2:B894,B894,$C$2:C894,C894,$D$2:D894,"&lt;"&amp;D894,$F$2:F894,1)</f>
        <v>0</v>
      </c>
      <c r="P894">
        <f t="shared" si="158"/>
        <v>0</v>
      </c>
      <c r="Q894" t="str">
        <f t="shared" si="161"/>
        <v>Monitor</v>
      </c>
      <c r="R894">
        <v>0</v>
      </c>
      <c r="S894">
        <f t="shared" si="162"/>
        <v>0</v>
      </c>
      <c r="T894">
        <f t="shared" si="163"/>
        <v>0</v>
      </c>
      <c r="U894" t="str">
        <f t="shared" si="164"/>
        <v>Improved Enough</v>
      </c>
      <c r="V894" t="str">
        <f t="shared" si="165"/>
        <v>Close</v>
      </c>
      <c r="W894" t="str">
        <f t="shared" si="166"/>
        <v>Normal</v>
      </c>
      <c r="X894" t="str">
        <f t="shared" si="167"/>
        <v>Allowed</v>
      </c>
    </row>
    <row r="895" spans="1:24" x14ac:dyDescent="0.3">
      <c r="A895" t="s">
        <v>23</v>
      </c>
      <c r="B895" t="s">
        <v>31</v>
      </c>
      <c r="C895" t="s">
        <v>26</v>
      </c>
      <c r="D895" s="3">
        <v>45716</v>
      </c>
      <c r="E895" s="6">
        <v>0.33329999999999999</v>
      </c>
      <c r="F895">
        <v>0</v>
      </c>
      <c r="G895" t="s">
        <v>17</v>
      </c>
      <c r="H895" s="6">
        <v>0.85</v>
      </c>
      <c r="I895" s="8">
        <v>-0.66670000000000007</v>
      </c>
      <c r="J895" s="5">
        <f t="shared" si="156"/>
        <v>1.8209321594669165E-2</v>
      </c>
      <c r="K895" s="5" cm="1">
        <f t="array" ref="K895">_xlfn.STDEV.S(IF($C:$C=C895,$I:$I))</f>
        <v>0.22834931756330515</v>
      </c>
      <c r="L895" s="7">
        <f t="shared" si="159"/>
        <v>-2.9993928990166228</v>
      </c>
      <c r="M895">
        <f t="shared" si="157"/>
        <v>1</v>
      </c>
      <c r="N895" s="9">
        <f t="shared" si="160"/>
        <v>0.60788235294117643</v>
      </c>
      <c r="O895">
        <f>COUNTIFS($B$2:B895,B895,$C$2:C895,C895,$D$2:D895,"&lt;"&amp;D895,$F$2:F895,1)</f>
        <v>0</v>
      </c>
      <c r="P895">
        <f t="shared" si="158"/>
        <v>0</v>
      </c>
      <c r="Q895" t="str">
        <f t="shared" si="161"/>
        <v>Intervene</v>
      </c>
      <c r="R895">
        <v>0</v>
      </c>
      <c r="S895">
        <f t="shared" si="162"/>
        <v>1</v>
      </c>
      <c r="T895">
        <f t="shared" si="163"/>
        <v>1</v>
      </c>
      <c r="U895" t="str">
        <f t="shared" si="164"/>
        <v>Not Improved Enough</v>
      </c>
      <c r="V895" t="str">
        <f t="shared" si="165"/>
        <v>Far</v>
      </c>
      <c r="W895" t="str">
        <f t="shared" si="166"/>
        <v>Abnormal</v>
      </c>
      <c r="X895" t="str">
        <f t="shared" si="167"/>
        <v>Allowed</v>
      </c>
    </row>
    <row r="896" spans="1:24" x14ac:dyDescent="0.3">
      <c r="A896" t="s">
        <v>23</v>
      </c>
      <c r="B896" t="s">
        <v>31</v>
      </c>
      <c r="C896" t="s">
        <v>26</v>
      </c>
      <c r="D896" s="3">
        <v>45747</v>
      </c>
      <c r="E896" s="6">
        <v>1</v>
      </c>
      <c r="F896">
        <v>0</v>
      </c>
      <c r="G896" t="s">
        <v>17</v>
      </c>
      <c r="H896" s="6">
        <v>0.85</v>
      </c>
      <c r="I896" s="8">
        <v>2.0003000300030012</v>
      </c>
      <c r="J896" s="5">
        <f t="shared" si="156"/>
        <v>1.8209321594669165E-2</v>
      </c>
      <c r="K896" s="5" cm="1">
        <f t="array" ref="K896">_xlfn.STDEV.S(IF($C:$C=C896,$I:$I))</f>
        <v>0.22834931756330515</v>
      </c>
      <c r="L896" s="7">
        <f t="shared" si="159"/>
        <v>8.6800815941078433</v>
      </c>
      <c r="M896">
        <f t="shared" si="157"/>
        <v>-1</v>
      </c>
      <c r="N896" s="9">
        <f t="shared" si="160"/>
        <v>-0.17647058823529416</v>
      </c>
      <c r="O896">
        <f>COUNTIFS($B$2:B896,B896,$C$2:C896,C896,$D$2:D896,"&lt;"&amp;D896,$F$2:F896,1)</f>
        <v>0</v>
      </c>
      <c r="P896">
        <f t="shared" si="158"/>
        <v>0</v>
      </c>
      <c r="Q896" t="str">
        <f t="shared" si="161"/>
        <v>Monitor</v>
      </c>
      <c r="R896">
        <v>0</v>
      </c>
      <c r="S896">
        <f t="shared" si="162"/>
        <v>0</v>
      </c>
      <c r="T896">
        <f t="shared" si="163"/>
        <v>0</v>
      </c>
      <c r="U896" t="str">
        <f t="shared" si="164"/>
        <v>Improved Enough</v>
      </c>
      <c r="V896" t="str">
        <f t="shared" si="165"/>
        <v>Close</v>
      </c>
      <c r="W896" t="str">
        <f t="shared" si="166"/>
        <v>Normal</v>
      </c>
      <c r="X896" t="str">
        <f t="shared" si="167"/>
        <v>Allowed</v>
      </c>
    </row>
    <row r="897" spans="1:24" x14ac:dyDescent="0.3">
      <c r="A897" t="s">
        <v>23</v>
      </c>
      <c r="B897" t="s">
        <v>31</v>
      </c>
      <c r="C897" t="s">
        <v>26</v>
      </c>
      <c r="D897" s="3">
        <v>45777</v>
      </c>
      <c r="E897" s="6">
        <v>0.71430000000000005</v>
      </c>
      <c r="F897">
        <v>0</v>
      </c>
      <c r="G897" t="s">
        <v>17</v>
      </c>
      <c r="H897" s="6">
        <v>0.85</v>
      </c>
      <c r="I897" s="8">
        <v>-0.28570000000000001</v>
      </c>
      <c r="J897" s="5">
        <f t="shared" si="156"/>
        <v>1.8209321594669165E-2</v>
      </c>
      <c r="K897" s="5" cm="1">
        <f t="array" ref="K897">_xlfn.STDEV.S(IF($C:$C=C897,$I:$I))</f>
        <v>0.22834931756330515</v>
      </c>
      <c r="L897" s="7">
        <f t="shared" si="159"/>
        <v>-1.3308965616260997</v>
      </c>
      <c r="M897">
        <f t="shared" si="157"/>
        <v>1</v>
      </c>
      <c r="N897" s="9">
        <f t="shared" si="160"/>
        <v>0.15964705882352934</v>
      </c>
      <c r="O897">
        <f>COUNTIFS($B$2:B897,B897,$C$2:C897,C897,$D$2:D897,"&lt;"&amp;D897,$F$2:F897,1)</f>
        <v>0</v>
      </c>
      <c r="P897">
        <f t="shared" si="158"/>
        <v>0</v>
      </c>
      <c r="Q897" t="str">
        <f t="shared" si="161"/>
        <v>Intervene</v>
      </c>
      <c r="R897">
        <v>0</v>
      </c>
      <c r="S897">
        <f t="shared" si="162"/>
        <v>1</v>
      </c>
      <c r="T897">
        <f t="shared" si="163"/>
        <v>1</v>
      </c>
      <c r="U897" t="str">
        <f t="shared" si="164"/>
        <v>Not Improved Enough</v>
      </c>
      <c r="V897" t="str">
        <f t="shared" si="165"/>
        <v>Far</v>
      </c>
      <c r="W897" t="str">
        <f t="shared" si="166"/>
        <v>Abnormal</v>
      </c>
      <c r="X897" t="str">
        <f t="shared" si="167"/>
        <v>Allowed</v>
      </c>
    </row>
    <row r="898" spans="1:24" x14ac:dyDescent="0.3">
      <c r="A898" t="s">
        <v>23</v>
      </c>
      <c r="B898" t="s">
        <v>31</v>
      </c>
      <c r="C898" t="s">
        <v>26</v>
      </c>
      <c r="D898" s="3">
        <v>45808</v>
      </c>
      <c r="E898" s="6">
        <v>0.6</v>
      </c>
      <c r="F898">
        <v>0</v>
      </c>
      <c r="G898" t="s">
        <v>17</v>
      </c>
      <c r="H898" s="6">
        <v>0.85</v>
      </c>
      <c r="I898" s="8">
        <v>-0.16001679966400681</v>
      </c>
      <c r="J898" s="5">
        <f t="shared" ref="J898:J961" si="168">AVERAGEIF($C:$C,C898,$I:$I)</f>
        <v>1.8209321594669165E-2</v>
      </c>
      <c r="K898" s="5" cm="1">
        <f t="array" ref="K898">_xlfn.STDEV.S(IF($C:$C=C898,$I:$I))</f>
        <v>0.22834931756330515</v>
      </c>
      <c r="L898" s="7">
        <f t="shared" si="159"/>
        <v>-0.78049771797223111</v>
      </c>
      <c r="M898">
        <f t="shared" ref="M898:M961" si="169">IF(L898&lt;=-$Z$4,1,IF(L898&gt;=$Z$4,-1,0))</f>
        <v>1</v>
      </c>
      <c r="N898" s="9">
        <f t="shared" si="160"/>
        <v>0.29411764705882354</v>
      </c>
      <c r="O898">
        <f>COUNTIFS($B$2:B898,B898,$C$2:C898,C898,$D$2:D898,"&lt;"&amp;D898,$F$2:F898,1)</f>
        <v>0</v>
      </c>
      <c r="P898">
        <f t="shared" ref="P898:P961" si="170">IF(AND(R898=1,I898&gt;0),1,IF(R898=1,-1,0))</f>
        <v>0</v>
      </c>
      <c r="Q898" t="str">
        <f t="shared" si="161"/>
        <v>Intervene</v>
      </c>
      <c r="R898">
        <v>0</v>
      </c>
      <c r="S898">
        <f t="shared" si="162"/>
        <v>1</v>
      </c>
      <c r="T898">
        <f t="shared" si="163"/>
        <v>1</v>
      </c>
      <c r="U898" t="str">
        <f t="shared" si="164"/>
        <v>Not Improved Enough</v>
      </c>
      <c r="V898" t="str">
        <f t="shared" si="165"/>
        <v>Far</v>
      </c>
      <c r="W898" t="str">
        <f t="shared" si="166"/>
        <v>Abnormal</v>
      </c>
      <c r="X898" t="str">
        <f t="shared" si="167"/>
        <v>Allowed</v>
      </c>
    </row>
    <row r="899" spans="1:24" x14ac:dyDescent="0.3">
      <c r="A899" t="s">
        <v>23</v>
      </c>
      <c r="B899" t="s">
        <v>31</v>
      </c>
      <c r="C899" t="s">
        <v>26</v>
      </c>
      <c r="D899" s="3">
        <v>45838</v>
      </c>
      <c r="E899" s="6">
        <v>1</v>
      </c>
      <c r="F899">
        <v>0</v>
      </c>
      <c r="G899" t="s">
        <v>17</v>
      </c>
      <c r="H899" s="6">
        <v>0.85</v>
      </c>
      <c r="I899" s="8">
        <v>0.66666666666666674</v>
      </c>
      <c r="J899" s="5">
        <f t="shared" si="168"/>
        <v>1.8209321594669165E-2</v>
      </c>
      <c r="K899" s="5" cm="1">
        <f t="array" ref="K899">_xlfn.STDEV.S(IF($C:$C=C899,$I:$I))</f>
        <v>0.22834931756330515</v>
      </c>
      <c r="L899" s="7">
        <f t="shared" ref="L899:L962" si="171">IFERROR((I899-J899)/K899,0)</f>
        <v>2.8397603811197123</v>
      </c>
      <c r="M899">
        <f t="shared" si="169"/>
        <v>-1</v>
      </c>
      <c r="N899" s="9">
        <f t="shared" ref="N899:N962" si="172">IFERROR(IF(G899="DOWN",(E899-H899)/H899,(H899-E899)/H899),0)</f>
        <v>-0.17647058823529416</v>
      </c>
      <c r="O899">
        <f>COUNTIFS($B$2:B899,B899,$C$2:C899,C899,$D$2:D899,"&lt;"&amp;D899,$F$2:F899,1)</f>
        <v>0</v>
      </c>
      <c r="P899">
        <f t="shared" si="170"/>
        <v>0</v>
      </c>
      <c r="Q899" t="str">
        <f t="shared" ref="Q899:Q962" si="173">IF(I899&gt;=$Z$1,"Monitor",IF(AND(N899&gt;=$Z$2,L899&lt;=-$Z$4),IF(O899&lt;$Z$3,"Intervene","Escalate / Bigger Fix"),"Monitor"))</f>
        <v>Monitor</v>
      </c>
      <c r="R899">
        <v>0</v>
      </c>
      <c r="S899">
        <f t="shared" ref="S899:S962" si="174">IF(Q899="Intervene",1,IF(Q899="Escalate / Bigger Fix",-1,0))</f>
        <v>0</v>
      </c>
      <c r="T899">
        <f t="shared" ref="T899:T962" si="175">IF(Q899="Intervene",1,0)</f>
        <v>0</v>
      </c>
      <c r="U899" t="str">
        <f t="shared" ref="U899:U962" si="176">IF(I899&gt;=$Z$1,"Improved Enough","Not Improved Enough")</f>
        <v>Improved Enough</v>
      </c>
      <c r="V899" t="str">
        <f t="shared" ref="V899:V962" si="177">IF(N899&gt;=$Z$2,"Far","Close")</f>
        <v>Close</v>
      </c>
      <c r="W899" t="str">
        <f t="shared" ref="W899:W962" si="178">IF(L899&lt;=-$Z$4,"Abnormal","Normal")</f>
        <v>Normal</v>
      </c>
      <c r="X899" t="str">
        <f t="shared" ref="X899:X962" si="179">IF(O899&lt;$Z$3,"Allowed","Maxed Out")</f>
        <v>Allowed</v>
      </c>
    </row>
    <row r="900" spans="1:24" x14ac:dyDescent="0.3">
      <c r="A900" t="s">
        <v>23</v>
      </c>
      <c r="B900" t="s">
        <v>31</v>
      </c>
      <c r="C900" t="s">
        <v>26</v>
      </c>
      <c r="D900" s="3">
        <v>45869</v>
      </c>
      <c r="E900" s="6">
        <v>0.75</v>
      </c>
      <c r="F900">
        <v>0</v>
      </c>
      <c r="G900" t="s">
        <v>17</v>
      </c>
      <c r="H900" s="6">
        <v>0.85</v>
      </c>
      <c r="I900" s="8">
        <v>-0.25</v>
      </c>
      <c r="J900" s="5">
        <f t="shared" si="168"/>
        <v>1.8209321594669165E-2</v>
      </c>
      <c r="K900" s="5" cm="1">
        <f t="array" ref="K900">_xlfn.STDEV.S(IF($C:$C=C900,$I:$I))</f>
        <v>0.22834931756330515</v>
      </c>
      <c r="L900" s="7">
        <f t="shared" si="171"/>
        <v>-1.1745571410359641</v>
      </c>
      <c r="M900">
        <f t="shared" si="169"/>
        <v>1</v>
      </c>
      <c r="N900" s="9">
        <f t="shared" si="172"/>
        <v>0.11764705882352938</v>
      </c>
      <c r="O900">
        <f>COUNTIFS($B$2:B900,B900,$C$2:C900,C900,$D$2:D900,"&lt;"&amp;D900,$F$2:F900,1)</f>
        <v>0</v>
      </c>
      <c r="P900">
        <f t="shared" si="170"/>
        <v>0</v>
      </c>
      <c r="Q900" t="str">
        <f t="shared" si="173"/>
        <v>Intervene</v>
      </c>
      <c r="R900">
        <v>0</v>
      </c>
      <c r="S900">
        <f t="shared" si="174"/>
        <v>1</v>
      </c>
      <c r="T900">
        <f t="shared" si="175"/>
        <v>1</v>
      </c>
      <c r="U900" t="str">
        <f t="shared" si="176"/>
        <v>Not Improved Enough</v>
      </c>
      <c r="V900" t="str">
        <f t="shared" si="177"/>
        <v>Far</v>
      </c>
      <c r="W900" t="str">
        <f t="shared" si="178"/>
        <v>Abnormal</v>
      </c>
      <c r="X900" t="str">
        <f t="shared" si="179"/>
        <v>Allowed</v>
      </c>
    </row>
    <row r="901" spans="1:24" x14ac:dyDescent="0.3">
      <c r="A901" t="s">
        <v>23</v>
      </c>
      <c r="B901" t="s">
        <v>31</v>
      </c>
      <c r="C901" t="s">
        <v>26</v>
      </c>
      <c r="D901" s="3">
        <v>45900</v>
      </c>
      <c r="E901" s="6">
        <v>0.75</v>
      </c>
      <c r="F901">
        <v>0</v>
      </c>
      <c r="G901" t="s">
        <v>17</v>
      </c>
      <c r="H901" s="6">
        <v>0.85</v>
      </c>
      <c r="I901" s="8">
        <v>0</v>
      </c>
      <c r="J901" s="5">
        <f t="shared" si="168"/>
        <v>1.8209321594669165E-2</v>
      </c>
      <c r="K901" s="5" cm="1">
        <f t="array" ref="K901">_xlfn.STDEV.S(IF($C:$C=C901,$I:$I))</f>
        <v>0.22834931756330515</v>
      </c>
      <c r="L901" s="7">
        <f t="shared" si="171"/>
        <v>-7.9743271357143444E-2</v>
      </c>
      <c r="M901">
        <f t="shared" si="169"/>
        <v>0</v>
      </c>
      <c r="N901" s="9">
        <f t="shared" si="172"/>
        <v>0.11764705882352938</v>
      </c>
      <c r="O901">
        <f>COUNTIFS($B$2:B901,B901,$C$2:C901,C901,$D$2:D901,"&lt;"&amp;D901,$F$2:F901,1)</f>
        <v>0</v>
      </c>
      <c r="P901">
        <f t="shared" si="170"/>
        <v>0</v>
      </c>
      <c r="Q901" t="str">
        <f t="shared" si="173"/>
        <v>Monitor</v>
      </c>
      <c r="R901">
        <v>0</v>
      </c>
      <c r="S901">
        <f t="shared" si="174"/>
        <v>0</v>
      </c>
      <c r="T901">
        <f t="shared" si="175"/>
        <v>0</v>
      </c>
      <c r="U901" t="str">
        <f t="shared" si="176"/>
        <v>Not Improved Enough</v>
      </c>
      <c r="V901" t="str">
        <f t="shared" si="177"/>
        <v>Far</v>
      </c>
      <c r="W901" t="str">
        <f t="shared" si="178"/>
        <v>Normal</v>
      </c>
      <c r="X901" t="str">
        <f t="shared" si="179"/>
        <v>Allowed</v>
      </c>
    </row>
    <row r="902" spans="1:24" x14ac:dyDescent="0.3">
      <c r="A902" t="s">
        <v>23</v>
      </c>
      <c r="B902" t="s">
        <v>31</v>
      </c>
      <c r="C902" t="s">
        <v>26</v>
      </c>
      <c r="D902" s="3">
        <v>45961</v>
      </c>
      <c r="E902" s="6">
        <v>1</v>
      </c>
      <c r="F902">
        <v>0</v>
      </c>
      <c r="G902" t="s">
        <v>17</v>
      </c>
      <c r="H902" s="6">
        <v>0.85</v>
      </c>
      <c r="I902" s="8">
        <v>0.33333333333333331</v>
      </c>
      <c r="J902" s="5">
        <f t="shared" si="168"/>
        <v>1.8209321594669165E-2</v>
      </c>
      <c r="K902" s="5" cm="1">
        <f t="array" ref="K902">_xlfn.STDEV.S(IF($C:$C=C902,$I:$I))</f>
        <v>0.22834931756330515</v>
      </c>
      <c r="L902" s="7">
        <f t="shared" si="171"/>
        <v>1.3800085548812842</v>
      </c>
      <c r="M902">
        <f t="shared" si="169"/>
        <v>-1</v>
      </c>
      <c r="N902" s="9">
        <f t="shared" si="172"/>
        <v>-0.17647058823529416</v>
      </c>
      <c r="O902">
        <f>COUNTIFS($B$2:B902,B902,$C$2:C902,C902,$D$2:D902,"&lt;"&amp;D902,$F$2:F902,1)</f>
        <v>0</v>
      </c>
      <c r="P902">
        <f t="shared" si="170"/>
        <v>0</v>
      </c>
      <c r="Q902" t="str">
        <f t="shared" si="173"/>
        <v>Monitor</v>
      </c>
      <c r="R902">
        <v>0</v>
      </c>
      <c r="S902">
        <f t="shared" si="174"/>
        <v>0</v>
      </c>
      <c r="T902">
        <f t="shared" si="175"/>
        <v>0</v>
      </c>
      <c r="U902" t="str">
        <f t="shared" si="176"/>
        <v>Improved Enough</v>
      </c>
      <c r="V902" t="str">
        <f t="shared" si="177"/>
        <v>Close</v>
      </c>
      <c r="W902" t="str">
        <f t="shared" si="178"/>
        <v>Normal</v>
      </c>
      <c r="X902" t="str">
        <f t="shared" si="179"/>
        <v>Allowed</v>
      </c>
    </row>
    <row r="903" spans="1:24" x14ac:dyDescent="0.3">
      <c r="A903" t="s">
        <v>23</v>
      </c>
      <c r="B903" t="s">
        <v>31</v>
      </c>
      <c r="C903" t="s">
        <v>26</v>
      </c>
      <c r="D903" s="3">
        <v>45991</v>
      </c>
      <c r="E903" s="6">
        <v>1</v>
      </c>
      <c r="F903">
        <v>0</v>
      </c>
      <c r="G903" t="s">
        <v>17</v>
      </c>
      <c r="H903" s="6">
        <v>0.85</v>
      </c>
      <c r="I903" s="8">
        <v>0</v>
      </c>
      <c r="J903" s="5">
        <f t="shared" si="168"/>
        <v>1.8209321594669165E-2</v>
      </c>
      <c r="K903" s="5" cm="1">
        <f t="array" ref="K903">_xlfn.STDEV.S(IF($C:$C=C903,$I:$I))</f>
        <v>0.22834931756330515</v>
      </c>
      <c r="L903" s="7">
        <f t="shared" si="171"/>
        <v>-7.9743271357143444E-2</v>
      </c>
      <c r="M903">
        <f t="shared" si="169"/>
        <v>0</v>
      </c>
      <c r="N903" s="9">
        <f t="shared" si="172"/>
        <v>-0.17647058823529416</v>
      </c>
      <c r="O903">
        <f>COUNTIFS($B$2:B903,B903,$C$2:C903,C903,$D$2:D903,"&lt;"&amp;D903,$F$2:F903,1)</f>
        <v>0</v>
      </c>
      <c r="P903">
        <f t="shared" si="170"/>
        <v>0</v>
      </c>
      <c r="Q903" t="str">
        <f t="shared" si="173"/>
        <v>Monitor</v>
      </c>
      <c r="R903">
        <v>0</v>
      </c>
      <c r="S903">
        <f t="shared" si="174"/>
        <v>0</v>
      </c>
      <c r="T903">
        <f t="shared" si="175"/>
        <v>0</v>
      </c>
      <c r="U903" t="str">
        <f t="shared" si="176"/>
        <v>Not Improved Enough</v>
      </c>
      <c r="V903" t="str">
        <f t="shared" si="177"/>
        <v>Close</v>
      </c>
      <c r="W903" t="str">
        <f t="shared" si="178"/>
        <v>Normal</v>
      </c>
      <c r="X903" t="str">
        <f t="shared" si="179"/>
        <v>Allowed</v>
      </c>
    </row>
    <row r="904" spans="1:24" x14ac:dyDescent="0.3">
      <c r="A904" t="s">
        <v>23</v>
      </c>
      <c r="B904" t="s">
        <v>31</v>
      </c>
      <c r="C904" t="s">
        <v>27</v>
      </c>
      <c r="D904" s="3">
        <v>45565</v>
      </c>
      <c r="E904" s="6">
        <v>1</v>
      </c>
      <c r="F904">
        <v>0</v>
      </c>
      <c r="G904" t="s">
        <v>17</v>
      </c>
      <c r="H904" s="6">
        <v>0.7</v>
      </c>
      <c r="I904" s="8">
        <v>0</v>
      </c>
      <c r="J904" s="5">
        <f t="shared" si="168"/>
        <v>1.9288787744816144E-2</v>
      </c>
      <c r="K904" s="5" cm="1">
        <f t="array" ref="K904">_xlfn.STDEV.S(IF($C:$C=C904,$I:$I))</f>
        <v>0.27585788879837708</v>
      </c>
      <c r="L904" s="7">
        <f t="shared" si="171"/>
        <v>-6.9922915124295049E-2</v>
      </c>
      <c r="M904">
        <f t="shared" si="169"/>
        <v>0</v>
      </c>
      <c r="N904" s="9">
        <f t="shared" si="172"/>
        <v>-0.42857142857142866</v>
      </c>
      <c r="O904">
        <f>COUNTIFS($B$2:B904,B904,$C$2:C904,C904,$D$2:D904,"&lt;"&amp;D904,$F$2:F904,1)</f>
        <v>0</v>
      </c>
      <c r="P904">
        <f t="shared" si="170"/>
        <v>0</v>
      </c>
      <c r="Q904" t="str">
        <f t="shared" si="173"/>
        <v>Monitor</v>
      </c>
      <c r="R904">
        <v>0</v>
      </c>
      <c r="S904">
        <f t="shared" si="174"/>
        <v>0</v>
      </c>
      <c r="T904">
        <f t="shared" si="175"/>
        <v>0</v>
      </c>
      <c r="U904" t="str">
        <f t="shared" si="176"/>
        <v>Not Improved Enough</v>
      </c>
      <c r="V904" t="str">
        <f t="shared" si="177"/>
        <v>Close</v>
      </c>
      <c r="W904" t="str">
        <f t="shared" si="178"/>
        <v>Normal</v>
      </c>
      <c r="X904" t="str">
        <f t="shared" si="179"/>
        <v>Allowed</v>
      </c>
    </row>
    <row r="905" spans="1:24" x14ac:dyDescent="0.3">
      <c r="A905" t="s">
        <v>23</v>
      </c>
      <c r="B905" t="s">
        <v>31</v>
      </c>
      <c r="C905" t="s">
        <v>27</v>
      </c>
      <c r="D905" s="3">
        <v>45596</v>
      </c>
      <c r="E905" s="6">
        <v>0.66669999999999996</v>
      </c>
      <c r="F905">
        <v>0</v>
      </c>
      <c r="G905" t="s">
        <v>17</v>
      </c>
      <c r="H905" s="6">
        <v>0.7</v>
      </c>
      <c r="I905" s="8">
        <v>-0.33329999999999999</v>
      </c>
      <c r="J905" s="5">
        <f t="shared" si="168"/>
        <v>1.9288787744816144E-2</v>
      </c>
      <c r="K905" s="5" cm="1">
        <f t="array" ref="K905">_xlfn.STDEV.S(IF($C:$C=C905,$I:$I))</f>
        <v>0.27585788879837708</v>
      </c>
      <c r="L905" s="7">
        <f t="shared" si="171"/>
        <v>-1.2781537235736666</v>
      </c>
      <c r="M905">
        <f t="shared" si="169"/>
        <v>1</v>
      </c>
      <c r="N905" s="9">
        <f t="shared" si="172"/>
        <v>4.757142857142857E-2</v>
      </c>
      <c r="O905">
        <f>COUNTIFS($B$2:B905,B905,$C$2:C905,C905,$D$2:D905,"&lt;"&amp;D905,$F$2:F905,1)</f>
        <v>0</v>
      </c>
      <c r="P905">
        <f t="shared" si="170"/>
        <v>0</v>
      </c>
      <c r="Q905" t="str">
        <f t="shared" si="173"/>
        <v>Intervene</v>
      </c>
      <c r="R905">
        <v>0</v>
      </c>
      <c r="S905">
        <f t="shared" si="174"/>
        <v>1</v>
      </c>
      <c r="T905">
        <f t="shared" si="175"/>
        <v>1</v>
      </c>
      <c r="U905" t="str">
        <f t="shared" si="176"/>
        <v>Not Improved Enough</v>
      </c>
      <c r="V905" t="str">
        <f t="shared" si="177"/>
        <v>Far</v>
      </c>
      <c r="W905" t="str">
        <f t="shared" si="178"/>
        <v>Abnormal</v>
      </c>
      <c r="X905" t="str">
        <f t="shared" si="179"/>
        <v>Allowed</v>
      </c>
    </row>
    <row r="906" spans="1:24" x14ac:dyDescent="0.3">
      <c r="A906" t="s">
        <v>23</v>
      </c>
      <c r="B906" t="s">
        <v>31</v>
      </c>
      <c r="C906" t="s">
        <v>27</v>
      </c>
      <c r="D906" s="3">
        <v>45626</v>
      </c>
      <c r="E906" s="6">
        <v>0.6</v>
      </c>
      <c r="F906">
        <v>0</v>
      </c>
      <c r="G906" t="s">
        <v>17</v>
      </c>
      <c r="H906" s="6">
        <v>0.7</v>
      </c>
      <c r="I906" s="8">
        <v>-0.1000449977501125</v>
      </c>
      <c r="J906" s="5">
        <f t="shared" si="168"/>
        <v>1.9288787744816144E-2</v>
      </c>
      <c r="K906" s="5" cm="1">
        <f t="array" ref="K906">_xlfn.STDEV.S(IF($C:$C=C906,$I:$I))</f>
        <v>0.27585788879837708</v>
      </c>
      <c r="L906" s="7">
        <f t="shared" si="171"/>
        <v>-0.43259152752433699</v>
      </c>
      <c r="M906">
        <f t="shared" si="169"/>
        <v>0</v>
      </c>
      <c r="N906" s="9">
        <f t="shared" si="172"/>
        <v>0.14285714285714282</v>
      </c>
      <c r="O906">
        <f>COUNTIFS($B$2:B906,B906,$C$2:C906,C906,$D$2:D906,"&lt;"&amp;D906,$F$2:F906,1)</f>
        <v>0</v>
      </c>
      <c r="P906">
        <f t="shared" si="170"/>
        <v>0</v>
      </c>
      <c r="Q906" t="str">
        <f t="shared" si="173"/>
        <v>Monitor</v>
      </c>
      <c r="R906">
        <v>0</v>
      </c>
      <c r="S906">
        <f t="shared" si="174"/>
        <v>0</v>
      </c>
      <c r="T906">
        <f t="shared" si="175"/>
        <v>0</v>
      </c>
      <c r="U906" t="str">
        <f t="shared" si="176"/>
        <v>Not Improved Enough</v>
      </c>
      <c r="V906" t="str">
        <f t="shared" si="177"/>
        <v>Far</v>
      </c>
      <c r="W906" t="str">
        <f t="shared" si="178"/>
        <v>Normal</v>
      </c>
      <c r="X906" t="str">
        <f t="shared" si="179"/>
        <v>Allowed</v>
      </c>
    </row>
    <row r="907" spans="1:24" x14ac:dyDescent="0.3">
      <c r="A907" t="s">
        <v>23</v>
      </c>
      <c r="B907" t="s">
        <v>31</v>
      </c>
      <c r="C907" t="s">
        <v>27</v>
      </c>
      <c r="D907" s="3">
        <v>45657</v>
      </c>
      <c r="E907" s="6">
        <v>1</v>
      </c>
      <c r="F907">
        <v>0</v>
      </c>
      <c r="G907" t="s">
        <v>17</v>
      </c>
      <c r="H907" s="6">
        <v>0.7</v>
      </c>
      <c r="I907" s="8">
        <v>0.66666666666666674</v>
      </c>
      <c r="J907" s="5">
        <f t="shared" si="168"/>
        <v>1.9288787744816144E-2</v>
      </c>
      <c r="K907" s="5" cm="1">
        <f t="array" ref="K907">_xlfn.STDEV.S(IF($C:$C=C907,$I:$I))</f>
        <v>0.27585788879837708</v>
      </c>
      <c r="L907" s="7">
        <f t="shared" si="171"/>
        <v>2.3467803721031713</v>
      </c>
      <c r="M907">
        <f t="shared" si="169"/>
        <v>-1</v>
      </c>
      <c r="N907" s="9">
        <f t="shared" si="172"/>
        <v>-0.42857142857142866</v>
      </c>
      <c r="O907">
        <f>COUNTIFS($B$2:B907,B907,$C$2:C907,C907,$D$2:D907,"&lt;"&amp;D907,$F$2:F907,1)</f>
        <v>0</v>
      </c>
      <c r="P907">
        <f t="shared" si="170"/>
        <v>0</v>
      </c>
      <c r="Q907" t="str">
        <f t="shared" si="173"/>
        <v>Monitor</v>
      </c>
      <c r="R907">
        <v>0</v>
      </c>
      <c r="S907">
        <f t="shared" si="174"/>
        <v>0</v>
      </c>
      <c r="T907">
        <f t="shared" si="175"/>
        <v>0</v>
      </c>
      <c r="U907" t="str">
        <f t="shared" si="176"/>
        <v>Improved Enough</v>
      </c>
      <c r="V907" t="str">
        <f t="shared" si="177"/>
        <v>Close</v>
      </c>
      <c r="W907" t="str">
        <f t="shared" si="178"/>
        <v>Normal</v>
      </c>
      <c r="X907" t="str">
        <f t="shared" si="179"/>
        <v>Allowed</v>
      </c>
    </row>
    <row r="908" spans="1:24" x14ac:dyDescent="0.3">
      <c r="A908" t="s">
        <v>23</v>
      </c>
      <c r="B908" t="s">
        <v>31</v>
      </c>
      <c r="C908" t="s">
        <v>27</v>
      </c>
      <c r="D908" s="3">
        <v>45688</v>
      </c>
      <c r="E908" s="6">
        <v>0.71430000000000005</v>
      </c>
      <c r="F908">
        <v>0</v>
      </c>
      <c r="G908" t="s">
        <v>17</v>
      </c>
      <c r="H908" s="6">
        <v>0.7</v>
      </c>
      <c r="I908" s="8">
        <v>-0.28570000000000001</v>
      </c>
      <c r="J908" s="5">
        <f t="shared" si="168"/>
        <v>1.9288787744816144E-2</v>
      </c>
      <c r="K908" s="5" cm="1">
        <f t="array" ref="K908">_xlfn.STDEV.S(IF($C:$C=C908,$I:$I))</f>
        <v>0.27585788879837708</v>
      </c>
      <c r="L908" s="7">
        <f t="shared" si="171"/>
        <v>-1.1056011088656257</v>
      </c>
      <c r="M908">
        <f t="shared" si="169"/>
        <v>1</v>
      </c>
      <c r="N908" s="9">
        <f t="shared" si="172"/>
        <v>-2.042857142857156E-2</v>
      </c>
      <c r="O908">
        <f>COUNTIFS($B$2:B908,B908,$C$2:C908,C908,$D$2:D908,"&lt;"&amp;D908,$F$2:F908,1)</f>
        <v>0</v>
      </c>
      <c r="P908">
        <f t="shared" si="170"/>
        <v>0</v>
      </c>
      <c r="Q908" t="str">
        <f t="shared" si="173"/>
        <v>Monitor</v>
      </c>
      <c r="R908">
        <v>0</v>
      </c>
      <c r="S908">
        <f t="shared" si="174"/>
        <v>0</v>
      </c>
      <c r="T908">
        <f t="shared" si="175"/>
        <v>0</v>
      </c>
      <c r="U908" t="str">
        <f t="shared" si="176"/>
        <v>Not Improved Enough</v>
      </c>
      <c r="V908" t="str">
        <f t="shared" si="177"/>
        <v>Close</v>
      </c>
      <c r="W908" t="str">
        <f t="shared" si="178"/>
        <v>Abnormal</v>
      </c>
      <c r="X908" t="str">
        <f t="shared" si="179"/>
        <v>Allowed</v>
      </c>
    </row>
    <row r="909" spans="1:24" x14ac:dyDescent="0.3">
      <c r="A909" t="s">
        <v>23</v>
      </c>
      <c r="B909" t="s">
        <v>31</v>
      </c>
      <c r="C909" t="s">
        <v>27</v>
      </c>
      <c r="D909" s="3">
        <v>45716</v>
      </c>
      <c r="E909" s="6">
        <v>0.33329999999999999</v>
      </c>
      <c r="F909">
        <v>0</v>
      </c>
      <c r="G909" t="s">
        <v>17</v>
      </c>
      <c r="H909" s="6">
        <v>0.7</v>
      </c>
      <c r="I909" s="8">
        <v>-0.53338933221335583</v>
      </c>
      <c r="J909" s="5">
        <f t="shared" si="168"/>
        <v>1.9288787744816144E-2</v>
      </c>
      <c r="K909" s="5" cm="1">
        <f t="array" ref="K909">_xlfn.STDEV.S(IF($C:$C=C909,$I:$I))</f>
        <v>0.27585788879837708</v>
      </c>
      <c r="L909" s="7">
        <f t="shared" si="171"/>
        <v>-2.003488543922415</v>
      </c>
      <c r="M909">
        <f t="shared" si="169"/>
        <v>1</v>
      </c>
      <c r="N909" s="9">
        <f t="shared" si="172"/>
        <v>0.5238571428571428</v>
      </c>
      <c r="O909">
        <f>COUNTIFS($B$2:B909,B909,$C$2:C909,C909,$D$2:D909,"&lt;"&amp;D909,$F$2:F909,1)</f>
        <v>0</v>
      </c>
      <c r="P909">
        <f t="shared" si="170"/>
        <v>0</v>
      </c>
      <c r="Q909" t="str">
        <f t="shared" si="173"/>
        <v>Intervene</v>
      </c>
      <c r="R909">
        <v>0</v>
      </c>
      <c r="S909">
        <f t="shared" si="174"/>
        <v>1</v>
      </c>
      <c r="T909">
        <f t="shared" si="175"/>
        <v>1</v>
      </c>
      <c r="U909" t="str">
        <f t="shared" si="176"/>
        <v>Not Improved Enough</v>
      </c>
      <c r="V909" t="str">
        <f t="shared" si="177"/>
        <v>Far</v>
      </c>
      <c r="W909" t="str">
        <f t="shared" si="178"/>
        <v>Abnormal</v>
      </c>
      <c r="X909" t="str">
        <f t="shared" si="179"/>
        <v>Allowed</v>
      </c>
    </row>
    <row r="910" spans="1:24" x14ac:dyDescent="0.3">
      <c r="A910" t="s">
        <v>23</v>
      </c>
      <c r="B910" t="s">
        <v>31</v>
      </c>
      <c r="C910" t="s">
        <v>27</v>
      </c>
      <c r="D910" s="3">
        <v>45747</v>
      </c>
      <c r="E910" s="6">
        <v>1</v>
      </c>
      <c r="F910">
        <v>0</v>
      </c>
      <c r="G910" t="s">
        <v>17</v>
      </c>
      <c r="H910" s="6">
        <v>0.7</v>
      </c>
      <c r="I910" s="8">
        <v>2.0003000300030012</v>
      </c>
      <c r="J910" s="5">
        <f t="shared" si="168"/>
        <v>1.9288787744816144E-2</v>
      </c>
      <c r="K910" s="5" cm="1">
        <f t="array" ref="K910">_xlfn.STDEV.S(IF($C:$C=C910,$I:$I))</f>
        <v>0.27585788879837708</v>
      </c>
      <c r="L910" s="7">
        <f t="shared" si="171"/>
        <v>7.1812745717998823</v>
      </c>
      <c r="M910">
        <f t="shared" si="169"/>
        <v>-1</v>
      </c>
      <c r="N910" s="9">
        <f t="shared" si="172"/>
        <v>-0.42857142857142866</v>
      </c>
      <c r="O910">
        <f>COUNTIFS($B$2:B910,B910,$C$2:C910,C910,$D$2:D910,"&lt;"&amp;D910,$F$2:F910,1)</f>
        <v>0</v>
      </c>
      <c r="P910">
        <f t="shared" si="170"/>
        <v>0</v>
      </c>
      <c r="Q910" t="str">
        <f t="shared" si="173"/>
        <v>Monitor</v>
      </c>
      <c r="R910">
        <v>0</v>
      </c>
      <c r="S910">
        <f t="shared" si="174"/>
        <v>0</v>
      </c>
      <c r="T910">
        <f t="shared" si="175"/>
        <v>0</v>
      </c>
      <c r="U910" t="str">
        <f t="shared" si="176"/>
        <v>Improved Enough</v>
      </c>
      <c r="V910" t="str">
        <f t="shared" si="177"/>
        <v>Close</v>
      </c>
      <c r="W910" t="str">
        <f t="shared" si="178"/>
        <v>Normal</v>
      </c>
      <c r="X910" t="str">
        <f t="shared" si="179"/>
        <v>Allowed</v>
      </c>
    </row>
    <row r="911" spans="1:24" x14ac:dyDescent="0.3">
      <c r="A911" t="s">
        <v>23</v>
      </c>
      <c r="B911" t="s">
        <v>31</v>
      </c>
      <c r="C911" t="s">
        <v>27</v>
      </c>
      <c r="D911" s="3">
        <v>45777</v>
      </c>
      <c r="E911" s="6">
        <v>0.85709999999999997</v>
      </c>
      <c r="F911">
        <v>0</v>
      </c>
      <c r="G911" t="s">
        <v>17</v>
      </c>
      <c r="H911" s="6">
        <v>0.7</v>
      </c>
      <c r="I911" s="8">
        <v>-0.1429</v>
      </c>
      <c r="J911" s="5">
        <f t="shared" si="168"/>
        <v>1.9288787744816144E-2</v>
      </c>
      <c r="K911" s="5" cm="1">
        <f t="array" ref="K911">_xlfn.STDEV.S(IF($C:$C=C911,$I:$I))</f>
        <v>0.27585788879837708</v>
      </c>
      <c r="L911" s="7">
        <f t="shared" si="171"/>
        <v>-0.58794326474150238</v>
      </c>
      <c r="M911">
        <f t="shared" si="169"/>
        <v>1</v>
      </c>
      <c r="N911" s="9">
        <f t="shared" si="172"/>
        <v>-0.22442857142857148</v>
      </c>
      <c r="O911">
        <f>COUNTIFS($B$2:B911,B911,$C$2:C911,C911,$D$2:D911,"&lt;"&amp;D911,$F$2:F911,1)</f>
        <v>0</v>
      </c>
      <c r="P911">
        <f t="shared" si="170"/>
        <v>0</v>
      </c>
      <c r="Q911" t="str">
        <f t="shared" si="173"/>
        <v>Monitor</v>
      </c>
      <c r="R911">
        <v>0</v>
      </c>
      <c r="S911">
        <f t="shared" si="174"/>
        <v>0</v>
      </c>
      <c r="T911">
        <f t="shared" si="175"/>
        <v>0</v>
      </c>
      <c r="U911" t="str">
        <f t="shared" si="176"/>
        <v>Not Improved Enough</v>
      </c>
      <c r="V911" t="str">
        <f t="shared" si="177"/>
        <v>Close</v>
      </c>
      <c r="W911" t="str">
        <f t="shared" si="178"/>
        <v>Abnormal</v>
      </c>
      <c r="X911" t="str">
        <f t="shared" si="179"/>
        <v>Allowed</v>
      </c>
    </row>
    <row r="912" spans="1:24" x14ac:dyDescent="0.3">
      <c r="A912" t="s">
        <v>23</v>
      </c>
      <c r="B912" t="s">
        <v>31</v>
      </c>
      <c r="C912" t="s">
        <v>27</v>
      </c>
      <c r="D912" s="3">
        <v>45808</v>
      </c>
      <c r="E912" s="6">
        <v>0.4</v>
      </c>
      <c r="F912">
        <v>0</v>
      </c>
      <c r="G912" t="s">
        <v>17</v>
      </c>
      <c r="H912" s="6">
        <v>0.7</v>
      </c>
      <c r="I912" s="8">
        <v>-0.53330999883327501</v>
      </c>
      <c r="J912" s="5">
        <f t="shared" si="168"/>
        <v>1.9288787744816144E-2</v>
      </c>
      <c r="K912" s="5" cm="1">
        <f t="array" ref="K912">_xlfn.STDEV.S(IF($C:$C=C912,$I:$I))</f>
        <v>0.27585788879837708</v>
      </c>
      <c r="L912" s="7">
        <f t="shared" si="171"/>
        <v>-2.0032009560617725</v>
      </c>
      <c r="M912">
        <f t="shared" si="169"/>
        <v>1</v>
      </c>
      <c r="N912" s="9">
        <f t="shared" si="172"/>
        <v>0.42857142857142849</v>
      </c>
      <c r="O912">
        <f>COUNTIFS($B$2:B912,B912,$C$2:C912,C912,$D$2:D912,"&lt;"&amp;D912,$F$2:F912,1)</f>
        <v>0</v>
      </c>
      <c r="P912">
        <f t="shared" si="170"/>
        <v>0</v>
      </c>
      <c r="Q912" t="str">
        <f t="shared" si="173"/>
        <v>Intervene</v>
      </c>
      <c r="R912">
        <v>0</v>
      </c>
      <c r="S912">
        <f t="shared" si="174"/>
        <v>1</v>
      </c>
      <c r="T912">
        <f t="shared" si="175"/>
        <v>1</v>
      </c>
      <c r="U912" t="str">
        <f t="shared" si="176"/>
        <v>Not Improved Enough</v>
      </c>
      <c r="V912" t="str">
        <f t="shared" si="177"/>
        <v>Far</v>
      </c>
      <c r="W912" t="str">
        <f t="shared" si="178"/>
        <v>Abnormal</v>
      </c>
      <c r="X912" t="str">
        <f t="shared" si="179"/>
        <v>Allowed</v>
      </c>
    </row>
    <row r="913" spans="1:24" x14ac:dyDescent="0.3">
      <c r="A913" t="s">
        <v>23</v>
      </c>
      <c r="B913" t="s">
        <v>31</v>
      </c>
      <c r="C913" t="s">
        <v>27</v>
      </c>
      <c r="D913" s="3">
        <v>45838</v>
      </c>
      <c r="E913" s="6">
        <v>1</v>
      </c>
      <c r="F913">
        <v>0</v>
      </c>
      <c r="G913" t="s">
        <v>17</v>
      </c>
      <c r="H913" s="6">
        <v>0.7</v>
      </c>
      <c r="I913" s="8">
        <v>1.5</v>
      </c>
      <c r="J913" s="5">
        <f t="shared" si="168"/>
        <v>1.9288787744816144E-2</v>
      </c>
      <c r="K913" s="5" cm="1">
        <f t="array" ref="K913">_xlfn.STDEV.S(IF($C:$C=C913,$I:$I))</f>
        <v>0.27585788879837708</v>
      </c>
      <c r="L913" s="7">
        <f t="shared" si="171"/>
        <v>5.3676594811375029</v>
      </c>
      <c r="M913">
        <f t="shared" si="169"/>
        <v>-1</v>
      </c>
      <c r="N913" s="9">
        <f t="shared" si="172"/>
        <v>-0.42857142857142866</v>
      </c>
      <c r="O913">
        <f>COUNTIFS($B$2:B913,B913,$C$2:C913,C913,$D$2:D913,"&lt;"&amp;D913,$F$2:F913,1)</f>
        <v>0</v>
      </c>
      <c r="P913">
        <f t="shared" si="170"/>
        <v>0</v>
      </c>
      <c r="Q913" t="str">
        <f t="shared" si="173"/>
        <v>Monitor</v>
      </c>
      <c r="R913">
        <v>0</v>
      </c>
      <c r="S913">
        <f t="shared" si="174"/>
        <v>0</v>
      </c>
      <c r="T913">
        <f t="shared" si="175"/>
        <v>0</v>
      </c>
      <c r="U913" t="str">
        <f t="shared" si="176"/>
        <v>Improved Enough</v>
      </c>
      <c r="V913" t="str">
        <f t="shared" si="177"/>
        <v>Close</v>
      </c>
      <c r="W913" t="str">
        <f t="shared" si="178"/>
        <v>Normal</v>
      </c>
      <c r="X913" t="str">
        <f t="shared" si="179"/>
        <v>Allowed</v>
      </c>
    </row>
    <row r="914" spans="1:24" x14ac:dyDescent="0.3">
      <c r="A914" t="s">
        <v>23</v>
      </c>
      <c r="B914" t="s">
        <v>31</v>
      </c>
      <c r="C914" t="s">
        <v>27</v>
      </c>
      <c r="D914" s="3">
        <v>45869</v>
      </c>
      <c r="E914" s="6">
        <v>1</v>
      </c>
      <c r="F914">
        <v>0</v>
      </c>
      <c r="G914" t="s">
        <v>17</v>
      </c>
      <c r="H914" s="6">
        <v>0.7</v>
      </c>
      <c r="I914" s="8">
        <v>0</v>
      </c>
      <c r="J914" s="5">
        <f t="shared" si="168"/>
        <v>1.9288787744816144E-2</v>
      </c>
      <c r="K914" s="5" cm="1">
        <f t="array" ref="K914">_xlfn.STDEV.S(IF($C:$C=C914,$I:$I))</f>
        <v>0.27585788879837708</v>
      </c>
      <c r="L914" s="7">
        <f t="shared" si="171"/>
        <v>-6.9922915124295049E-2</v>
      </c>
      <c r="M914">
        <f t="shared" si="169"/>
        <v>0</v>
      </c>
      <c r="N914" s="9">
        <f t="shared" si="172"/>
        <v>-0.42857142857142866</v>
      </c>
      <c r="O914">
        <f>COUNTIFS($B$2:B914,B914,$C$2:C914,C914,$D$2:D914,"&lt;"&amp;D914,$F$2:F914,1)</f>
        <v>0</v>
      </c>
      <c r="P914">
        <f t="shared" si="170"/>
        <v>0</v>
      </c>
      <c r="Q914" t="str">
        <f t="shared" si="173"/>
        <v>Monitor</v>
      </c>
      <c r="R914">
        <v>0</v>
      </c>
      <c r="S914">
        <f t="shared" si="174"/>
        <v>0</v>
      </c>
      <c r="T914">
        <f t="shared" si="175"/>
        <v>0</v>
      </c>
      <c r="U914" t="str">
        <f t="shared" si="176"/>
        <v>Not Improved Enough</v>
      </c>
      <c r="V914" t="str">
        <f t="shared" si="177"/>
        <v>Close</v>
      </c>
      <c r="W914" t="str">
        <f t="shared" si="178"/>
        <v>Normal</v>
      </c>
      <c r="X914" t="str">
        <f t="shared" si="179"/>
        <v>Allowed</v>
      </c>
    </row>
    <row r="915" spans="1:24" x14ac:dyDescent="0.3">
      <c r="A915" t="s">
        <v>23</v>
      </c>
      <c r="B915" t="s">
        <v>31</v>
      </c>
      <c r="C915" t="s">
        <v>27</v>
      </c>
      <c r="D915" s="3">
        <v>45900</v>
      </c>
      <c r="E915" s="6">
        <v>0.75</v>
      </c>
      <c r="F915">
        <v>0</v>
      </c>
      <c r="G915" t="s">
        <v>17</v>
      </c>
      <c r="H915" s="6">
        <v>0.7</v>
      </c>
      <c r="I915" s="8">
        <v>-0.25</v>
      </c>
      <c r="J915" s="5">
        <f t="shared" si="168"/>
        <v>1.9288787744816144E-2</v>
      </c>
      <c r="K915" s="5" cm="1">
        <f t="array" ref="K915">_xlfn.STDEV.S(IF($C:$C=C915,$I:$I))</f>
        <v>0.27585788879837708</v>
      </c>
      <c r="L915" s="7">
        <f t="shared" si="171"/>
        <v>-0.97618664783459475</v>
      </c>
      <c r="M915">
        <f t="shared" si="169"/>
        <v>1</v>
      </c>
      <c r="N915" s="9">
        <f t="shared" si="172"/>
        <v>-7.1428571428571494E-2</v>
      </c>
      <c r="O915">
        <f>COUNTIFS($B$2:B915,B915,$C$2:C915,C915,$D$2:D915,"&lt;"&amp;D915,$F$2:F915,1)</f>
        <v>0</v>
      </c>
      <c r="P915">
        <f t="shared" si="170"/>
        <v>0</v>
      </c>
      <c r="Q915" t="str">
        <f t="shared" si="173"/>
        <v>Monitor</v>
      </c>
      <c r="R915">
        <v>0</v>
      </c>
      <c r="S915">
        <f t="shared" si="174"/>
        <v>0</v>
      </c>
      <c r="T915">
        <f t="shared" si="175"/>
        <v>0</v>
      </c>
      <c r="U915" t="str">
        <f t="shared" si="176"/>
        <v>Not Improved Enough</v>
      </c>
      <c r="V915" t="str">
        <f t="shared" si="177"/>
        <v>Close</v>
      </c>
      <c r="W915" t="str">
        <f t="shared" si="178"/>
        <v>Abnormal</v>
      </c>
      <c r="X915" t="str">
        <f t="shared" si="179"/>
        <v>Allowed</v>
      </c>
    </row>
    <row r="916" spans="1:24" x14ac:dyDescent="0.3">
      <c r="A916" t="s">
        <v>23</v>
      </c>
      <c r="B916" t="s">
        <v>31</v>
      </c>
      <c r="C916" t="s">
        <v>27</v>
      </c>
      <c r="D916" s="3">
        <v>45961</v>
      </c>
      <c r="E916" s="6">
        <v>0.5</v>
      </c>
      <c r="F916">
        <v>0</v>
      </c>
      <c r="G916" t="s">
        <v>17</v>
      </c>
      <c r="H916" s="6">
        <v>0.7</v>
      </c>
      <c r="I916" s="8">
        <v>-0.33333333333333331</v>
      </c>
      <c r="J916" s="5">
        <f t="shared" si="168"/>
        <v>1.9288787744816144E-2</v>
      </c>
      <c r="K916" s="5" cm="1">
        <f t="array" ref="K916">_xlfn.STDEV.S(IF($C:$C=C916,$I:$I))</f>
        <v>0.27585788879837708</v>
      </c>
      <c r="L916" s="7">
        <f t="shared" si="171"/>
        <v>-1.278274558738028</v>
      </c>
      <c r="M916">
        <f t="shared" si="169"/>
        <v>1</v>
      </c>
      <c r="N916" s="9">
        <f t="shared" si="172"/>
        <v>0.28571428571428564</v>
      </c>
      <c r="O916">
        <f>COUNTIFS($B$2:B916,B916,$C$2:C916,C916,$D$2:D916,"&lt;"&amp;D916,$F$2:F916,1)</f>
        <v>0</v>
      </c>
      <c r="P916">
        <f t="shared" si="170"/>
        <v>0</v>
      </c>
      <c r="Q916" t="str">
        <f t="shared" si="173"/>
        <v>Intervene</v>
      </c>
      <c r="R916">
        <v>0</v>
      </c>
      <c r="S916">
        <f t="shared" si="174"/>
        <v>1</v>
      </c>
      <c r="T916">
        <f t="shared" si="175"/>
        <v>1</v>
      </c>
      <c r="U916" t="str">
        <f t="shared" si="176"/>
        <v>Not Improved Enough</v>
      </c>
      <c r="V916" t="str">
        <f t="shared" si="177"/>
        <v>Far</v>
      </c>
      <c r="W916" t="str">
        <f t="shared" si="178"/>
        <v>Abnormal</v>
      </c>
      <c r="X916" t="str">
        <f t="shared" si="179"/>
        <v>Allowed</v>
      </c>
    </row>
    <row r="917" spans="1:24" x14ac:dyDescent="0.3">
      <c r="A917" t="s">
        <v>23</v>
      </c>
      <c r="B917" t="s">
        <v>31</v>
      </c>
      <c r="C917" t="s">
        <v>27</v>
      </c>
      <c r="D917" s="3">
        <v>45991</v>
      </c>
      <c r="E917" s="6">
        <v>0.33300000000000002</v>
      </c>
      <c r="F917">
        <v>0</v>
      </c>
      <c r="G917" t="s">
        <v>17</v>
      </c>
      <c r="H917" s="6">
        <v>0.7</v>
      </c>
      <c r="I917" s="8">
        <v>-0.33400000000000002</v>
      </c>
      <c r="J917" s="5">
        <f t="shared" si="168"/>
        <v>1.9288787744816144E-2</v>
      </c>
      <c r="K917" s="5" cm="1">
        <f t="array" ref="K917">_xlfn.STDEV.S(IF($C:$C=C917,$I:$I))</f>
        <v>0.27585788879837708</v>
      </c>
      <c r="L917" s="7">
        <f t="shared" si="171"/>
        <v>-1.2806912620252555</v>
      </c>
      <c r="M917">
        <f t="shared" si="169"/>
        <v>1</v>
      </c>
      <c r="N917" s="9">
        <f t="shared" si="172"/>
        <v>0.52428571428571424</v>
      </c>
      <c r="O917">
        <f>COUNTIFS($B$2:B917,B917,$C$2:C917,C917,$D$2:D917,"&lt;"&amp;D917,$F$2:F917,1)</f>
        <v>0</v>
      </c>
      <c r="P917">
        <f t="shared" si="170"/>
        <v>0</v>
      </c>
      <c r="Q917" t="str">
        <f t="shared" si="173"/>
        <v>Intervene</v>
      </c>
      <c r="R917">
        <v>0</v>
      </c>
      <c r="S917">
        <f t="shared" si="174"/>
        <v>1</v>
      </c>
      <c r="T917">
        <f t="shared" si="175"/>
        <v>1</v>
      </c>
      <c r="U917" t="str">
        <f t="shared" si="176"/>
        <v>Not Improved Enough</v>
      </c>
      <c r="V917" t="str">
        <f t="shared" si="177"/>
        <v>Far</v>
      </c>
      <c r="W917" t="str">
        <f t="shared" si="178"/>
        <v>Abnormal</v>
      </c>
      <c r="X917" t="str">
        <f t="shared" si="179"/>
        <v>Allowed</v>
      </c>
    </row>
    <row r="918" spans="1:24" x14ac:dyDescent="0.3">
      <c r="A918" t="s">
        <v>10</v>
      </c>
      <c r="B918" t="s">
        <v>32</v>
      </c>
      <c r="C918" t="s">
        <v>12</v>
      </c>
      <c r="D918" s="3">
        <v>45535</v>
      </c>
      <c r="E918" s="6">
        <v>0.17165847116674121</v>
      </c>
      <c r="F918">
        <v>0</v>
      </c>
      <c r="G918" t="s">
        <v>13</v>
      </c>
      <c r="H918" s="6">
        <v>0.27</v>
      </c>
      <c r="I918" s="8">
        <v>1.366730911569205E-2</v>
      </c>
      <c r="J918" s="5">
        <f t="shared" si="168"/>
        <v>1.2504550363164104E-2</v>
      </c>
      <c r="K918" s="5" cm="1">
        <f t="array" ref="K918">_xlfn.STDEV.S(IF($C:$C=C918,$I:$I))</f>
        <v>5.3924507863027986E-2</v>
      </c>
      <c r="L918" s="7">
        <f t="shared" si="171"/>
        <v>2.1562714220432655E-2</v>
      </c>
      <c r="M918">
        <f t="shared" si="169"/>
        <v>0</v>
      </c>
      <c r="N918" s="9">
        <f t="shared" si="172"/>
        <v>-0.36422788456762517</v>
      </c>
      <c r="O918">
        <f>COUNTIFS($B$2:B918,B918,$C$2:C918,C918,$D$2:D918,"&lt;"&amp;D918,$F$2:F918,1)</f>
        <v>0</v>
      </c>
      <c r="P918">
        <f t="shared" si="170"/>
        <v>0</v>
      </c>
      <c r="Q918" t="str">
        <f t="shared" si="173"/>
        <v>Monitor</v>
      </c>
      <c r="R918">
        <v>0</v>
      </c>
      <c r="S918">
        <f t="shared" si="174"/>
        <v>0</v>
      </c>
      <c r="T918">
        <f t="shared" si="175"/>
        <v>0</v>
      </c>
      <c r="U918" t="str">
        <f t="shared" si="176"/>
        <v>Improved Enough</v>
      </c>
      <c r="V918" t="str">
        <f t="shared" si="177"/>
        <v>Close</v>
      </c>
      <c r="W918" t="str">
        <f t="shared" si="178"/>
        <v>Normal</v>
      </c>
      <c r="X918" t="str">
        <f t="shared" si="179"/>
        <v>Allowed</v>
      </c>
    </row>
    <row r="919" spans="1:24" x14ac:dyDescent="0.3">
      <c r="A919" t="s">
        <v>10</v>
      </c>
      <c r="B919" t="s">
        <v>32</v>
      </c>
      <c r="C919" t="s">
        <v>12</v>
      </c>
      <c r="D919" s="3">
        <v>45565</v>
      </c>
      <c r="E919" s="6">
        <v>0.1707264496658763</v>
      </c>
      <c r="F919">
        <v>0</v>
      </c>
      <c r="G919" t="s">
        <v>13</v>
      </c>
      <c r="H919" s="6">
        <v>0.27</v>
      </c>
      <c r="I919" s="8">
        <v>5.4295106704031343E-3</v>
      </c>
      <c r="J919" s="5">
        <f t="shared" si="168"/>
        <v>1.2504550363164104E-2</v>
      </c>
      <c r="K919" s="5" cm="1">
        <f t="array" ref="K919">_xlfn.STDEV.S(IF($C:$C=C919,$I:$I))</f>
        <v>5.3924507863027986E-2</v>
      </c>
      <c r="L919" s="7">
        <f t="shared" si="171"/>
        <v>-0.13120267524243456</v>
      </c>
      <c r="M919">
        <f t="shared" si="169"/>
        <v>0</v>
      </c>
      <c r="N919" s="9">
        <f t="shared" si="172"/>
        <v>-0.36767981605231004</v>
      </c>
      <c r="O919">
        <f>COUNTIFS($B$2:B919,B919,$C$2:C919,C919,$D$2:D919,"&lt;"&amp;D919,$F$2:F919,1)</f>
        <v>0</v>
      </c>
      <c r="P919">
        <f t="shared" si="170"/>
        <v>0</v>
      </c>
      <c r="Q919" t="str">
        <f t="shared" si="173"/>
        <v>Monitor</v>
      </c>
      <c r="R919">
        <v>0</v>
      </c>
      <c r="S919">
        <f t="shared" si="174"/>
        <v>0</v>
      </c>
      <c r="T919">
        <f t="shared" si="175"/>
        <v>0</v>
      </c>
      <c r="U919" t="str">
        <f t="shared" si="176"/>
        <v>Not Improved Enough</v>
      </c>
      <c r="V919" t="str">
        <f t="shared" si="177"/>
        <v>Close</v>
      </c>
      <c r="W919" t="str">
        <f t="shared" si="178"/>
        <v>Normal</v>
      </c>
      <c r="X919" t="str">
        <f t="shared" si="179"/>
        <v>Allowed</v>
      </c>
    </row>
    <row r="920" spans="1:24" x14ac:dyDescent="0.3">
      <c r="A920" t="s">
        <v>10</v>
      </c>
      <c r="B920" t="s">
        <v>32</v>
      </c>
      <c r="C920" t="s">
        <v>12</v>
      </c>
      <c r="D920" s="3">
        <v>45596</v>
      </c>
      <c r="E920" s="6">
        <v>0.17562254259501969</v>
      </c>
      <c r="F920">
        <v>0</v>
      </c>
      <c r="G920" t="s">
        <v>13</v>
      </c>
      <c r="H920" s="6">
        <v>0.27</v>
      </c>
      <c r="I920" s="8">
        <v>-2.8677998861485091E-2</v>
      </c>
      <c r="J920" s="5">
        <f t="shared" si="168"/>
        <v>1.2504550363164104E-2</v>
      </c>
      <c r="K920" s="5" cm="1">
        <f t="array" ref="K920">_xlfn.STDEV.S(IF($C:$C=C920,$I:$I))</f>
        <v>5.3924507863027986E-2</v>
      </c>
      <c r="L920" s="7">
        <f t="shared" si="171"/>
        <v>-0.76370746543029644</v>
      </c>
      <c r="M920">
        <f t="shared" si="169"/>
        <v>1</v>
      </c>
      <c r="N920" s="9">
        <f t="shared" si="172"/>
        <v>-0.34954613853696415</v>
      </c>
      <c r="O920">
        <f>COUNTIFS($B$2:B920,B920,$C$2:C920,C920,$D$2:D920,"&lt;"&amp;D920,$F$2:F920,1)</f>
        <v>0</v>
      </c>
      <c r="P920">
        <f t="shared" si="170"/>
        <v>0</v>
      </c>
      <c r="Q920" t="str">
        <f t="shared" si="173"/>
        <v>Monitor</v>
      </c>
      <c r="R920">
        <v>0</v>
      </c>
      <c r="S920">
        <f t="shared" si="174"/>
        <v>0</v>
      </c>
      <c r="T920">
        <f t="shared" si="175"/>
        <v>0</v>
      </c>
      <c r="U920" t="str">
        <f t="shared" si="176"/>
        <v>Not Improved Enough</v>
      </c>
      <c r="V920" t="str">
        <f t="shared" si="177"/>
        <v>Close</v>
      </c>
      <c r="W920" t="str">
        <f t="shared" si="178"/>
        <v>Abnormal</v>
      </c>
      <c r="X920" t="str">
        <f t="shared" si="179"/>
        <v>Allowed</v>
      </c>
    </row>
    <row r="921" spans="1:24" x14ac:dyDescent="0.3">
      <c r="A921" t="s">
        <v>10</v>
      </c>
      <c r="B921" t="s">
        <v>32</v>
      </c>
      <c r="C921" t="s">
        <v>12</v>
      </c>
      <c r="D921" s="3">
        <v>45626</v>
      </c>
      <c r="E921" s="6">
        <v>0.18030948599999999</v>
      </c>
      <c r="F921">
        <v>0</v>
      </c>
      <c r="G921" t="s">
        <v>13</v>
      </c>
      <c r="H921" s="6">
        <v>0.27</v>
      </c>
      <c r="I921" s="8">
        <v>-2.6687595656716169E-2</v>
      </c>
      <c r="J921" s="5">
        <f t="shared" si="168"/>
        <v>1.2504550363164104E-2</v>
      </c>
      <c r="K921" s="5" cm="1">
        <f t="array" ref="K921">_xlfn.STDEV.S(IF($C:$C=C921,$I:$I))</f>
        <v>5.3924507863027986E-2</v>
      </c>
      <c r="L921" s="7">
        <f t="shared" si="171"/>
        <v>-0.72679654526344606</v>
      </c>
      <c r="M921">
        <f t="shared" si="169"/>
        <v>1</v>
      </c>
      <c r="N921" s="9">
        <f t="shared" si="172"/>
        <v>-0.33218708888888898</v>
      </c>
      <c r="O921">
        <f>COUNTIFS($B$2:B921,B921,$C$2:C921,C921,$D$2:D921,"&lt;"&amp;D921,$F$2:F921,1)</f>
        <v>0</v>
      </c>
      <c r="P921">
        <f t="shared" si="170"/>
        <v>0</v>
      </c>
      <c r="Q921" t="str">
        <f t="shared" si="173"/>
        <v>Monitor</v>
      </c>
      <c r="R921">
        <v>0</v>
      </c>
      <c r="S921">
        <f t="shared" si="174"/>
        <v>0</v>
      </c>
      <c r="T921">
        <f t="shared" si="175"/>
        <v>0</v>
      </c>
      <c r="U921" t="str">
        <f t="shared" si="176"/>
        <v>Not Improved Enough</v>
      </c>
      <c r="V921" t="str">
        <f t="shared" si="177"/>
        <v>Close</v>
      </c>
      <c r="W921" t="str">
        <f t="shared" si="178"/>
        <v>Abnormal</v>
      </c>
      <c r="X921" t="str">
        <f t="shared" si="179"/>
        <v>Allowed</v>
      </c>
    </row>
    <row r="922" spans="1:24" x14ac:dyDescent="0.3">
      <c r="A922" t="s">
        <v>10</v>
      </c>
      <c r="B922" t="s">
        <v>32</v>
      </c>
      <c r="C922" t="s">
        <v>12</v>
      </c>
      <c r="D922" s="3">
        <v>45657</v>
      </c>
      <c r="E922" s="6">
        <v>0.1780250347705146</v>
      </c>
      <c r="F922">
        <v>0</v>
      </c>
      <c r="G922" t="s">
        <v>13</v>
      </c>
      <c r="H922" s="6">
        <v>0.27</v>
      </c>
      <c r="I922" s="8">
        <v>1.266961201079236E-2</v>
      </c>
      <c r="J922" s="5">
        <f t="shared" si="168"/>
        <v>1.2504550363164104E-2</v>
      </c>
      <c r="K922" s="5" cm="1">
        <f t="array" ref="K922">_xlfn.STDEV.S(IF($C:$C=C922,$I:$I))</f>
        <v>5.3924507863027986E-2</v>
      </c>
      <c r="L922" s="7">
        <f t="shared" si="171"/>
        <v>3.0609764311159597E-3</v>
      </c>
      <c r="M922">
        <f t="shared" si="169"/>
        <v>0</v>
      </c>
      <c r="N922" s="9">
        <f t="shared" si="172"/>
        <v>-0.34064801936846451</v>
      </c>
      <c r="O922">
        <f>COUNTIFS($B$2:B922,B922,$C$2:C922,C922,$D$2:D922,"&lt;"&amp;D922,$F$2:F922,1)</f>
        <v>0</v>
      </c>
      <c r="P922">
        <f t="shared" si="170"/>
        <v>0</v>
      </c>
      <c r="Q922" t="str">
        <f t="shared" si="173"/>
        <v>Monitor</v>
      </c>
      <c r="R922">
        <v>0</v>
      </c>
      <c r="S922">
        <f t="shared" si="174"/>
        <v>0</v>
      </c>
      <c r="T922">
        <f t="shared" si="175"/>
        <v>0</v>
      </c>
      <c r="U922" t="str">
        <f t="shared" si="176"/>
        <v>Improved Enough</v>
      </c>
      <c r="V922" t="str">
        <f t="shared" si="177"/>
        <v>Close</v>
      </c>
      <c r="W922" t="str">
        <f t="shared" si="178"/>
        <v>Normal</v>
      </c>
      <c r="X922" t="str">
        <f t="shared" si="179"/>
        <v>Allowed</v>
      </c>
    </row>
    <row r="923" spans="1:24" x14ac:dyDescent="0.3">
      <c r="A923" t="s">
        <v>10</v>
      </c>
      <c r="B923" t="s">
        <v>32</v>
      </c>
      <c r="C923" t="s">
        <v>12</v>
      </c>
      <c r="D923" s="3">
        <v>45688</v>
      </c>
      <c r="E923" s="6">
        <v>0.1737032569360675</v>
      </c>
      <c r="F923">
        <v>0</v>
      </c>
      <c r="G923" t="s">
        <v>13</v>
      </c>
      <c r="H923" s="6">
        <v>0.27</v>
      </c>
      <c r="I923" s="8">
        <v>2.427623642943328E-2</v>
      </c>
      <c r="J923" s="5">
        <f t="shared" si="168"/>
        <v>1.2504550363164104E-2</v>
      </c>
      <c r="K923" s="5" cm="1">
        <f t="array" ref="K923">_xlfn.STDEV.S(IF($C:$C=C923,$I:$I))</f>
        <v>5.3924507863027986E-2</v>
      </c>
      <c r="L923" s="7">
        <f t="shared" si="171"/>
        <v>0.21829936948465214</v>
      </c>
      <c r="M923">
        <f t="shared" si="169"/>
        <v>0</v>
      </c>
      <c r="N923" s="9">
        <f t="shared" si="172"/>
        <v>-0.35665460394049076</v>
      </c>
      <c r="O923">
        <f>COUNTIFS($B$2:B923,B923,$C$2:C923,C923,$D$2:D923,"&lt;"&amp;D923,$F$2:F923,1)</f>
        <v>0</v>
      </c>
      <c r="P923">
        <f t="shared" si="170"/>
        <v>0</v>
      </c>
      <c r="Q923" t="str">
        <f t="shared" si="173"/>
        <v>Monitor</v>
      </c>
      <c r="R923">
        <v>0</v>
      </c>
      <c r="S923">
        <f t="shared" si="174"/>
        <v>0</v>
      </c>
      <c r="T923">
        <f t="shared" si="175"/>
        <v>0</v>
      </c>
      <c r="U923" t="str">
        <f t="shared" si="176"/>
        <v>Improved Enough</v>
      </c>
      <c r="V923" t="str">
        <f t="shared" si="177"/>
        <v>Close</v>
      </c>
      <c r="W923" t="str">
        <f t="shared" si="178"/>
        <v>Normal</v>
      </c>
      <c r="X923" t="str">
        <f t="shared" si="179"/>
        <v>Allowed</v>
      </c>
    </row>
    <row r="924" spans="1:24" x14ac:dyDescent="0.3">
      <c r="A924" t="s">
        <v>10</v>
      </c>
      <c r="B924" t="s">
        <v>32</v>
      </c>
      <c r="C924" t="s">
        <v>12</v>
      </c>
      <c r="D924" s="3">
        <v>45716</v>
      </c>
      <c r="E924" s="6">
        <v>0.1672579827673594</v>
      </c>
      <c r="F924">
        <v>0</v>
      </c>
      <c r="G924" t="s">
        <v>13</v>
      </c>
      <c r="H924" s="6">
        <v>0.27</v>
      </c>
      <c r="I924" s="8">
        <v>3.7105085318465417E-2</v>
      </c>
      <c r="J924" s="5">
        <f t="shared" si="168"/>
        <v>1.2504550363164104E-2</v>
      </c>
      <c r="K924" s="5" cm="1">
        <f t="array" ref="K924">_xlfn.STDEV.S(IF($C:$C=C924,$I:$I))</f>
        <v>5.3924507863027986E-2</v>
      </c>
      <c r="L924" s="7">
        <f t="shared" si="171"/>
        <v>0.45620323541548841</v>
      </c>
      <c r="M924">
        <f t="shared" si="169"/>
        <v>0</v>
      </c>
      <c r="N924" s="9">
        <f t="shared" si="172"/>
        <v>-0.38052598975052077</v>
      </c>
      <c r="O924">
        <f>COUNTIFS($B$2:B924,B924,$C$2:C924,C924,$D$2:D924,"&lt;"&amp;D924,$F$2:F924,1)</f>
        <v>0</v>
      </c>
      <c r="P924">
        <f t="shared" si="170"/>
        <v>0</v>
      </c>
      <c r="Q924" t="str">
        <f t="shared" si="173"/>
        <v>Monitor</v>
      </c>
      <c r="R924">
        <v>0</v>
      </c>
      <c r="S924">
        <f t="shared" si="174"/>
        <v>0</v>
      </c>
      <c r="T924">
        <f t="shared" si="175"/>
        <v>0</v>
      </c>
      <c r="U924" t="str">
        <f t="shared" si="176"/>
        <v>Improved Enough</v>
      </c>
      <c r="V924" t="str">
        <f t="shared" si="177"/>
        <v>Close</v>
      </c>
      <c r="W924" t="str">
        <f t="shared" si="178"/>
        <v>Normal</v>
      </c>
      <c r="X924" t="str">
        <f t="shared" si="179"/>
        <v>Allowed</v>
      </c>
    </row>
    <row r="925" spans="1:24" x14ac:dyDescent="0.3">
      <c r="A925" t="s">
        <v>10</v>
      </c>
      <c r="B925" t="s">
        <v>32</v>
      </c>
      <c r="C925" t="s">
        <v>12</v>
      </c>
      <c r="D925" s="3">
        <v>45747</v>
      </c>
      <c r="E925" s="6">
        <v>0.16085790884718501</v>
      </c>
      <c r="F925">
        <v>0</v>
      </c>
      <c r="G925" t="s">
        <v>13</v>
      </c>
      <c r="H925" s="6">
        <v>0.27</v>
      </c>
      <c r="I925" s="8">
        <v>3.8264684377285037E-2</v>
      </c>
      <c r="J925" s="5">
        <f t="shared" si="168"/>
        <v>1.2504550363164104E-2</v>
      </c>
      <c r="K925" s="5" cm="1">
        <f t="array" ref="K925">_xlfn.STDEV.S(IF($C:$C=C925,$I:$I))</f>
        <v>5.3924507863027986E-2</v>
      </c>
      <c r="L925" s="7">
        <f t="shared" si="171"/>
        <v>0.47770735487384453</v>
      </c>
      <c r="M925">
        <f t="shared" si="169"/>
        <v>0</v>
      </c>
      <c r="N925" s="9">
        <f t="shared" si="172"/>
        <v>-0.40422996723264815</v>
      </c>
      <c r="O925">
        <f>COUNTIFS($B$2:B925,B925,$C$2:C925,C925,$D$2:D925,"&lt;"&amp;D925,$F$2:F925,1)</f>
        <v>0</v>
      </c>
      <c r="P925">
        <f t="shared" si="170"/>
        <v>0</v>
      </c>
      <c r="Q925" t="str">
        <f t="shared" si="173"/>
        <v>Monitor</v>
      </c>
      <c r="R925">
        <v>0</v>
      </c>
      <c r="S925">
        <f t="shared" si="174"/>
        <v>0</v>
      </c>
      <c r="T925">
        <f t="shared" si="175"/>
        <v>0</v>
      </c>
      <c r="U925" t="str">
        <f t="shared" si="176"/>
        <v>Improved Enough</v>
      </c>
      <c r="V925" t="str">
        <f t="shared" si="177"/>
        <v>Close</v>
      </c>
      <c r="W925" t="str">
        <f t="shared" si="178"/>
        <v>Normal</v>
      </c>
      <c r="X925" t="str">
        <f t="shared" si="179"/>
        <v>Allowed</v>
      </c>
    </row>
    <row r="926" spans="1:24" x14ac:dyDescent="0.3">
      <c r="A926" t="s">
        <v>10</v>
      </c>
      <c r="B926" t="s">
        <v>32</v>
      </c>
      <c r="C926" t="s">
        <v>12</v>
      </c>
      <c r="D926" s="3">
        <v>45777</v>
      </c>
      <c r="E926" s="6">
        <v>0.157849585358879</v>
      </c>
      <c r="F926">
        <v>0</v>
      </c>
      <c r="G926" t="s">
        <v>13</v>
      </c>
      <c r="H926" s="6">
        <v>0.27</v>
      </c>
      <c r="I926" s="8">
        <v>1.8701744352302381E-2</v>
      </c>
      <c r="J926" s="5">
        <f t="shared" si="168"/>
        <v>1.2504550363164104E-2</v>
      </c>
      <c r="K926" s="5" cm="1">
        <f t="array" ref="K926">_xlfn.STDEV.S(IF($C:$C=C926,$I:$I))</f>
        <v>5.3924507863027986E-2</v>
      </c>
      <c r="L926" s="7">
        <f t="shared" si="171"/>
        <v>0.11492351501620714</v>
      </c>
      <c r="M926">
        <f t="shared" si="169"/>
        <v>0</v>
      </c>
      <c r="N926" s="9">
        <f t="shared" si="172"/>
        <v>-0.41537190607822599</v>
      </c>
      <c r="O926">
        <f>COUNTIFS($B$2:B926,B926,$C$2:C926,C926,$D$2:D926,"&lt;"&amp;D926,$F$2:F926,1)</f>
        <v>0</v>
      </c>
      <c r="P926">
        <f t="shared" si="170"/>
        <v>0</v>
      </c>
      <c r="Q926" t="str">
        <f t="shared" si="173"/>
        <v>Monitor</v>
      </c>
      <c r="R926">
        <v>0</v>
      </c>
      <c r="S926">
        <f t="shared" si="174"/>
        <v>0</v>
      </c>
      <c r="T926">
        <f t="shared" si="175"/>
        <v>0</v>
      </c>
      <c r="U926" t="str">
        <f t="shared" si="176"/>
        <v>Improved Enough</v>
      </c>
      <c r="V926" t="str">
        <f t="shared" si="177"/>
        <v>Close</v>
      </c>
      <c r="W926" t="str">
        <f t="shared" si="178"/>
        <v>Normal</v>
      </c>
      <c r="X926" t="str">
        <f t="shared" si="179"/>
        <v>Allowed</v>
      </c>
    </row>
    <row r="927" spans="1:24" x14ac:dyDescent="0.3">
      <c r="A927" t="s">
        <v>10</v>
      </c>
      <c r="B927" t="s">
        <v>32</v>
      </c>
      <c r="C927" t="s">
        <v>12</v>
      </c>
      <c r="D927" s="3">
        <v>45808</v>
      </c>
      <c r="E927" s="6">
        <v>0.15403422982885079</v>
      </c>
      <c r="F927">
        <v>0</v>
      </c>
      <c r="G927" t="s">
        <v>13</v>
      </c>
      <c r="H927" s="6">
        <v>0.27</v>
      </c>
      <c r="I927" s="8">
        <v>2.4170830232805519E-2</v>
      </c>
      <c r="J927" s="5">
        <f t="shared" si="168"/>
        <v>1.2504550363164104E-2</v>
      </c>
      <c r="K927" s="5" cm="1">
        <f t="array" ref="K927">_xlfn.STDEV.S(IF($C:$C=C927,$I:$I))</f>
        <v>5.3924507863027986E-2</v>
      </c>
      <c r="L927" s="7">
        <f t="shared" si="171"/>
        <v>0.21634467020588449</v>
      </c>
      <c r="M927">
        <f t="shared" si="169"/>
        <v>0</v>
      </c>
      <c r="N927" s="9">
        <f t="shared" si="172"/>
        <v>-0.42950285248573788</v>
      </c>
      <c r="O927">
        <f>COUNTIFS($B$2:B927,B927,$C$2:C927,C927,$D$2:D927,"&lt;"&amp;D927,$F$2:F927,1)</f>
        <v>0</v>
      </c>
      <c r="P927">
        <f t="shared" si="170"/>
        <v>0</v>
      </c>
      <c r="Q927" t="str">
        <f t="shared" si="173"/>
        <v>Monitor</v>
      </c>
      <c r="R927">
        <v>0</v>
      </c>
      <c r="S927">
        <f t="shared" si="174"/>
        <v>0</v>
      </c>
      <c r="T927">
        <f t="shared" si="175"/>
        <v>0</v>
      </c>
      <c r="U927" t="str">
        <f t="shared" si="176"/>
        <v>Improved Enough</v>
      </c>
      <c r="V927" t="str">
        <f t="shared" si="177"/>
        <v>Close</v>
      </c>
      <c r="W927" t="str">
        <f t="shared" si="178"/>
        <v>Normal</v>
      </c>
      <c r="X927" t="str">
        <f t="shared" si="179"/>
        <v>Allowed</v>
      </c>
    </row>
    <row r="928" spans="1:24" x14ac:dyDescent="0.3">
      <c r="A928" t="s">
        <v>10</v>
      </c>
      <c r="B928" t="s">
        <v>32</v>
      </c>
      <c r="C928" t="s">
        <v>12</v>
      </c>
      <c r="D928" s="3">
        <v>45838</v>
      </c>
      <c r="E928" s="6">
        <v>0.1661173368490442</v>
      </c>
      <c r="F928">
        <v>0</v>
      </c>
      <c r="G928" t="s">
        <v>13</v>
      </c>
      <c r="H928" s="6">
        <v>0.27</v>
      </c>
      <c r="I928" s="8">
        <v>-7.8444297956493769E-2</v>
      </c>
      <c r="J928" s="5">
        <f t="shared" si="168"/>
        <v>1.2504550363164104E-2</v>
      </c>
      <c r="K928" s="5" cm="1">
        <f t="array" ref="K928">_xlfn.STDEV.S(IF($C:$C=C928,$I:$I))</f>
        <v>5.3924507863027986E-2</v>
      </c>
      <c r="L928" s="7">
        <f t="shared" si="171"/>
        <v>-1.6865957970478709</v>
      </c>
      <c r="M928">
        <f t="shared" si="169"/>
        <v>1</v>
      </c>
      <c r="N928" s="9">
        <f t="shared" si="172"/>
        <v>-0.38475060426279928</v>
      </c>
      <c r="O928">
        <f>COUNTIFS($B$2:B928,B928,$C$2:C928,C928,$D$2:D928,"&lt;"&amp;D928,$F$2:F928,1)</f>
        <v>0</v>
      </c>
      <c r="P928">
        <f t="shared" si="170"/>
        <v>0</v>
      </c>
      <c r="Q928" t="str">
        <f t="shared" si="173"/>
        <v>Monitor</v>
      </c>
      <c r="R928">
        <v>0</v>
      </c>
      <c r="S928">
        <f t="shared" si="174"/>
        <v>0</v>
      </c>
      <c r="T928">
        <f t="shared" si="175"/>
        <v>0</v>
      </c>
      <c r="U928" t="str">
        <f t="shared" si="176"/>
        <v>Not Improved Enough</v>
      </c>
      <c r="V928" t="str">
        <f t="shared" si="177"/>
        <v>Close</v>
      </c>
      <c r="W928" t="str">
        <f t="shared" si="178"/>
        <v>Abnormal</v>
      </c>
      <c r="X928" t="str">
        <f t="shared" si="179"/>
        <v>Allowed</v>
      </c>
    </row>
    <row r="929" spans="1:24" x14ac:dyDescent="0.3">
      <c r="A929" t="s">
        <v>10</v>
      </c>
      <c r="B929" t="s">
        <v>32</v>
      </c>
      <c r="C929" t="s">
        <v>12</v>
      </c>
      <c r="D929" s="3">
        <v>45869</v>
      </c>
      <c r="E929" s="6">
        <v>0.17069701280227589</v>
      </c>
      <c r="F929">
        <v>0</v>
      </c>
      <c r="G929" t="s">
        <v>13</v>
      </c>
      <c r="H929" s="6">
        <v>0.27</v>
      </c>
      <c r="I929" s="8">
        <v>-2.7568922305763799E-2</v>
      </c>
      <c r="J929" s="5">
        <f t="shared" si="168"/>
        <v>1.2504550363164104E-2</v>
      </c>
      <c r="K929" s="5" cm="1">
        <f t="array" ref="K929">_xlfn.STDEV.S(IF($C:$C=C929,$I:$I))</f>
        <v>5.3924507863027986E-2</v>
      </c>
      <c r="L929" s="7">
        <f t="shared" si="171"/>
        <v>-0.74314025768612157</v>
      </c>
      <c r="M929">
        <f t="shared" si="169"/>
        <v>1</v>
      </c>
      <c r="N929" s="9">
        <f t="shared" si="172"/>
        <v>-0.3677888414730523</v>
      </c>
      <c r="O929">
        <f>COUNTIFS($B$2:B929,B929,$C$2:C929,C929,$D$2:D929,"&lt;"&amp;D929,$F$2:F929,1)</f>
        <v>0</v>
      </c>
      <c r="P929">
        <f t="shared" si="170"/>
        <v>0</v>
      </c>
      <c r="Q929" t="str">
        <f t="shared" si="173"/>
        <v>Monitor</v>
      </c>
      <c r="R929">
        <v>0</v>
      </c>
      <c r="S929">
        <f t="shared" si="174"/>
        <v>0</v>
      </c>
      <c r="T929">
        <f t="shared" si="175"/>
        <v>0</v>
      </c>
      <c r="U929" t="str">
        <f t="shared" si="176"/>
        <v>Not Improved Enough</v>
      </c>
      <c r="V929" t="str">
        <f t="shared" si="177"/>
        <v>Close</v>
      </c>
      <c r="W929" t="str">
        <f t="shared" si="178"/>
        <v>Abnormal</v>
      </c>
      <c r="X929" t="str">
        <f t="shared" si="179"/>
        <v>Allowed</v>
      </c>
    </row>
    <row r="930" spans="1:24" x14ac:dyDescent="0.3">
      <c r="A930" t="s">
        <v>10</v>
      </c>
      <c r="B930" t="s">
        <v>32</v>
      </c>
      <c r="C930" t="s">
        <v>12</v>
      </c>
      <c r="D930" s="3">
        <v>45900</v>
      </c>
      <c r="E930" s="6">
        <v>0.17378048780487809</v>
      </c>
      <c r="F930">
        <v>0</v>
      </c>
      <c r="G930" t="s">
        <v>13</v>
      </c>
      <c r="H930" s="6">
        <v>0.27</v>
      </c>
      <c r="I930" s="8">
        <v>-1.806402439024455E-2</v>
      </c>
      <c r="J930" s="5">
        <f t="shared" si="168"/>
        <v>1.2504550363164104E-2</v>
      </c>
      <c r="K930" s="5" cm="1">
        <f t="array" ref="K930">_xlfn.STDEV.S(IF($C:$C=C930,$I:$I))</f>
        <v>5.3924507863027986E-2</v>
      </c>
      <c r="L930" s="7">
        <f t="shared" si="171"/>
        <v>-0.56687721343799691</v>
      </c>
      <c r="M930">
        <f t="shared" si="169"/>
        <v>1</v>
      </c>
      <c r="N930" s="9">
        <f t="shared" si="172"/>
        <v>-0.35636856368563674</v>
      </c>
      <c r="O930">
        <f>COUNTIFS($B$2:B930,B930,$C$2:C930,C930,$D$2:D930,"&lt;"&amp;D930,$F$2:F930,1)</f>
        <v>0</v>
      </c>
      <c r="P930">
        <f t="shared" si="170"/>
        <v>0</v>
      </c>
      <c r="Q930" t="str">
        <f t="shared" si="173"/>
        <v>Monitor</v>
      </c>
      <c r="R930">
        <v>0</v>
      </c>
      <c r="S930">
        <f t="shared" si="174"/>
        <v>0</v>
      </c>
      <c r="T930">
        <f t="shared" si="175"/>
        <v>0</v>
      </c>
      <c r="U930" t="str">
        <f t="shared" si="176"/>
        <v>Not Improved Enough</v>
      </c>
      <c r="V930" t="str">
        <f t="shared" si="177"/>
        <v>Close</v>
      </c>
      <c r="W930" t="str">
        <f t="shared" si="178"/>
        <v>Abnormal</v>
      </c>
      <c r="X930" t="str">
        <f t="shared" si="179"/>
        <v>Allowed</v>
      </c>
    </row>
    <row r="931" spans="1:24" x14ac:dyDescent="0.3">
      <c r="A931" t="s">
        <v>10</v>
      </c>
      <c r="B931" t="s">
        <v>32</v>
      </c>
      <c r="C931" t="s">
        <v>12</v>
      </c>
      <c r="D931" s="3">
        <v>45930</v>
      </c>
      <c r="E931" s="6">
        <v>0.1791767554479419</v>
      </c>
      <c r="F931">
        <v>0</v>
      </c>
      <c r="G931" t="s">
        <v>13</v>
      </c>
      <c r="H931" s="6">
        <v>0.27</v>
      </c>
      <c r="I931" s="8">
        <v>-3.105220678815664E-2</v>
      </c>
      <c r="J931" s="5">
        <f t="shared" si="168"/>
        <v>1.2504550363164104E-2</v>
      </c>
      <c r="K931" s="5" cm="1">
        <f t="array" ref="K931">_xlfn.STDEV.S(IF($C:$C=C931,$I:$I))</f>
        <v>5.3924507863027986E-2</v>
      </c>
      <c r="L931" s="7">
        <f t="shared" si="171"/>
        <v>-0.80773583065343768</v>
      </c>
      <c r="M931">
        <f t="shared" si="169"/>
        <v>1</v>
      </c>
      <c r="N931" s="9">
        <f t="shared" si="172"/>
        <v>-0.33638238722984487</v>
      </c>
      <c r="O931">
        <f>COUNTIFS($B$2:B931,B931,$C$2:C931,C931,$D$2:D931,"&lt;"&amp;D931,$F$2:F931,1)</f>
        <v>0</v>
      </c>
      <c r="P931">
        <f t="shared" si="170"/>
        <v>0</v>
      </c>
      <c r="Q931" t="str">
        <f t="shared" si="173"/>
        <v>Monitor</v>
      </c>
      <c r="R931">
        <v>0</v>
      </c>
      <c r="S931">
        <f t="shared" si="174"/>
        <v>0</v>
      </c>
      <c r="T931">
        <f t="shared" si="175"/>
        <v>0</v>
      </c>
      <c r="U931" t="str">
        <f t="shared" si="176"/>
        <v>Not Improved Enough</v>
      </c>
      <c r="V931" t="str">
        <f t="shared" si="177"/>
        <v>Close</v>
      </c>
      <c r="W931" t="str">
        <f t="shared" si="178"/>
        <v>Abnormal</v>
      </c>
      <c r="X931" t="str">
        <f t="shared" si="179"/>
        <v>Allowed</v>
      </c>
    </row>
    <row r="932" spans="1:24" x14ac:dyDescent="0.3">
      <c r="A932" t="s">
        <v>10</v>
      </c>
      <c r="B932" t="s">
        <v>32</v>
      </c>
      <c r="C932" t="s">
        <v>12</v>
      </c>
      <c r="D932" s="3">
        <v>45961</v>
      </c>
      <c r="E932" s="6">
        <v>0.1892901618929016</v>
      </c>
      <c r="F932">
        <v>0</v>
      </c>
      <c r="G932" t="s">
        <v>13</v>
      </c>
      <c r="H932" s="6">
        <v>0.27</v>
      </c>
      <c r="I932" s="8">
        <v>-5.6443741375248047E-2</v>
      </c>
      <c r="J932" s="5">
        <f t="shared" si="168"/>
        <v>1.2504550363164104E-2</v>
      </c>
      <c r="K932" s="5" cm="1">
        <f t="array" ref="K932">_xlfn.STDEV.S(IF($C:$C=C932,$I:$I))</f>
        <v>5.3924507863027986E-2</v>
      </c>
      <c r="L932" s="7">
        <f t="shared" si="171"/>
        <v>-1.2786077142056747</v>
      </c>
      <c r="M932">
        <f t="shared" si="169"/>
        <v>1</v>
      </c>
      <c r="N932" s="9">
        <f t="shared" si="172"/>
        <v>-0.29892532632258673</v>
      </c>
      <c r="O932">
        <f>COUNTIFS($B$2:B932,B932,$C$2:C932,C932,$D$2:D932,"&lt;"&amp;D932,$F$2:F932,1)</f>
        <v>0</v>
      </c>
      <c r="P932">
        <f t="shared" si="170"/>
        <v>0</v>
      </c>
      <c r="Q932" t="str">
        <f t="shared" si="173"/>
        <v>Monitor</v>
      </c>
      <c r="R932">
        <v>0</v>
      </c>
      <c r="S932">
        <f t="shared" si="174"/>
        <v>0</v>
      </c>
      <c r="T932">
        <f t="shared" si="175"/>
        <v>0</v>
      </c>
      <c r="U932" t="str">
        <f t="shared" si="176"/>
        <v>Not Improved Enough</v>
      </c>
      <c r="V932" t="str">
        <f t="shared" si="177"/>
        <v>Close</v>
      </c>
      <c r="W932" t="str">
        <f t="shared" si="178"/>
        <v>Abnormal</v>
      </c>
      <c r="X932" t="str">
        <f t="shared" si="179"/>
        <v>Allowed</v>
      </c>
    </row>
    <row r="933" spans="1:24" x14ac:dyDescent="0.3">
      <c r="A933" t="s">
        <v>10</v>
      </c>
      <c r="B933" t="s">
        <v>32</v>
      </c>
      <c r="C933" t="s">
        <v>12</v>
      </c>
      <c r="D933" s="3">
        <v>45991</v>
      </c>
      <c r="E933" s="6">
        <v>0.18950064020486559</v>
      </c>
      <c r="F933">
        <v>0</v>
      </c>
      <c r="G933" t="s">
        <v>13</v>
      </c>
      <c r="H933" s="6">
        <v>0.27</v>
      </c>
      <c r="I933" s="8">
        <v>-1.1119347664940069E-3</v>
      </c>
      <c r="J933" s="5">
        <f t="shared" si="168"/>
        <v>1.2504550363164104E-2</v>
      </c>
      <c r="K933" s="5" cm="1">
        <f t="array" ref="K933">_xlfn.STDEV.S(IF($C:$C=C933,$I:$I))</f>
        <v>5.3924507863027986E-2</v>
      </c>
      <c r="L933" s="7">
        <f t="shared" si="171"/>
        <v>-0.2525101418495081</v>
      </c>
      <c r="M933">
        <f t="shared" si="169"/>
        <v>0</v>
      </c>
      <c r="N933" s="9">
        <f t="shared" si="172"/>
        <v>-0.29814577701901634</v>
      </c>
      <c r="O933">
        <f>COUNTIFS($B$2:B933,B933,$C$2:C933,C933,$D$2:D933,"&lt;"&amp;D933,$F$2:F933,1)</f>
        <v>0</v>
      </c>
      <c r="P933">
        <f t="shared" si="170"/>
        <v>0</v>
      </c>
      <c r="Q933" t="str">
        <f t="shared" si="173"/>
        <v>Monitor</v>
      </c>
      <c r="R933">
        <v>0</v>
      </c>
      <c r="S933">
        <f t="shared" si="174"/>
        <v>0</v>
      </c>
      <c r="T933">
        <f t="shared" si="175"/>
        <v>0</v>
      </c>
      <c r="U933" t="str">
        <f t="shared" si="176"/>
        <v>Not Improved Enough</v>
      </c>
      <c r="V933" t="str">
        <f t="shared" si="177"/>
        <v>Close</v>
      </c>
      <c r="W933" t="str">
        <f t="shared" si="178"/>
        <v>Normal</v>
      </c>
      <c r="X933" t="str">
        <f t="shared" si="179"/>
        <v>Allowed</v>
      </c>
    </row>
    <row r="934" spans="1:24" x14ac:dyDescent="0.3">
      <c r="A934" t="s">
        <v>10</v>
      </c>
      <c r="B934" t="s">
        <v>32</v>
      </c>
      <c r="C934" t="s">
        <v>14</v>
      </c>
      <c r="D934" s="3">
        <v>45535</v>
      </c>
      <c r="E934" s="6">
        <v>7.5512405609492989E-2</v>
      </c>
      <c r="F934">
        <v>0</v>
      </c>
      <c r="G934" t="s">
        <v>13</v>
      </c>
      <c r="H934" s="6">
        <v>5.3999999999999999E-2</v>
      </c>
      <c r="I934" s="8">
        <v>-6.7629242386523875E-2</v>
      </c>
      <c r="J934" s="5">
        <f t="shared" si="168"/>
        <v>1.0109678696460058E-2</v>
      </c>
      <c r="K934" s="5" cm="1">
        <f t="array" ref="K934">_xlfn.STDEV.S(IF($C:$C=C934,$I:$I))</f>
        <v>0.17556416633612926</v>
      </c>
      <c r="L934" s="7">
        <f t="shared" si="171"/>
        <v>-0.44279492054288344</v>
      </c>
      <c r="M934">
        <f t="shared" si="169"/>
        <v>0</v>
      </c>
      <c r="N934" s="9">
        <f t="shared" si="172"/>
        <v>0.39837788165727755</v>
      </c>
      <c r="O934">
        <f>COUNTIFS($B$2:B934,B934,$C$2:C934,C934,$D$2:D934,"&lt;"&amp;D934,$F$2:F934,1)</f>
        <v>0</v>
      </c>
      <c r="P934">
        <f t="shared" si="170"/>
        <v>0</v>
      </c>
      <c r="Q934" t="str">
        <f t="shared" si="173"/>
        <v>Monitor</v>
      </c>
      <c r="R934">
        <v>0</v>
      </c>
      <c r="S934">
        <f t="shared" si="174"/>
        <v>0</v>
      </c>
      <c r="T934">
        <f t="shared" si="175"/>
        <v>0</v>
      </c>
      <c r="U934" t="str">
        <f t="shared" si="176"/>
        <v>Not Improved Enough</v>
      </c>
      <c r="V934" t="str">
        <f t="shared" si="177"/>
        <v>Far</v>
      </c>
      <c r="W934" t="str">
        <f t="shared" si="178"/>
        <v>Normal</v>
      </c>
      <c r="X934" t="str">
        <f t="shared" si="179"/>
        <v>Allowed</v>
      </c>
    </row>
    <row r="935" spans="1:24" x14ac:dyDescent="0.3">
      <c r="A935" t="s">
        <v>10</v>
      </c>
      <c r="B935" t="s">
        <v>32</v>
      </c>
      <c r="C935" t="s">
        <v>14</v>
      </c>
      <c r="D935" s="3">
        <v>45565</v>
      </c>
      <c r="E935" s="6">
        <v>7.6759061833688705E-2</v>
      </c>
      <c r="F935">
        <v>0</v>
      </c>
      <c r="G935" t="s">
        <v>13</v>
      </c>
      <c r="H935" s="6">
        <v>5.3999999999999999E-2</v>
      </c>
      <c r="I935" s="8">
        <v>-1.6509290283277561E-2</v>
      </c>
      <c r="J935" s="5">
        <f t="shared" si="168"/>
        <v>1.0109678696460058E-2</v>
      </c>
      <c r="K935" s="5" cm="1">
        <f t="array" ref="K935">_xlfn.STDEV.S(IF($C:$C=C935,$I:$I))</f>
        <v>0.17556416633612926</v>
      </c>
      <c r="L935" s="7">
        <f t="shared" si="171"/>
        <v>-0.15161960174021977</v>
      </c>
      <c r="M935">
        <f t="shared" si="169"/>
        <v>0</v>
      </c>
      <c r="N935" s="9">
        <f t="shared" si="172"/>
        <v>0.42146410803127232</v>
      </c>
      <c r="O935">
        <f>COUNTIFS($B$2:B935,B935,$C$2:C935,C935,$D$2:D935,"&lt;"&amp;D935,$F$2:F935,1)</f>
        <v>0</v>
      </c>
      <c r="P935">
        <f t="shared" si="170"/>
        <v>0</v>
      </c>
      <c r="Q935" t="str">
        <f t="shared" si="173"/>
        <v>Monitor</v>
      </c>
      <c r="R935">
        <v>0</v>
      </c>
      <c r="S935">
        <f t="shared" si="174"/>
        <v>0</v>
      </c>
      <c r="T935">
        <f t="shared" si="175"/>
        <v>0</v>
      </c>
      <c r="U935" t="str">
        <f t="shared" si="176"/>
        <v>Not Improved Enough</v>
      </c>
      <c r="V935" t="str">
        <f t="shared" si="177"/>
        <v>Far</v>
      </c>
      <c r="W935" t="str">
        <f t="shared" si="178"/>
        <v>Normal</v>
      </c>
      <c r="X935" t="str">
        <f t="shared" si="179"/>
        <v>Allowed</v>
      </c>
    </row>
    <row r="936" spans="1:24" x14ac:dyDescent="0.3">
      <c r="A936" t="s">
        <v>10</v>
      </c>
      <c r="B936" t="s">
        <v>32</v>
      </c>
      <c r="C936" t="s">
        <v>14</v>
      </c>
      <c r="D936" s="3">
        <v>45596</v>
      </c>
      <c r="E936" s="6">
        <v>6.1767838125665601E-2</v>
      </c>
      <c r="F936">
        <v>0</v>
      </c>
      <c r="G936" t="s">
        <v>13</v>
      </c>
      <c r="H936" s="6">
        <v>5.3999999999999999E-2</v>
      </c>
      <c r="I936" s="8">
        <v>0.19530233108507869</v>
      </c>
      <c r="J936" s="5">
        <f t="shared" si="168"/>
        <v>1.0109678696460058E-2</v>
      </c>
      <c r="K936" s="5" cm="1">
        <f t="array" ref="K936">_xlfn.STDEV.S(IF($C:$C=C936,$I:$I))</f>
        <v>0.17556416633612926</v>
      </c>
      <c r="L936" s="7">
        <f t="shared" si="171"/>
        <v>1.0548431166417809</v>
      </c>
      <c r="M936">
        <f t="shared" si="169"/>
        <v>-1</v>
      </c>
      <c r="N936" s="9">
        <f t="shared" si="172"/>
        <v>0.14384885417899262</v>
      </c>
      <c r="O936">
        <f>COUNTIFS($B$2:B936,B936,$C$2:C936,C936,$D$2:D936,"&lt;"&amp;D936,$F$2:F936,1)</f>
        <v>0</v>
      </c>
      <c r="P936">
        <f t="shared" si="170"/>
        <v>0</v>
      </c>
      <c r="Q936" t="str">
        <f t="shared" si="173"/>
        <v>Monitor</v>
      </c>
      <c r="R936">
        <v>0</v>
      </c>
      <c r="S936">
        <f t="shared" si="174"/>
        <v>0</v>
      </c>
      <c r="T936">
        <f t="shared" si="175"/>
        <v>0</v>
      </c>
      <c r="U936" t="str">
        <f t="shared" si="176"/>
        <v>Improved Enough</v>
      </c>
      <c r="V936" t="str">
        <f t="shared" si="177"/>
        <v>Far</v>
      </c>
      <c r="W936" t="str">
        <f t="shared" si="178"/>
        <v>Normal</v>
      </c>
      <c r="X936" t="str">
        <f t="shared" si="179"/>
        <v>Allowed</v>
      </c>
    </row>
    <row r="937" spans="1:24" x14ac:dyDescent="0.3">
      <c r="A937" t="s">
        <v>10</v>
      </c>
      <c r="B937" t="s">
        <v>32</v>
      </c>
      <c r="C937" t="s">
        <v>14</v>
      </c>
      <c r="D937" s="3">
        <v>45626</v>
      </c>
      <c r="E937" s="6">
        <v>5.8885383999999999E-2</v>
      </c>
      <c r="F937">
        <v>0</v>
      </c>
      <c r="G937" t="s">
        <v>13</v>
      </c>
      <c r="H937" s="6">
        <v>5.3999999999999999E-2</v>
      </c>
      <c r="I937" s="8">
        <v>4.6665938344827601E-2</v>
      </c>
      <c r="J937" s="5">
        <f t="shared" si="168"/>
        <v>1.0109678696460058E-2</v>
      </c>
      <c r="K937" s="5" cm="1">
        <f t="array" ref="K937">_xlfn.STDEV.S(IF($C:$C=C937,$I:$I))</f>
        <v>0.17556416633612926</v>
      </c>
      <c r="L937" s="7">
        <f t="shared" si="171"/>
        <v>0.20822164574505569</v>
      </c>
      <c r="M937">
        <f t="shared" si="169"/>
        <v>0</v>
      </c>
      <c r="N937" s="9">
        <f t="shared" si="172"/>
        <v>9.0470074074074064E-2</v>
      </c>
      <c r="O937">
        <f>COUNTIFS($B$2:B937,B937,$C$2:C937,C937,$D$2:D937,"&lt;"&amp;D937,$F$2:F937,1)</f>
        <v>0</v>
      </c>
      <c r="P937">
        <f t="shared" si="170"/>
        <v>0</v>
      </c>
      <c r="Q937" t="str">
        <f t="shared" si="173"/>
        <v>Monitor</v>
      </c>
      <c r="R937">
        <v>0</v>
      </c>
      <c r="S937">
        <f t="shared" si="174"/>
        <v>0</v>
      </c>
      <c r="T937">
        <f t="shared" si="175"/>
        <v>0</v>
      </c>
      <c r="U937" t="str">
        <f t="shared" si="176"/>
        <v>Improved Enough</v>
      </c>
      <c r="V937" t="str">
        <f t="shared" si="177"/>
        <v>Far</v>
      </c>
      <c r="W937" t="str">
        <f t="shared" si="178"/>
        <v>Normal</v>
      </c>
      <c r="X937" t="str">
        <f t="shared" si="179"/>
        <v>Allowed</v>
      </c>
    </row>
    <row r="938" spans="1:24" x14ac:dyDescent="0.3">
      <c r="A938" t="s">
        <v>10</v>
      </c>
      <c r="B938" t="s">
        <v>32</v>
      </c>
      <c r="C938" t="s">
        <v>14</v>
      </c>
      <c r="D938" s="3">
        <v>45657</v>
      </c>
      <c r="E938" s="6">
        <v>5.9071729957805907E-2</v>
      </c>
      <c r="F938">
        <v>0</v>
      </c>
      <c r="G938" t="s">
        <v>13</v>
      </c>
      <c r="H938" s="6">
        <v>5.3999999999999999E-2</v>
      </c>
      <c r="I938" s="8">
        <v>-3.164553665913233E-3</v>
      </c>
      <c r="J938" s="5">
        <f t="shared" si="168"/>
        <v>1.0109678696460058E-2</v>
      </c>
      <c r="K938" s="5" cm="1">
        <f t="array" ref="K938">_xlfn.STDEV.S(IF($C:$C=C938,$I:$I))</f>
        <v>0.17556416633612926</v>
      </c>
      <c r="L938" s="7">
        <f t="shared" si="171"/>
        <v>-7.5609007460889777E-2</v>
      </c>
      <c r="M938">
        <f t="shared" si="169"/>
        <v>0</v>
      </c>
      <c r="N938" s="9">
        <f t="shared" si="172"/>
        <v>9.3920925144553857E-2</v>
      </c>
      <c r="O938">
        <f>COUNTIFS($B$2:B938,B938,$C$2:C938,C938,$D$2:D938,"&lt;"&amp;D938,$F$2:F938,1)</f>
        <v>0</v>
      </c>
      <c r="P938">
        <f t="shared" si="170"/>
        <v>0</v>
      </c>
      <c r="Q938" t="str">
        <f t="shared" si="173"/>
        <v>Monitor</v>
      </c>
      <c r="R938">
        <v>0</v>
      </c>
      <c r="S938">
        <f t="shared" si="174"/>
        <v>0</v>
      </c>
      <c r="T938">
        <f t="shared" si="175"/>
        <v>0</v>
      </c>
      <c r="U938" t="str">
        <f t="shared" si="176"/>
        <v>Not Improved Enough</v>
      </c>
      <c r="V938" t="str">
        <f t="shared" si="177"/>
        <v>Far</v>
      </c>
      <c r="W938" t="str">
        <f t="shared" si="178"/>
        <v>Normal</v>
      </c>
      <c r="X938" t="str">
        <f t="shared" si="179"/>
        <v>Allowed</v>
      </c>
    </row>
    <row r="939" spans="1:24" x14ac:dyDescent="0.3">
      <c r="A939" t="s">
        <v>10</v>
      </c>
      <c r="B939" t="s">
        <v>32</v>
      </c>
      <c r="C939" t="s">
        <v>14</v>
      </c>
      <c r="D939" s="3">
        <v>45688</v>
      </c>
      <c r="E939" s="6">
        <v>5.9190031152647968E-2</v>
      </c>
      <c r="F939">
        <v>0</v>
      </c>
      <c r="G939" t="s">
        <v>13</v>
      </c>
      <c r="H939" s="6">
        <v>5.3999999999999999E-2</v>
      </c>
      <c r="I939" s="8">
        <v>-2.002670226969165E-3</v>
      </c>
      <c r="J939" s="5">
        <f t="shared" si="168"/>
        <v>1.0109678696460058E-2</v>
      </c>
      <c r="K939" s="5" cm="1">
        <f t="array" ref="K939">_xlfn.STDEV.S(IF($C:$C=C939,$I:$I))</f>
        <v>0.17556416633612926</v>
      </c>
      <c r="L939" s="7">
        <f t="shared" si="171"/>
        <v>-6.8991008679067961E-2</v>
      </c>
      <c r="M939">
        <f t="shared" si="169"/>
        <v>0</v>
      </c>
      <c r="N939" s="9">
        <f t="shared" si="172"/>
        <v>9.6111688011999416E-2</v>
      </c>
      <c r="O939">
        <f>COUNTIFS($B$2:B939,B939,$C$2:C939,C939,$D$2:D939,"&lt;"&amp;D939,$F$2:F939,1)</f>
        <v>0</v>
      </c>
      <c r="P939">
        <f t="shared" si="170"/>
        <v>0</v>
      </c>
      <c r="Q939" t="str">
        <f t="shared" si="173"/>
        <v>Monitor</v>
      </c>
      <c r="R939">
        <v>0</v>
      </c>
      <c r="S939">
        <f t="shared" si="174"/>
        <v>0</v>
      </c>
      <c r="T939">
        <f t="shared" si="175"/>
        <v>0</v>
      </c>
      <c r="U939" t="str">
        <f t="shared" si="176"/>
        <v>Not Improved Enough</v>
      </c>
      <c r="V939" t="str">
        <f t="shared" si="177"/>
        <v>Far</v>
      </c>
      <c r="W939" t="str">
        <f t="shared" si="178"/>
        <v>Normal</v>
      </c>
      <c r="X939" t="str">
        <f t="shared" si="179"/>
        <v>Allowed</v>
      </c>
    </row>
    <row r="940" spans="1:24" x14ac:dyDescent="0.3">
      <c r="A940" t="s">
        <v>10</v>
      </c>
      <c r="B940" t="s">
        <v>32</v>
      </c>
      <c r="C940" t="s">
        <v>14</v>
      </c>
      <c r="D940" s="3">
        <v>45716</v>
      </c>
      <c r="E940" s="6">
        <v>6.5775950668037E-2</v>
      </c>
      <c r="F940">
        <v>0</v>
      </c>
      <c r="G940" t="s">
        <v>13</v>
      </c>
      <c r="H940" s="6">
        <v>5.3999999999999999E-2</v>
      </c>
      <c r="I940" s="8">
        <v>-0.1112673770757831</v>
      </c>
      <c r="J940" s="5">
        <f t="shared" si="168"/>
        <v>1.0109678696460058E-2</v>
      </c>
      <c r="K940" s="5" cm="1">
        <f t="array" ref="K940">_xlfn.STDEV.S(IF($C:$C=C940,$I:$I))</f>
        <v>0.17556416633612926</v>
      </c>
      <c r="L940" s="7">
        <f t="shared" si="171"/>
        <v>-0.69135438230520641</v>
      </c>
      <c r="M940">
        <f t="shared" si="169"/>
        <v>1</v>
      </c>
      <c r="N940" s="9">
        <f t="shared" si="172"/>
        <v>0.21807316051920372</v>
      </c>
      <c r="O940">
        <f>COUNTIFS($B$2:B940,B940,$C$2:C940,C940,$D$2:D940,"&lt;"&amp;D940,$F$2:F940,1)</f>
        <v>0</v>
      </c>
      <c r="P940">
        <f t="shared" si="170"/>
        <v>0</v>
      </c>
      <c r="Q940" t="str">
        <f t="shared" si="173"/>
        <v>Intervene</v>
      </c>
      <c r="R940">
        <v>0</v>
      </c>
      <c r="S940">
        <f t="shared" si="174"/>
        <v>1</v>
      </c>
      <c r="T940">
        <f t="shared" si="175"/>
        <v>1</v>
      </c>
      <c r="U940" t="str">
        <f t="shared" si="176"/>
        <v>Not Improved Enough</v>
      </c>
      <c r="V940" t="str">
        <f t="shared" si="177"/>
        <v>Far</v>
      </c>
      <c r="W940" t="str">
        <f t="shared" si="178"/>
        <v>Abnormal</v>
      </c>
      <c r="X940" t="str">
        <f t="shared" si="179"/>
        <v>Allowed</v>
      </c>
    </row>
    <row r="941" spans="1:24" x14ac:dyDescent="0.3">
      <c r="A941" t="s">
        <v>10</v>
      </c>
      <c r="B941" t="s">
        <v>32</v>
      </c>
      <c r="C941" t="s">
        <v>14</v>
      </c>
      <c r="D941" s="3">
        <v>45747</v>
      </c>
      <c r="E941" s="6">
        <v>6.5439672801635998E-2</v>
      </c>
      <c r="F941">
        <v>0</v>
      </c>
      <c r="G941" t="s">
        <v>13</v>
      </c>
      <c r="H941" s="6">
        <v>5.3999999999999999E-2</v>
      </c>
      <c r="I941" s="8">
        <v>5.1124744376277401E-3</v>
      </c>
      <c r="J941" s="5">
        <f t="shared" si="168"/>
        <v>1.0109678696460058E-2</v>
      </c>
      <c r="K941" s="5" cm="1">
        <f t="array" ref="K941">_xlfn.STDEV.S(IF($C:$C=C941,$I:$I))</f>
        <v>0.17556416633612926</v>
      </c>
      <c r="L941" s="7">
        <f t="shared" si="171"/>
        <v>-2.8463691441822123E-2</v>
      </c>
      <c r="M941">
        <f t="shared" si="169"/>
        <v>0</v>
      </c>
      <c r="N941" s="9">
        <f t="shared" si="172"/>
        <v>0.21184579262288886</v>
      </c>
      <c r="O941">
        <f>COUNTIFS($B$2:B941,B941,$C$2:C941,C941,$D$2:D941,"&lt;"&amp;D941,$F$2:F941,1)</f>
        <v>0</v>
      </c>
      <c r="P941">
        <f t="shared" si="170"/>
        <v>0</v>
      </c>
      <c r="Q941" t="str">
        <f t="shared" si="173"/>
        <v>Monitor</v>
      </c>
      <c r="R941">
        <v>0</v>
      </c>
      <c r="S941">
        <f t="shared" si="174"/>
        <v>0</v>
      </c>
      <c r="T941">
        <f t="shared" si="175"/>
        <v>0</v>
      </c>
      <c r="U941" t="str">
        <f t="shared" si="176"/>
        <v>Not Improved Enough</v>
      </c>
      <c r="V941" t="str">
        <f t="shared" si="177"/>
        <v>Far</v>
      </c>
      <c r="W941" t="str">
        <f t="shared" si="178"/>
        <v>Normal</v>
      </c>
      <c r="X941" t="str">
        <f t="shared" si="179"/>
        <v>Allowed</v>
      </c>
    </row>
    <row r="942" spans="1:24" x14ac:dyDescent="0.3">
      <c r="A942" t="s">
        <v>10</v>
      </c>
      <c r="B942" t="s">
        <v>32</v>
      </c>
      <c r="C942" t="s">
        <v>14</v>
      </c>
      <c r="D942" s="3">
        <v>45777</v>
      </c>
      <c r="E942" s="6">
        <v>6.7882472137791292E-2</v>
      </c>
      <c r="F942">
        <v>0</v>
      </c>
      <c r="G942" t="s">
        <v>13</v>
      </c>
      <c r="H942" s="6">
        <v>5.3999999999999999E-2</v>
      </c>
      <c r="I942" s="8">
        <v>-3.7329027355623073E-2</v>
      </c>
      <c r="J942" s="5">
        <f t="shared" si="168"/>
        <v>1.0109678696460058E-2</v>
      </c>
      <c r="K942" s="5" cm="1">
        <f t="array" ref="K942">_xlfn.STDEV.S(IF($C:$C=C942,$I:$I))</f>
        <v>0.17556416633612926</v>
      </c>
      <c r="L942" s="7">
        <f t="shared" si="171"/>
        <v>-0.27020722418525078</v>
      </c>
      <c r="M942">
        <f t="shared" si="169"/>
        <v>0</v>
      </c>
      <c r="N942" s="9">
        <f t="shared" si="172"/>
        <v>0.2570828173665054</v>
      </c>
      <c r="O942">
        <f>COUNTIFS($B$2:B942,B942,$C$2:C942,C942,$D$2:D942,"&lt;"&amp;D942,$F$2:F942,1)</f>
        <v>0</v>
      </c>
      <c r="P942">
        <f t="shared" si="170"/>
        <v>0</v>
      </c>
      <c r="Q942" t="str">
        <f t="shared" si="173"/>
        <v>Monitor</v>
      </c>
      <c r="R942">
        <v>0</v>
      </c>
      <c r="S942">
        <f t="shared" si="174"/>
        <v>0</v>
      </c>
      <c r="T942">
        <f t="shared" si="175"/>
        <v>0</v>
      </c>
      <c r="U942" t="str">
        <f t="shared" si="176"/>
        <v>Not Improved Enough</v>
      </c>
      <c r="V942" t="str">
        <f t="shared" si="177"/>
        <v>Far</v>
      </c>
      <c r="W942" t="str">
        <f t="shared" si="178"/>
        <v>Normal</v>
      </c>
      <c r="X942" t="str">
        <f t="shared" si="179"/>
        <v>Allowed</v>
      </c>
    </row>
    <row r="943" spans="1:24" x14ac:dyDescent="0.3">
      <c r="A943" t="s">
        <v>10</v>
      </c>
      <c r="B943" t="s">
        <v>32</v>
      </c>
      <c r="C943" t="s">
        <v>14</v>
      </c>
      <c r="D943" s="3">
        <v>45808</v>
      </c>
      <c r="E943" s="6">
        <v>5.0359712230215833E-2</v>
      </c>
      <c r="F943">
        <v>0</v>
      </c>
      <c r="G943" t="s">
        <v>13</v>
      </c>
      <c r="H943" s="6">
        <v>5.3999999999999999E-2</v>
      </c>
      <c r="I943" s="8">
        <v>0.25813379147428323</v>
      </c>
      <c r="J943" s="5">
        <f t="shared" si="168"/>
        <v>1.0109678696460058E-2</v>
      </c>
      <c r="K943" s="5" cm="1">
        <f t="array" ref="K943">_xlfn.STDEV.S(IF($C:$C=C943,$I:$I))</f>
        <v>0.17556416633612926</v>
      </c>
      <c r="L943" s="7">
        <f t="shared" si="171"/>
        <v>1.4127262866555839</v>
      </c>
      <c r="M943">
        <f t="shared" si="169"/>
        <v>-1</v>
      </c>
      <c r="N943" s="9">
        <f t="shared" si="172"/>
        <v>-6.7412736477484553E-2</v>
      </c>
      <c r="O943">
        <f>COUNTIFS($B$2:B943,B943,$C$2:C943,C943,$D$2:D943,"&lt;"&amp;D943,$F$2:F943,1)</f>
        <v>0</v>
      </c>
      <c r="P943">
        <f t="shared" si="170"/>
        <v>0</v>
      </c>
      <c r="Q943" t="str">
        <f t="shared" si="173"/>
        <v>Monitor</v>
      </c>
      <c r="R943">
        <v>0</v>
      </c>
      <c r="S943">
        <f t="shared" si="174"/>
        <v>0</v>
      </c>
      <c r="T943">
        <f t="shared" si="175"/>
        <v>0</v>
      </c>
      <c r="U943" t="str">
        <f t="shared" si="176"/>
        <v>Improved Enough</v>
      </c>
      <c r="V943" t="str">
        <f t="shared" si="177"/>
        <v>Close</v>
      </c>
      <c r="W943" t="str">
        <f t="shared" si="178"/>
        <v>Normal</v>
      </c>
      <c r="X943" t="str">
        <f t="shared" si="179"/>
        <v>Allowed</v>
      </c>
    </row>
    <row r="944" spans="1:24" x14ac:dyDescent="0.3">
      <c r="A944" t="s">
        <v>10</v>
      </c>
      <c r="B944" t="s">
        <v>32</v>
      </c>
      <c r="C944" t="s">
        <v>14</v>
      </c>
      <c r="D944" s="3">
        <v>45838</v>
      </c>
      <c r="E944" s="6">
        <v>4.49438202247191E-2</v>
      </c>
      <c r="F944">
        <v>0</v>
      </c>
      <c r="G944" t="s">
        <v>13</v>
      </c>
      <c r="H944" s="6">
        <v>5.3999999999999999E-2</v>
      </c>
      <c r="I944" s="8">
        <v>0.10754414125200661</v>
      </c>
      <c r="J944" s="5">
        <f t="shared" si="168"/>
        <v>1.0109678696460058E-2</v>
      </c>
      <c r="K944" s="5" cm="1">
        <f t="array" ref="K944">_xlfn.STDEV.S(IF($C:$C=C944,$I:$I))</f>
        <v>0.17556416633612926</v>
      </c>
      <c r="L944" s="7">
        <f t="shared" si="171"/>
        <v>0.55497921124178495</v>
      </c>
      <c r="M944">
        <f t="shared" si="169"/>
        <v>-1</v>
      </c>
      <c r="N944" s="9">
        <f t="shared" si="172"/>
        <v>-0.1677070328755722</v>
      </c>
      <c r="O944">
        <f>COUNTIFS($B$2:B944,B944,$C$2:C944,C944,$D$2:D944,"&lt;"&amp;D944,$F$2:F944,1)</f>
        <v>0</v>
      </c>
      <c r="P944">
        <f t="shared" si="170"/>
        <v>0</v>
      </c>
      <c r="Q944" t="str">
        <f t="shared" si="173"/>
        <v>Monitor</v>
      </c>
      <c r="R944">
        <v>0</v>
      </c>
      <c r="S944">
        <f t="shared" si="174"/>
        <v>0</v>
      </c>
      <c r="T944">
        <f t="shared" si="175"/>
        <v>0</v>
      </c>
      <c r="U944" t="str">
        <f t="shared" si="176"/>
        <v>Improved Enough</v>
      </c>
      <c r="V944" t="str">
        <f t="shared" si="177"/>
        <v>Close</v>
      </c>
      <c r="W944" t="str">
        <f t="shared" si="178"/>
        <v>Normal</v>
      </c>
      <c r="X944" t="str">
        <f t="shared" si="179"/>
        <v>Allowed</v>
      </c>
    </row>
    <row r="945" spans="1:24" x14ac:dyDescent="0.3">
      <c r="A945" t="s">
        <v>10</v>
      </c>
      <c r="B945" t="s">
        <v>32</v>
      </c>
      <c r="C945" t="s">
        <v>14</v>
      </c>
      <c r="D945" s="3">
        <v>45869</v>
      </c>
      <c r="E945" s="6">
        <v>4.6464646464646472E-2</v>
      </c>
      <c r="F945">
        <v>0</v>
      </c>
      <c r="G945" t="s">
        <v>13</v>
      </c>
      <c r="H945" s="6">
        <v>5.3999999999999999E-2</v>
      </c>
      <c r="I945" s="8">
        <v>-3.3838383838384042E-2</v>
      </c>
      <c r="J945" s="5">
        <f t="shared" si="168"/>
        <v>1.0109678696460058E-2</v>
      </c>
      <c r="K945" s="5" cm="1">
        <f t="array" ref="K945">_xlfn.STDEV.S(IF($C:$C=C945,$I:$I))</f>
        <v>0.17556416633612926</v>
      </c>
      <c r="L945" s="7">
        <f t="shared" si="171"/>
        <v>-0.25032478695397681</v>
      </c>
      <c r="M945">
        <f t="shared" si="169"/>
        <v>0</v>
      </c>
      <c r="N945" s="9">
        <f t="shared" si="172"/>
        <v>-0.13954358398802827</v>
      </c>
      <c r="O945">
        <f>COUNTIFS($B$2:B945,B945,$C$2:C945,C945,$D$2:D945,"&lt;"&amp;D945,$F$2:F945,1)</f>
        <v>0</v>
      </c>
      <c r="P945">
        <f t="shared" si="170"/>
        <v>0</v>
      </c>
      <c r="Q945" t="str">
        <f t="shared" si="173"/>
        <v>Monitor</v>
      </c>
      <c r="R945">
        <v>0</v>
      </c>
      <c r="S945">
        <f t="shared" si="174"/>
        <v>0</v>
      </c>
      <c r="T945">
        <f t="shared" si="175"/>
        <v>0</v>
      </c>
      <c r="U945" t="str">
        <f t="shared" si="176"/>
        <v>Not Improved Enough</v>
      </c>
      <c r="V945" t="str">
        <f t="shared" si="177"/>
        <v>Close</v>
      </c>
      <c r="W945" t="str">
        <f t="shared" si="178"/>
        <v>Normal</v>
      </c>
      <c r="X945" t="str">
        <f t="shared" si="179"/>
        <v>Allowed</v>
      </c>
    </row>
    <row r="946" spans="1:24" x14ac:dyDescent="0.3">
      <c r="A946" t="s">
        <v>10</v>
      </c>
      <c r="B946" t="s">
        <v>32</v>
      </c>
      <c r="C946" t="s">
        <v>14</v>
      </c>
      <c r="D946" s="3">
        <v>45900</v>
      </c>
      <c r="E946" s="6">
        <v>5.9701492537313432E-2</v>
      </c>
      <c r="F946">
        <v>0</v>
      </c>
      <c r="G946" t="s">
        <v>13</v>
      </c>
      <c r="H946" s="6">
        <v>5.3999999999999999E-2</v>
      </c>
      <c r="I946" s="8">
        <v>-0.28487994808565842</v>
      </c>
      <c r="J946" s="5">
        <f t="shared" si="168"/>
        <v>1.0109678696460058E-2</v>
      </c>
      <c r="K946" s="5" cm="1">
        <f t="array" ref="K946">_xlfn.STDEV.S(IF($C:$C=C946,$I:$I))</f>
        <v>0.17556416633612926</v>
      </c>
      <c r="L946" s="7">
        <f t="shared" si="171"/>
        <v>-1.6802382452996771</v>
      </c>
      <c r="M946">
        <f t="shared" si="169"/>
        <v>1</v>
      </c>
      <c r="N946" s="9">
        <f t="shared" si="172"/>
        <v>0.10558319513543393</v>
      </c>
      <c r="O946">
        <f>COUNTIFS($B$2:B946,B946,$C$2:C946,C946,$D$2:D946,"&lt;"&amp;D946,$F$2:F946,1)</f>
        <v>0</v>
      </c>
      <c r="P946">
        <f t="shared" si="170"/>
        <v>0</v>
      </c>
      <c r="Q946" t="str">
        <f t="shared" si="173"/>
        <v>Intervene</v>
      </c>
      <c r="R946">
        <v>0</v>
      </c>
      <c r="S946">
        <f t="shared" si="174"/>
        <v>1</v>
      </c>
      <c r="T946">
        <f t="shared" si="175"/>
        <v>1</v>
      </c>
      <c r="U946" t="str">
        <f t="shared" si="176"/>
        <v>Not Improved Enough</v>
      </c>
      <c r="V946" t="str">
        <f t="shared" si="177"/>
        <v>Far</v>
      </c>
      <c r="W946" t="str">
        <f t="shared" si="178"/>
        <v>Abnormal</v>
      </c>
      <c r="X946" t="str">
        <f t="shared" si="179"/>
        <v>Allowed</v>
      </c>
    </row>
    <row r="947" spans="1:24" x14ac:dyDescent="0.3">
      <c r="A947" t="s">
        <v>10</v>
      </c>
      <c r="B947" t="s">
        <v>32</v>
      </c>
      <c r="C947" t="s">
        <v>14</v>
      </c>
      <c r="D947" s="3">
        <v>45930</v>
      </c>
      <c r="E947" s="6">
        <v>5.3053053053053051E-2</v>
      </c>
      <c r="F947">
        <v>0</v>
      </c>
      <c r="G947" t="s">
        <v>13</v>
      </c>
      <c r="H947" s="6">
        <v>5.3999999999999999E-2</v>
      </c>
      <c r="I947" s="8">
        <v>0.11136136136136141</v>
      </c>
      <c r="J947" s="5">
        <f t="shared" si="168"/>
        <v>1.0109678696460058E-2</v>
      </c>
      <c r="K947" s="5" cm="1">
        <f t="array" ref="K947">_xlfn.STDEV.S(IF($C:$C=C947,$I:$I))</f>
        <v>0.17556416633612926</v>
      </c>
      <c r="L947" s="7">
        <f t="shared" si="171"/>
        <v>0.57672180364555869</v>
      </c>
      <c r="M947">
        <f t="shared" si="169"/>
        <v>-1</v>
      </c>
      <c r="N947" s="9">
        <f t="shared" si="172"/>
        <v>-1.7536054573091639E-2</v>
      </c>
      <c r="O947">
        <f>COUNTIFS($B$2:B947,B947,$C$2:C947,C947,$D$2:D947,"&lt;"&amp;D947,$F$2:F947,1)</f>
        <v>0</v>
      </c>
      <c r="P947">
        <f t="shared" si="170"/>
        <v>0</v>
      </c>
      <c r="Q947" t="str">
        <f t="shared" si="173"/>
        <v>Monitor</v>
      </c>
      <c r="R947">
        <v>0</v>
      </c>
      <c r="S947">
        <f t="shared" si="174"/>
        <v>0</v>
      </c>
      <c r="T947">
        <f t="shared" si="175"/>
        <v>0</v>
      </c>
      <c r="U947" t="str">
        <f t="shared" si="176"/>
        <v>Improved Enough</v>
      </c>
      <c r="V947" t="str">
        <f t="shared" si="177"/>
        <v>Close</v>
      </c>
      <c r="W947" t="str">
        <f t="shared" si="178"/>
        <v>Normal</v>
      </c>
      <c r="X947" t="str">
        <f t="shared" si="179"/>
        <v>Allowed</v>
      </c>
    </row>
    <row r="948" spans="1:24" x14ac:dyDescent="0.3">
      <c r="A948" t="s">
        <v>10</v>
      </c>
      <c r="B948" t="s">
        <v>32</v>
      </c>
      <c r="C948" t="s">
        <v>14</v>
      </c>
      <c r="D948" s="3">
        <v>45961</v>
      </c>
      <c r="E948" s="6">
        <v>5.7711442786069649E-2</v>
      </c>
      <c r="F948">
        <v>0</v>
      </c>
      <c r="G948" t="s">
        <v>13</v>
      </c>
      <c r="H948" s="6">
        <v>5.3999999999999999E-2</v>
      </c>
      <c r="I948" s="8">
        <v>-8.7806251760067566E-2</v>
      </c>
      <c r="J948" s="5">
        <f t="shared" si="168"/>
        <v>1.0109678696460058E-2</v>
      </c>
      <c r="K948" s="5" cm="1">
        <f t="array" ref="K948">_xlfn.STDEV.S(IF($C:$C=C948,$I:$I))</f>
        <v>0.17556416633612926</v>
      </c>
      <c r="L948" s="7">
        <f t="shared" si="171"/>
        <v>-0.55772161540676279</v>
      </c>
      <c r="M948">
        <f t="shared" si="169"/>
        <v>1</v>
      </c>
      <c r="N948" s="9">
        <f t="shared" si="172"/>
        <v>6.8730421964252761E-2</v>
      </c>
      <c r="O948">
        <f>COUNTIFS($B$2:B948,B948,$C$2:C948,C948,$D$2:D948,"&lt;"&amp;D948,$F$2:F948,1)</f>
        <v>0</v>
      </c>
      <c r="P948">
        <f t="shared" si="170"/>
        <v>0</v>
      </c>
      <c r="Q948" t="str">
        <f t="shared" si="173"/>
        <v>Intervene</v>
      </c>
      <c r="R948">
        <v>0</v>
      </c>
      <c r="S948">
        <f t="shared" si="174"/>
        <v>1</v>
      </c>
      <c r="T948">
        <f t="shared" si="175"/>
        <v>1</v>
      </c>
      <c r="U948" t="str">
        <f t="shared" si="176"/>
        <v>Not Improved Enough</v>
      </c>
      <c r="V948" t="str">
        <f t="shared" si="177"/>
        <v>Far</v>
      </c>
      <c r="W948" t="str">
        <f t="shared" si="178"/>
        <v>Abnormal</v>
      </c>
      <c r="X948" t="str">
        <f t="shared" si="179"/>
        <v>Allowed</v>
      </c>
    </row>
    <row r="949" spans="1:24" x14ac:dyDescent="0.3">
      <c r="A949" t="s">
        <v>10</v>
      </c>
      <c r="B949" t="s">
        <v>32</v>
      </c>
      <c r="C949" t="s">
        <v>14</v>
      </c>
      <c r="D949" s="3">
        <v>45991</v>
      </c>
      <c r="E949" s="6">
        <v>5.5118110236220472E-2</v>
      </c>
      <c r="F949">
        <v>0</v>
      </c>
      <c r="G949" t="s">
        <v>13</v>
      </c>
      <c r="H949" s="6">
        <v>5.3999999999999999E-2</v>
      </c>
      <c r="I949" s="8">
        <v>4.4936193320662461E-2</v>
      </c>
      <c r="J949" s="5">
        <f t="shared" si="168"/>
        <v>1.0109678696460058E-2</v>
      </c>
      <c r="K949" s="5" cm="1">
        <f t="array" ref="K949">_xlfn.STDEV.S(IF($C:$C=C949,$I:$I))</f>
        <v>0.17556416633612926</v>
      </c>
      <c r="L949" s="7">
        <f t="shared" si="171"/>
        <v>0.19836915101185698</v>
      </c>
      <c r="M949">
        <f t="shared" si="169"/>
        <v>0</v>
      </c>
      <c r="N949" s="9">
        <f t="shared" si="172"/>
        <v>2.0705745115193932E-2</v>
      </c>
      <c r="O949">
        <f>COUNTIFS($B$2:B949,B949,$C$2:C949,C949,$D$2:D949,"&lt;"&amp;D949,$F$2:F949,1)</f>
        <v>0</v>
      </c>
      <c r="P949">
        <f t="shared" si="170"/>
        <v>0</v>
      </c>
      <c r="Q949" t="str">
        <f t="shared" si="173"/>
        <v>Monitor</v>
      </c>
      <c r="R949">
        <v>0</v>
      </c>
      <c r="S949">
        <f t="shared" si="174"/>
        <v>0</v>
      </c>
      <c r="T949">
        <f t="shared" si="175"/>
        <v>0</v>
      </c>
      <c r="U949" t="str">
        <f t="shared" si="176"/>
        <v>Improved Enough</v>
      </c>
      <c r="V949" t="str">
        <f t="shared" si="177"/>
        <v>Far</v>
      </c>
      <c r="W949" t="str">
        <f t="shared" si="178"/>
        <v>Normal</v>
      </c>
      <c r="X949" t="str">
        <f t="shared" si="179"/>
        <v>Allowed</v>
      </c>
    </row>
    <row r="950" spans="1:24" x14ac:dyDescent="0.3">
      <c r="A950" t="s">
        <v>10</v>
      </c>
      <c r="B950" t="s">
        <v>32</v>
      </c>
      <c r="C950" t="s">
        <v>15</v>
      </c>
      <c r="D950" s="3">
        <v>45535</v>
      </c>
      <c r="E950" s="6">
        <v>6.9277108433734941E-2</v>
      </c>
      <c r="F950">
        <v>0</v>
      </c>
      <c r="G950" t="s">
        <v>13</v>
      </c>
      <c r="H950" s="6">
        <v>6.6000000000000003E-2</v>
      </c>
      <c r="I950" s="8">
        <v>0.23102409638554211</v>
      </c>
      <c r="J950" s="5">
        <f t="shared" si="168"/>
        <v>-2.475667272801203E-2</v>
      </c>
      <c r="K950" s="5" cm="1">
        <f t="array" ref="K950">_xlfn.STDEV.S(IF($C:$C=C950,$I:$I))</f>
        <v>0.42334565134305008</v>
      </c>
      <c r="L950" s="7">
        <f t="shared" si="171"/>
        <v>0.60418896072771289</v>
      </c>
      <c r="M950">
        <f t="shared" si="169"/>
        <v>-1</v>
      </c>
      <c r="N950" s="9">
        <f t="shared" si="172"/>
        <v>4.9653158086892996E-2</v>
      </c>
      <c r="O950">
        <f>COUNTIFS($B$2:B950,B950,$C$2:C950,C950,$D$2:D950,"&lt;"&amp;D950,$F$2:F950,1)</f>
        <v>0</v>
      </c>
      <c r="P950">
        <f t="shared" si="170"/>
        <v>0</v>
      </c>
      <c r="Q950" t="str">
        <f t="shared" si="173"/>
        <v>Monitor</v>
      </c>
      <c r="R950">
        <v>0</v>
      </c>
      <c r="S950">
        <f t="shared" si="174"/>
        <v>0</v>
      </c>
      <c r="T950">
        <f t="shared" si="175"/>
        <v>0</v>
      </c>
      <c r="U950" t="str">
        <f t="shared" si="176"/>
        <v>Improved Enough</v>
      </c>
      <c r="V950" t="str">
        <f t="shared" si="177"/>
        <v>Far</v>
      </c>
      <c r="W950" t="str">
        <f t="shared" si="178"/>
        <v>Normal</v>
      </c>
      <c r="X950" t="str">
        <f t="shared" si="179"/>
        <v>Allowed</v>
      </c>
    </row>
    <row r="951" spans="1:24" x14ac:dyDescent="0.3">
      <c r="A951" t="s">
        <v>10</v>
      </c>
      <c r="B951" t="s">
        <v>32</v>
      </c>
      <c r="C951" t="s">
        <v>15</v>
      </c>
      <c r="D951" s="3">
        <v>45565</v>
      </c>
      <c r="E951" s="6">
        <v>9.9431818181818177E-2</v>
      </c>
      <c r="F951">
        <v>0</v>
      </c>
      <c r="G951" t="s">
        <v>13</v>
      </c>
      <c r="H951" s="6">
        <v>6.6000000000000003E-2</v>
      </c>
      <c r="I951" s="8">
        <v>-0.43527667984189722</v>
      </c>
      <c r="J951" s="5">
        <f t="shared" si="168"/>
        <v>-2.475667272801203E-2</v>
      </c>
      <c r="K951" s="5" cm="1">
        <f t="array" ref="K951">_xlfn.STDEV.S(IF($C:$C=C951,$I:$I))</f>
        <v>0.42334565134305008</v>
      </c>
      <c r="L951" s="7">
        <f t="shared" si="171"/>
        <v>-0.96970408414855347</v>
      </c>
      <c r="M951">
        <f t="shared" si="169"/>
        <v>1</v>
      </c>
      <c r="N951" s="9">
        <f t="shared" si="172"/>
        <v>0.50654269972451771</v>
      </c>
      <c r="O951">
        <f>COUNTIFS($B$2:B951,B951,$C$2:C951,C951,$D$2:D951,"&lt;"&amp;D951,$F$2:F951,1)</f>
        <v>0</v>
      </c>
      <c r="P951">
        <f t="shared" si="170"/>
        <v>0</v>
      </c>
      <c r="Q951" t="str">
        <f t="shared" si="173"/>
        <v>Intervene</v>
      </c>
      <c r="R951">
        <v>0</v>
      </c>
      <c r="S951">
        <f t="shared" si="174"/>
        <v>1</v>
      </c>
      <c r="T951">
        <f t="shared" si="175"/>
        <v>1</v>
      </c>
      <c r="U951" t="str">
        <f t="shared" si="176"/>
        <v>Not Improved Enough</v>
      </c>
      <c r="V951" t="str">
        <f t="shared" si="177"/>
        <v>Far</v>
      </c>
      <c r="W951" t="str">
        <f t="shared" si="178"/>
        <v>Abnormal</v>
      </c>
      <c r="X951" t="str">
        <f t="shared" si="179"/>
        <v>Allowed</v>
      </c>
    </row>
    <row r="952" spans="1:24" x14ac:dyDescent="0.3">
      <c r="A952" t="s">
        <v>10</v>
      </c>
      <c r="B952" t="s">
        <v>32</v>
      </c>
      <c r="C952" t="s">
        <v>15</v>
      </c>
      <c r="D952" s="3">
        <v>45596</v>
      </c>
      <c r="E952" s="6">
        <v>7.8651685393258425E-2</v>
      </c>
      <c r="F952">
        <v>0</v>
      </c>
      <c r="G952" t="s">
        <v>13</v>
      </c>
      <c r="H952" s="6">
        <v>6.6000000000000003E-2</v>
      </c>
      <c r="I952" s="8">
        <v>0.20898876404494379</v>
      </c>
      <c r="J952" s="5">
        <f t="shared" si="168"/>
        <v>-2.475667272801203E-2</v>
      </c>
      <c r="K952" s="5" cm="1">
        <f t="array" ref="K952">_xlfn.STDEV.S(IF($C:$C=C952,$I:$I))</f>
        <v>0.42334565134305008</v>
      </c>
      <c r="L952" s="7">
        <f t="shared" si="171"/>
        <v>0.55213850911520201</v>
      </c>
      <c r="M952">
        <f t="shared" si="169"/>
        <v>-1</v>
      </c>
      <c r="N952" s="9">
        <f t="shared" si="172"/>
        <v>0.19169220292815789</v>
      </c>
      <c r="O952">
        <f>COUNTIFS($B$2:B952,B952,$C$2:C952,C952,$D$2:D952,"&lt;"&amp;D952,$F$2:F952,1)</f>
        <v>0</v>
      </c>
      <c r="P952">
        <f t="shared" si="170"/>
        <v>0</v>
      </c>
      <c r="Q952" t="str">
        <f t="shared" si="173"/>
        <v>Monitor</v>
      </c>
      <c r="R952">
        <v>0</v>
      </c>
      <c r="S952">
        <f t="shared" si="174"/>
        <v>0</v>
      </c>
      <c r="T952">
        <f t="shared" si="175"/>
        <v>0</v>
      </c>
      <c r="U952" t="str">
        <f t="shared" si="176"/>
        <v>Improved Enough</v>
      </c>
      <c r="V952" t="str">
        <f t="shared" si="177"/>
        <v>Far</v>
      </c>
      <c r="W952" t="str">
        <f t="shared" si="178"/>
        <v>Normal</v>
      </c>
      <c r="X952" t="str">
        <f t="shared" si="179"/>
        <v>Allowed</v>
      </c>
    </row>
    <row r="953" spans="1:24" x14ac:dyDescent="0.3">
      <c r="A953" t="s">
        <v>10</v>
      </c>
      <c r="B953" t="s">
        <v>32</v>
      </c>
      <c r="C953" t="s">
        <v>15</v>
      </c>
      <c r="D953" s="3">
        <v>45626</v>
      </c>
      <c r="E953" s="6">
        <v>5.8988763999999999E-2</v>
      </c>
      <c r="F953">
        <v>0</v>
      </c>
      <c r="G953" t="s">
        <v>13</v>
      </c>
      <c r="H953" s="6">
        <v>6.6000000000000003E-2</v>
      </c>
      <c r="I953" s="8">
        <v>0.25000000057142863</v>
      </c>
      <c r="J953" s="5">
        <f t="shared" si="168"/>
        <v>-2.475667272801203E-2</v>
      </c>
      <c r="K953" s="5" cm="1">
        <f t="array" ref="K953">_xlfn.STDEV.S(IF($C:$C=C953,$I:$I))</f>
        <v>0.42334565134305008</v>
      </c>
      <c r="L953" s="7">
        <f t="shared" si="171"/>
        <v>0.64901262698172091</v>
      </c>
      <c r="M953">
        <f t="shared" si="169"/>
        <v>-1</v>
      </c>
      <c r="N953" s="9">
        <f t="shared" si="172"/>
        <v>-0.10623084848484854</v>
      </c>
      <c r="O953">
        <f>COUNTIFS($B$2:B953,B953,$C$2:C953,C953,$D$2:D953,"&lt;"&amp;D953,$F$2:F953,1)</f>
        <v>0</v>
      </c>
      <c r="P953">
        <f t="shared" si="170"/>
        <v>0</v>
      </c>
      <c r="Q953" t="str">
        <f t="shared" si="173"/>
        <v>Monitor</v>
      </c>
      <c r="R953">
        <v>0</v>
      </c>
      <c r="S953">
        <f t="shared" si="174"/>
        <v>0</v>
      </c>
      <c r="T953">
        <f t="shared" si="175"/>
        <v>0</v>
      </c>
      <c r="U953" t="str">
        <f t="shared" si="176"/>
        <v>Improved Enough</v>
      </c>
      <c r="V953" t="str">
        <f t="shared" si="177"/>
        <v>Close</v>
      </c>
      <c r="W953" t="str">
        <f t="shared" si="178"/>
        <v>Normal</v>
      </c>
      <c r="X953" t="str">
        <f t="shared" si="179"/>
        <v>Allowed</v>
      </c>
    </row>
    <row r="954" spans="1:24" x14ac:dyDescent="0.3">
      <c r="A954" t="s">
        <v>10</v>
      </c>
      <c r="B954" t="s">
        <v>32</v>
      </c>
      <c r="C954" t="s">
        <v>15</v>
      </c>
      <c r="D954" s="3">
        <v>45657</v>
      </c>
      <c r="E954" s="6">
        <v>7.2222222222222215E-2</v>
      </c>
      <c r="F954">
        <v>0</v>
      </c>
      <c r="G954" t="s">
        <v>13</v>
      </c>
      <c r="H954" s="6">
        <v>6.6000000000000003E-2</v>
      </c>
      <c r="I954" s="8">
        <v>-0.22433862527145371</v>
      </c>
      <c r="J954" s="5">
        <f t="shared" si="168"/>
        <v>-2.475667272801203E-2</v>
      </c>
      <c r="K954" s="5" cm="1">
        <f t="array" ref="K954">_xlfn.STDEV.S(IF($C:$C=C954,$I:$I))</f>
        <v>0.42334565134305008</v>
      </c>
      <c r="L954" s="7">
        <f t="shared" si="171"/>
        <v>-0.47143971341213625</v>
      </c>
      <c r="M954">
        <f t="shared" si="169"/>
        <v>0</v>
      </c>
      <c r="N954" s="9">
        <f t="shared" si="172"/>
        <v>9.4276094276094125E-2</v>
      </c>
      <c r="O954">
        <f>COUNTIFS($B$2:B954,B954,$C$2:C954,C954,$D$2:D954,"&lt;"&amp;D954,$F$2:F954,1)</f>
        <v>0</v>
      </c>
      <c r="P954">
        <f t="shared" si="170"/>
        <v>0</v>
      </c>
      <c r="Q954" t="str">
        <f t="shared" si="173"/>
        <v>Monitor</v>
      </c>
      <c r="R954">
        <v>0</v>
      </c>
      <c r="S954">
        <f t="shared" si="174"/>
        <v>0</v>
      </c>
      <c r="T954">
        <f t="shared" si="175"/>
        <v>0</v>
      </c>
      <c r="U954" t="str">
        <f t="shared" si="176"/>
        <v>Not Improved Enough</v>
      </c>
      <c r="V954" t="str">
        <f t="shared" si="177"/>
        <v>Far</v>
      </c>
      <c r="W954" t="str">
        <f t="shared" si="178"/>
        <v>Normal</v>
      </c>
      <c r="X954" t="str">
        <f t="shared" si="179"/>
        <v>Allowed</v>
      </c>
    </row>
    <row r="955" spans="1:24" x14ac:dyDescent="0.3">
      <c r="A955" t="s">
        <v>10</v>
      </c>
      <c r="B955" t="s">
        <v>32</v>
      </c>
      <c r="C955" t="s">
        <v>15</v>
      </c>
      <c r="D955" s="3">
        <v>45688</v>
      </c>
      <c r="E955" s="6">
        <v>6.2330623306233061E-2</v>
      </c>
      <c r="F955">
        <v>0</v>
      </c>
      <c r="G955" t="s">
        <v>13</v>
      </c>
      <c r="H955" s="6">
        <v>6.6000000000000003E-2</v>
      </c>
      <c r="I955" s="8">
        <v>0.13696060037523439</v>
      </c>
      <c r="J955" s="5">
        <f t="shared" si="168"/>
        <v>-2.475667272801203E-2</v>
      </c>
      <c r="K955" s="5" cm="1">
        <f t="array" ref="K955">_xlfn.STDEV.S(IF($C:$C=C955,$I:$I))</f>
        <v>0.42334565134305008</v>
      </c>
      <c r="L955" s="7">
        <f t="shared" si="171"/>
        <v>0.38199819128932516</v>
      </c>
      <c r="M955">
        <f t="shared" si="169"/>
        <v>0</v>
      </c>
      <c r="N955" s="9">
        <f t="shared" si="172"/>
        <v>-5.5596616572226386E-2</v>
      </c>
      <c r="O955">
        <f>COUNTIFS($B$2:B955,B955,$C$2:C955,C955,$D$2:D955,"&lt;"&amp;D955,$F$2:F955,1)</f>
        <v>0</v>
      </c>
      <c r="P955">
        <f t="shared" si="170"/>
        <v>0</v>
      </c>
      <c r="Q955" t="str">
        <f t="shared" si="173"/>
        <v>Monitor</v>
      </c>
      <c r="R955">
        <v>0</v>
      </c>
      <c r="S955">
        <f t="shared" si="174"/>
        <v>0</v>
      </c>
      <c r="T955">
        <f t="shared" si="175"/>
        <v>0</v>
      </c>
      <c r="U955" t="str">
        <f t="shared" si="176"/>
        <v>Improved Enough</v>
      </c>
      <c r="V955" t="str">
        <f t="shared" si="177"/>
        <v>Close</v>
      </c>
      <c r="W955" t="str">
        <f t="shared" si="178"/>
        <v>Normal</v>
      </c>
      <c r="X955" t="str">
        <f t="shared" si="179"/>
        <v>Allowed</v>
      </c>
    </row>
    <row r="956" spans="1:24" x14ac:dyDescent="0.3">
      <c r="A956" t="s">
        <v>10</v>
      </c>
      <c r="B956" t="s">
        <v>32</v>
      </c>
      <c r="C956" t="s">
        <v>15</v>
      </c>
      <c r="D956" s="3">
        <v>45716</v>
      </c>
      <c r="E956" s="6">
        <v>6.6489361702127658E-2</v>
      </c>
      <c r="F956">
        <v>0</v>
      </c>
      <c r="G956" t="s">
        <v>13</v>
      </c>
      <c r="H956" s="6">
        <v>6.6000000000000003E-2</v>
      </c>
      <c r="I956" s="8">
        <v>-6.6720629047178528E-2</v>
      </c>
      <c r="J956" s="5">
        <f t="shared" si="168"/>
        <v>-2.475667272801203E-2</v>
      </c>
      <c r="K956" s="5" cm="1">
        <f t="array" ref="K956">_xlfn.STDEV.S(IF($C:$C=C956,$I:$I))</f>
        <v>0.42334565134305008</v>
      </c>
      <c r="L956" s="7">
        <f t="shared" si="171"/>
        <v>-9.9124571578891221E-2</v>
      </c>
      <c r="M956">
        <f t="shared" si="169"/>
        <v>0</v>
      </c>
      <c r="N956" s="9">
        <f t="shared" si="172"/>
        <v>7.4145712443584129E-3</v>
      </c>
      <c r="O956">
        <f>COUNTIFS($B$2:B956,B956,$C$2:C956,C956,$D$2:D956,"&lt;"&amp;D956,$F$2:F956,1)</f>
        <v>0</v>
      </c>
      <c r="P956">
        <f t="shared" si="170"/>
        <v>0</v>
      </c>
      <c r="Q956" t="str">
        <f t="shared" si="173"/>
        <v>Monitor</v>
      </c>
      <c r="R956">
        <v>0</v>
      </c>
      <c r="S956">
        <f t="shared" si="174"/>
        <v>0</v>
      </c>
      <c r="T956">
        <f t="shared" si="175"/>
        <v>0</v>
      </c>
      <c r="U956" t="str">
        <f t="shared" si="176"/>
        <v>Not Improved Enough</v>
      </c>
      <c r="V956" t="str">
        <f t="shared" si="177"/>
        <v>Close</v>
      </c>
      <c r="W956" t="str">
        <f t="shared" si="178"/>
        <v>Normal</v>
      </c>
      <c r="X956" t="str">
        <f t="shared" si="179"/>
        <v>Allowed</v>
      </c>
    </row>
    <row r="957" spans="1:24" x14ac:dyDescent="0.3">
      <c r="A957" t="s">
        <v>10</v>
      </c>
      <c r="B957" t="s">
        <v>32</v>
      </c>
      <c r="C957" t="s">
        <v>15</v>
      </c>
      <c r="D957" s="3">
        <v>45747</v>
      </c>
      <c r="E957" s="6">
        <v>6.8783068783068779E-2</v>
      </c>
      <c r="F957">
        <v>0</v>
      </c>
      <c r="G957" t="s">
        <v>13</v>
      </c>
      <c r="H957" s="6">
        <v>6.6000000000000003E-2</v>
      </c>
      <c r="I957" s="8">
        <v>-3.4497354497354457E-2</v>
      </c>
      <c r="J957" s="5">
        <f t="shared" si="168"/>
        <v>-2.475667272801203E-2</v>
      </c>
      <c r="K957" s="5" cm="1">
        <f t="array" ref="K957">_xlfn.STDEV.S(IF($C:$C=C957,$I:$I))</f>
        <v>0.42334565134305008</v>
      </c>
      <c r="L957" s="7">
        <f t="shared" si="171"/>
        <v>-2.3008814991816822E-2</v>
      </c>
      <c r="M957">
        <f t="shared" si="169"/>
        <v>0</v>
      </c>
      <c r="N957" s="9">
        <f t="shared" si="172"/>
        <v>4.2167708834375393E-2</v>
      </c>
      <c r="O957">
        <f>COUNTIFS($B$2:B957,B957,$C$2:C957,C957,$D$2:D957,"&lt;"&amp;D957,$F$2:F957,1)</f>
        <v>0</v>
      </c>
      <c r="P957">
        <f t="shared" si="170"/>
        <v>0</v>
      </c>
      <c r="Q957" t="str">
        <f t="shared" si="173"/>
        <v>Monitor</v>
      </c>
      <c r="R957">
        <v>0</v>
      </c>
      <c r="S957">
        <f t="shared" si="174"/>
        <v>0</v>
      </c>
      <c r="T957">
        <f t="shared" si="175"/>
        <v>0</v>
      </c>
      <c r="U957" t="str">
        <f t="shared" si="176"/>
        <v>Not Improved Enough</v>
      </c>
      <c r="V957" t="str">
        <f t="shared" si="177"/>
        <v>Far</v>
      </c>
      <c r="W957" t="str">
        <f t="shared" si="178"/>
        <v>Normal</v>
      </c>
      <c r="X957" t="str">
        <f t="shared" si="179"/>
        <v>Allowed</v>
      </c>
    </row>
    <row r="958" spans="1:24" x14ac:dyDescent="0.3">
      <c r="A958" t="s">
        <v>10</v>
      </c>
      <c r="B958" t="s">
        <v>32</v>
      </c>
      <c r="C958" t="s">
        <v>15</v>
      </c>
      <c r="D958" s="3">
        <v>45777</v>
      </c>
      <c r="E958" s="6">
        <v>6.4000000000000001E-2</v>
      </c>
      <c r="F958">
        <v>0</v>
      </c>
      <c r="G958" t="s">
        <v>13</v>
      </c>
      <c r="H958" s="6">
        <v>6.6000000000000003E-2</v>
      </c>
      <c r="I958" s="8">
        <v>6.9538461538461466E-2</v>
      </c>
      <c r="J958" s="5">
        <f t="shared" si="168"/>
        <v>-2.475667272801203E-2</v>
      </c>
      <c r="K958" s="5" cm="1">
        <f t="array" ref="K958">_xlfn.STDEV.S(IF($C:$C=C958,$I:$I))</f>
        <v>0.42334565134305008</v>
      </c>
      <c r="L958" s="7">
        <f t="shared" si="171"/>
        <v>0.22273793050034954</v>
      </c>
      <c r="M958">
        <f t="shared" si="169"/>
        <v>0</v>
      </c>
      <c r="N958" s="9">
        <f t="shared" si="172"/>
        <v>-3.0303030303030328E-2</v>
      </c>
      <c r="O958">
        <f>COUNTIFS($B$2:B958,B958,$C$2:C958,C958,$D$2:D958,"&lt;"&amp;D958,$F$2:F958,1)</f>
        <v>0</v>
      </c>
      <c r="P958">
        <f t="shared" si="170"/>
        <v>0</v>
      </c>
      <c r="Q958" t="str">
        <f t="shared" si="173"/>
        <v>Monitor</v>
      </c>
      <c r="R958">
        <v>0</v>
      </c>
      <c r="S958">
        <f t="shared" si="174"/>
        <v>0</v>
      </c>
      <c r="T958">
        <f t="shared" si="175"/>
        <v>0</v>
      </c>
      <c r="U958" t="str">
        <f t="shared" si="176"/>
        <v>Improved Enough</v>
      </c>
      <c r="V958" t="str">
        <f t="shared" si="177"/>
        <v>Close</v>
      </c>
      <c r="W958" t="str">
        <f t="shared" si="178"/>
        <v>Normal</v>
      </c>
      <c r="X958" t="str">
        <f t="shared" si="179"/>
        <v>Allowed</v>
      </c>
    </row>
    <row r="959" spans="1:24" x14ac:dyDescent="0.3">
      <c r="A959" t="s">
        <v>10</v>
      </c>
      <c r="B959" t="s">
        <v>32</v>
      </c>
      <c r="C959" t="s">
        <v>15</v>
      </c>
      <c r="D959" s="3">
        <v>45808</v>
      </c>
      <c r="E959" s="6">
        <v>4.3126684636118601E-2</v>
      </c>
      <c r="F959">
        <v>0</v>
      </c>
      <c r="G959" t="s">
        <v>13</v>
      </c>
      <c r="H959" s="6">
        <v>6.6000000000000003E-2</v>
      </c>
      <c r="I959" s="8">
        <v>0.32614555256064692</v>
      </c>
      <c r="J959" s="5">
        <f t="shared" si="168"/>
        <v>-2.475667272801203E-2</v>
      </c>
      <c r="K959" s="5" cm="1">
        <f t="array" ref="K959">_xlfn.STDEV.S(IF($C:$C=C959,$I:$I))</f>
        <v>0.42334565134305008</v>
      </c>
      <c r="L959" s="7">
        <f t="shared" si="171"/>
        <v>0.82887877594923498</v>
      </c>
      <c r="M959">
        <f t="shared" si="169"/>
        <v>-1</v>
      </c>
      <c r="N959" s="9">
        <f t="shared" si="172"/>
        <v>-0.34656538430123335</v>
      </c>
      <c r="O959">
        <f>COUNTIFS($B$2:B959,B959,$C$2:C959,C959,$D$2:D959,"&lt;"&amp;D959,$F$2:F959,1)</f>
        <v>0</v>
      </c>
      <c r="P959">
        <f t="shared" si="170"/>
        <v>0</v>
      </c>
      <c r="Q959" t="str">
        <f t="shared" si="173"/>
        <v>Monitor</v>
      </c>
      <c r="R959">
        <v>0</v>
      </c>
      <c r="S959">
        <f t="shared" si="174"/>
        <v>0</v>
      </c>
      <c r="T959">
        <f t="shared" si="175"/>
        <v>0</v>
      </c>
      <c r="U959" t="str">
        <f t="shared" si="176"/>
        <v>Improved Enough</v>
      </c>
      <c r="V959" t="str">
        <f t="shared" si="177"/>
        <v>Close</v>
      </c>
      <c r="W959" t="str">
        <f t="shared" si="178"/>
        <v>Normal</v>
      </c>
      <c r="X959" t="str">
        <f t="shared" si="179"/>
        <v>Allowed</v>
      </c>
    </row>
    <row r="960" spans="1:24" x14ac:dyDescent="0.3">
      <c r="A960" t="s">
        <v>10</v>
      </c>
      <c r="B960" t="s">
        <v>32</v>
      </c>
      <c r="C960" t="s">
        <v>15</v>
      </c>
      <c r="D960" s="3">
        <v>45838</v>
      </c>
      <c r="E960" s="6">
        <v>4.8387096774193547E-2</v>
      </c>
      <c r="F960">
        <v>0</v>
      </c>
      <c r="G960" t="s">
        <v>13</v>
      </c>
      <c r="H960" s="6">
        <v>6.6000000000000003E-2</v>
      </c>
      <c r="I960" s="8">
        <v>-0.12197580645161279</v>
      </c>
      <c r="J960" s="5">
        <f t="shared" si="168"/>
        <v>-2.475667272801203E-2</v>
      </c>
      <c r="K960" s="5" cm="1">
        <f t="array" ref="K960">_xlfn.STDEV.S(IF($C:$C=C960,$I:$I))</f>
        <v>0.42334565134305008</v>
      </c>
      <c r="L960" s="7">
        <f t="shared" si="171"/>
        <v>-0.22964481485796837</v>
      </c>
      <c r="M960">
        <f t="shared" si="169"/>
        <v>0</v>
      </c>
      <c r="N960" s="9">
        <f t="shared" si="172"/>
        <v>-0.26686217008797658</v>
      </c>
      <c r="O960">
        <f>COUNTIFS($B$2:B960,B960,$C$2:C960,C960,$D$2:D960,"&lt;"&amp;D960,$F$2:F960,1)</f>
        <v>0</v>
      </c>
      <c r="P960">
        <f t="shared" si="170"/>
        <v>0</v>
      </c>
      <c r="Q960" t="str">
        <f t="shared" si="173"/>
        <v>Monitor</v>
      </c>
      <c r="R960">
        <v>0</v>
      </c>
      <c r="S960">
        <f t="shared" si="174"/>
        <v>0</v>
      </c>
      <c r="T960">
        <f t="shared" si="175"/>
        <v>0</v>
      </c>
      <c r="U960" t="str">
        <f t="shared" si="176"/>
        <v>Not Improved Enough</v>
      </c>
      <c r="V960" t="str">
        <f t="shared" si="177"/>
        <v>Close</v>
      </c>
      <c r="W960" t="str">
        <f t="shared" si="178"/>
        <v>Normal</v>
      </c>
      <c r="X960" t="str">
        <f t="shared" si="179"/>
        <v>Allowed</v>
      </c>
    </row>
    <row r="961" spans="1:24" x14ac:dyDescent="0.3">
      <c r="A961" t="s">
        <v>10</v>
      </c>
      <c r="B961" t="s">
        <v>32</v>
      </c>
      <c r="C961" t="s">
        <v>15</v>
      </c>
      <c r="D961" s="3">
        <v>45869</v>
      </c>
      <c r="E961" s="6">
        <v>4.7872340425531908E-2</v>
      </c>
      <c r="F961">
        <v>0</v>
      </c>
      <c r="G961" t="s">
        <v>13</v>
      </c>
      <c r="H961" s="6">
        <v>6.6000000000000003E-2</v>
      </c>
      <c r="I961" s="8">
        <v>1.063829787234055E-2</v>
      </c>
      <c r="J961" s="5">
        <f t="shared" si="168"/>
        <v>-2.475667272801203E-2</v>
      </c>
      <c r="K961" s="5" cm="1">
        <f t="array" ref="K961">_xlfn.STDEV.S(IF($C:$C=C961,$I:$I))</f>
        <v>0.42334565134305008</v>
      </c>
      <c r="L961" s="7">
        <f t="shared" si="171"/>
        <v>8.360773398300704E-2</v>
      </c>
      <c r="M961">
        <f t="shared" si="169"/>
        <v>0</v>
      </c>
      <c r="N961" s="9">
        <f t="shared" si="172"/>
        <v>-0.27466150870406203</v>
      </c>
      <c r="O961">
        <f>COUNTIFS($B$2:B961,B961,$C$2:C961,C961,$D$2:D961,"&lt;"&amp;D961,$F$2:F961,1)</f>
        <v>0</v>
      </c>
      <c r="P961">
        <f t="shared" si="170"/>
        <v>0</v>
      </c>
      <c r="Q961" t="str">
        <f t="shared" si="173"/>
        <v>Monitor</v>
      </c>
      <c r="R961">
        <v>0</v>
      </c>
      <c r="S961">
        <f t="shared" si="174"/>
        <v>0</v>
      </c>
      <c r="T961">
        <f t="shared" si="175"/>
        <v>0</v>
      </c>
      <c r="U961" t="str">
        <f t="shared" si="176"/>
        <v>Improved Enough</v>
      </c>
      <c r="V961" t="str">
        <f t="shared" si="177"/>
        <v>Close</v>
      </c>
      <c r="W961" t="str">
        <f t="shared" si="178"/>
        <v>Normal</v>
      </c>
      <c r="X961" t="str">
        <f t="shared" si="179"/>
        <v>Allowed</v>
      </c>
    </row>
    <row r="962" spans="1:24" x14ac:dyDescent="0.3">
      <c r="A962" t="s">
        <v>10</v>
      </c>
      <c r="B962" t="s">
        <v>32</v>
      </c>
      <c r="C962" t="s">
        <v>15</v>
      </c>
      <c r="D962" s="3">
        <v>45900</v>
      </c>
      <c r="E962" s="6">
        <v>8.6956521739130432E-2</v>
      </c>
      <c r="F962">
        <v>0</v>
      </c>
      <c r="G962" t="s">
        <v>13</v>
      </c>
      <c r="H962" s="6">
        <v>6.6000000000000003E-2</v>
      </c>
      <c r="I962" s="8">
        <v>-0.81642512077294704</v>
      </c>
      <c r="J962" s="5">
        <f t="shared" ref="J962:J1025" si="180">AVERAGEIF($C:$C,C962,$I:$I)</f>
        <v>-2.475667272801203E-2</v>
      </c>
      <c r="K962" s="5" cm="1">
        <f t="array" ref="K962">_xlfn.STDEV.S(IF($C:$C=C962,$I:$I))</f>
        <v>0.42334565134305008</v>
      </c>
      <c r="L962" s="7">
        <f t="shared" si="171"/>
        <v>-1.87002853468175</v>
      </c>
      <c r="M962">
        <f t="shared" ref="M962:M1025" si="181">IF(L962&lt;=-$Z$4,1,IF(L962&gt;=$Z$4,-1,0))</f>
        <v>1</v>
      </c>
      <c r="N962" s="9">
        <f t="shared" si="172"/>
        <v>0.31752305665349134</v>
      </c>
      <c r="O962">
        <f>COUNTIFS($B$2:B962,B962,$C$2:C962,C962,$D$2:D962,"&lt;"&amp;D962,$F$2:F962,1)</f>
        <v>0</v>
      </c>
      <c r="P962">
        <f t="shared" ref="P962:P1025" si="182">IF(AND(R962=1,I962&gt;0),1,IF(R962=1,-1,0))</f>
        <v>0</v>
      </c>
      <c r="Q962" t="str">
        <f t="shared" si="173"/>
        <v>Intervene</v>
      </c>
      <c r="R962">
        <v>0</v>
      </c>
      <c r="S962">
        <f t="shared" si="174"/>
        <v>1</v>
      </c>
      <c r="T962">
        <f t="shared" si="175"/>
        <v>1</v>
      </c>
      <c r="U962" t="str">
        <f t="shared" si="176"/>
        <v>Not Improved Enough</v>
      </c>
      <c r="V962" t="str">
        <f t="shared" si="177"/>
        <v>Far</v>
      </c>
      <c r="W962" t="str">
        <f t="shared" si="178"/>
        <v>Abnormal</v>
      </c>
      <c r="X962" t="str">
        <f t="shared" si="179"/>
        <v>Allowed</v>
      </c>
    </row>
    <row r="963" spans="1:24" x14ac:dyDescent="0.3">
      <c r="A963" t="s">
        <v>10</v>
      </c>
      <c r="B963" t="s">
        <v>32</v>
      </c>
      <c r="C963" t="s">
        <v>15</v>
      </c>
      <c r="D963" s="3">
        <v>45930</v>
      </c>
      <c r="E963" s="6">
        <v>7.9487179487179482E-2</v>
      </c>
      <c r="F963">
        <v>0</v>
      </c>
      <c r="G963" t="s">
        <v>13</v>
      </c>
      <c r="H963" s="6">
        <v>6.6000000000000003E-2</v>
      </c>
      <c r="I963" s="8">
        <v>8.5897435897435925E-2</v>
      </c>
      <c r="J963" s="5">
        <f t="shared" si="180"/>
        <v>-2.475667272801203E-2</v>
      </c>
      <c r="K963" s="5" cm="1">
        <f t="array" ref="K963">_xlfn.STDEV.S(IF($C:$C=C963,$I:$I))</f>
        <v>0.42334565134305008</v>
      </c>
      <c r="L963" s="7">
        <f t="shared" ref="L963:L1026" si="183">IFERROR((I963-J963)/K963,0)</f>
        <v>0.26138005262225195</v>
      </c>
      <c r="M963">
        <f t="shared" si="181"/>
        <v>0</v>
      </c>
      <c r="N963" s="9">
        <f t="shared" ref="N963:N1026" si="184">IFERROR(IF(G963="DOWN",(E963-H963)/H963,(H963-E963)/H963),0)</f>
        <v>0.20435120435120421</v>
      </c>
      <c r="O963">
        <f>COUNTIFS($B$2:B963,B963,$C$2:C963,C963,$D$2:D963,"&lt;"&amp;D963,$F$2:F963,1)</f>
        <v>0</v>
      </c>
      <c r="P963">
        <f t="shared" si="182"/>
        <v>0</v>
      </c>
      <c r="Q963" t="str">
        <f t="shared" ref="Q963:Q1026" si="185">IF(I963&gt;=$Z$1,"Monitor",IF(AND(N963&gt;=$Z$2,L963&lt;=-$Z$4),IF(O963&lt;$Z$3,"Intervene","Escalate / Bigger Fix"),"Monitor"))</f>
        <v>Monitor</v>
      </c>
      <c r="R963">
        <v>0</v>
      </c>
      <c r="S963">
        <f t="shared" ref="S963:S1026" si="186">IF(Q963="Intervene",1,IF(Q963="Escalate / Bigger Fix",-1,0))</f>
        <v>0</v>
      </c>
      <c r="T963">
        <f t="shared" ref="T963:T1026" si="187">IF(Q963="Intervene",1,0)</f>
        <v>0</v>
      </c>
      <c r="U963" t="str">
        <f t="shared" ref="U963:U1026" si="188">IF(I963&gt;=$Z$1,"Improved Enough","Not Improved Enough")</f>
        <v>Improved Enough</v>
      </c>
      <c r="V963" t="str">
        <f t="shared" ref="V963:V1026" si="189">IF(N963&gt;=$Z$2,"Far","Close")</f>
        <v>Far</v>
      </c>
      <c r="W963" t="str">
        <f t="shared" ref="W963:W1026" si="190">IF(L963&lt;=-$Z$4,"Abnormal","Normal")</f>
        <v>Normal</v>
      </c>
      <c r="X963" t="str">
        <f t="shared" ref="X963:X1026" si="191">IF(O963&lt;$Z$3,"Allowed","Maxed Out")</f>
        <v>Allowed</v>
      </c>
    </row>
    <row r="964" spans="1:24" x14ac:dyDescent="0.3">
      <c r="A964" t="s">
        <v>10</v>
      </c>
      <c r="B964" t="s">
        <v>32</v>
      </c>
      <c r="C964" t="s">
        <v>15</v>
      </c>
      <c r="D964" s="3">
        <v>45961</v>
      </c>
      <c r="E964" s="6">
        <v>7.3417721518987344E-2</v>
      </c>
      <c r="F964">
        <v>0</v>
      </c>
      <c r="G964" t="s">
        <v>13</v>
      </c>
      <c r="H964" s="6">
        <v>6.6000000000000003E-2</v>
      </c>
      <c r="I964" s="8">
        <v>7.6357697019191415E-2</v>
      </c>
      <c r="J964" s="5">
        <f t="shared" si="180"/>
        <v>-2.475667272801203E-2</v>
      </c>
      <c r="K964" s="5" cm="1">
        <f t="array" ref="K964">_xlfn.STDEV.S(IF($C:$C=C964,$I:$I))</f>
        <v>0.42334565134305008</v>
      </c>
      <c r="L964" s="7">
        <f t="shared" si="183"/>
        <v>0.23884589206578941</v>
      </c>
      <c r="M964">
        <f t="shared" si="181"/>
        <v>0</v>
      </c>
      <c r="N964" s="9">
        <f t="shared" si="184"/>
        <v>0.11238971998465667</v>
      </c>
      <c r="O964">
        <f>COUNTIFS($B$2:B964,B964,$C$2:C964,C964,$D$2:D964,"&lt;"&amp;D964,$F$2:F964,1)</f>
        <v>0</v>
      </c>
      <c r="P964">
        <f t="shared" si="182"/>
        <v>0</v>
      </c>
      <c r="Q964" t="str">
        <f t="shared" si="185"/>
        <v>Monitor</v>
      </c>
      <c r="R964">
        <v>0</v>
      </c>
      <c r="S964">
        <f t="shared" si="186"/>
        <v>0</v>
      </c>
      <c r="T964">
        <f t="shared" si="187"/>
        <v>0</v>
      </c>
      <c r="U964" t="str">
        <f t="shared" si="188"/>
        <v>Improved Enough</v>
      </c>
      <c r="V964" t="str">
        <f t="shared" si="189"/>
        <v>Far</v>
      </c>
      <c r="W964" t="str">
        <f t="shared" si="190"/>
        <v>Normal</v>
      </c>
      <c r="X964" t="str">
        <f t="shared" si="191"/>
        <v>Allowed</v>
      </c>
    </row>
    <row r="965" spans="1:24" x14ac:dyDescent="0.3">
      <c r="A965" t="s">
        <v>10</v>
      </c>
      <c r="B965" t="s">
        <v>32</v>
      </c>
      <c r="C965" t="s">
        <v>15</v>
      </c>
      <c r="D965" s="3">
        <v>45991</v>
      </c>
      <c r="E965" s="6">
        <v>6.6666666666666666E-2</v>
      </c>
      <c r="F965">
        <v>0</v>
      </c>
      <c r="G965" t="s">
        <v>13</v>
      </c>
      <c r="H965" s="6">
        <v>6.6000000000000003E-2</v>
      </c>
      <c r="I965" s="8">
        <v>9.1954022988505787E-2</v>
      </c>
      <c r="J965" s="5">
        <f t="shared" si="180"/>
        <v>-2.475667272801203E-2</v>
      </c>
      <c r="K965" s="5" cm="1">
        <f t="array" ref="K965">_xlfn.STDEV.S(IF($C:$C=C965,$I:$I))</f>
        <v>0.42334565134305008</v>
      </c>
      <c r="L965" s="7">
        <f t="shared" si="183"/>
        <v>0.27568653497740442</v>
      </c>
      <c r="M965">
        <f t="shared" si="181"/>
        <v>0</v>
      </c>
      <c r="N965" s="9">
        <f t="shared" si="184"/>
        <v>1.0101010101010039E-2</v>
      </c>
      <c r="O965">
        <f>COUNTIFS($B$2:B965,B965,$C$2:C965,C965,$D$2:D965,"&lt;"&amp;D965,$F$2:F965,1)</f>
        <v>0</v>
      </c>
      <c r="P965">
        <f t="shared" si="182"/>
        <v>0</v>
      </c>
      <c r="Q965" t="str">
        <f t="shared" si="185"/>
        <v>Monitor</v>
      </c>
      <c r="R965">
        <v>0</v>
      </c>
      <c r="S965">
        <f t="shared" si="186"/>
        <v>0</v>
      </c>
      <c r="T965">
        <f t="shared" si="187"/>
        <v>0</v>
      </c>
      <c r="U965" t="str">
        <f t="shared" si="188"/>
        <v>Improved Enough</v>
      </c>
      <c r="V965" t="str">
        <f t="shared" si="189"/>
        <v>Close</v>
      </c>
      <c r="W965" t="str">
        <f t="shared" si="190"/>
        <v>Normal</v>
      </c>
      <c r="X965" t="str">
        <f t="shared" si="191"/>
        <v>Allowed</v>
      </c>
    </row>
    <row r="966" spans="1:24" x14ac:dyDescent="0.3">
      <c r="A966" t="s">
        <v>10</v>
      </c>
      <c r="B966" t="s">
        <v>32</v>
      </c>
      <c r="C966" t="s">
        <v>16</v>
      </c>
      <c r="D966" s="3">
        <v>45535</v>
      </c>
      <c r="E966" s="6">
        <v>0.17948717948717949</v>
      </c>
      <c r="F966">
        <v>0</v>
      </c>
      <c r="G966" t="s">
        <v>17</v>
      </c>
      <c r="H966" s="6">
        <v>0.16400000000000001</v>
      </c>
      <c r="I966" s="8">
        <v>-2.564102564102573E-2</v>
      </c>
      <c r="J966" s="5">
        <f t="shared" si="180"/>
        <v>2.6472445732452773E-2</v>
      </c>
      <c r="K966" s="5" cm="1">
        <f t="array" ref="K966">_xlfn.STDEV.S(IF($C:$C=C966,$I:$I))</f>
        <v>0.13493378643970674</v>
      </c>
      <c r="L966" s="7">
        <f t="shared" si="183"/>
        <v>-0.38621514113342303</v>
      </c>
      <c r="M966">
        <f t="shared" si="181"/>
        <v>0</v>
      </c>
      <c r="N966" s="9">
        <f t="shared" si="184"/>
        <v>-9.4434021263289508E-2</v>
      </c>
      <c r="O966">
        <f>COUNTIFS($B$2:B966,B966,$C$2:C966,C966,$D$2:D966,"&lt;"&amp;D966,$F$2:F966,1)</f>
        <v>0</v>
      </c>
      <c r="P966">
        <f t="shared" si="182"/>
        <v>0</v>
      </c>
      <c r="Q966" t="str">
        <f t="shared" si="185"/>
        <v>Monitor</v>
      </c>
      <c r="R966">
        <v>0</v>
      </c>
      <c r="S966">
        <f t="shared" si="186"/>
        <v>0</v>
      </c>
      <c r="T966">
        <f t="shared" si="187"/>
        <v>0</v>
      </c>
      <c r="U966" t="str">
        <f t="shared" si="188"/>
        <v>Not Improved Enough</v>
      </c>
      <c r="V966" t="str">
        <f t="shared" si="189"/>
        <v>Close</v>
      </c>
      <c r="W966" t="str">
        <f t="shared" si="190"/>
        <v>Normal</v>
      </c>
      <c r="X966" t="str">
        <f t="shared" si="191"/>
        <v>Allowed</v>
      </c>
    </row>
    <row r="967" spans="1:24" x14ac:dyDescent="0.3">
      <c r="A967" t="s">
        <v>10</v>
      </c>
      <c r="B967" t="s">
        <v>32</v>
      </c>
      <c r="C967" t="s">
        <v>16</v>
      </c>
      <c r="D967" s="3">
        <v>45565</v>
      </c>
      <c r="E967" s="6">
        <v>0.17499999999999999</v>
      </c>
      <c r="F967">
        <v>0</v>
      </c>
      <c r="G967" t="s">
        <v>17</v>
      </c>
      <c r="H967" s="6">
        <v>0.16400000000000001</v>
      </c>
      <c r="I967" s="8">
        <v>-2.5000000000000071E-2</v>
      </c>
      <c r="J967" s="5">
        <f t="shared" si="180"/>
        <v>2.6472445732452773E-2</v>
      </c>
      <c r="K967" s="5" cm="1">
        <f t="array" ref="K967">_xlfn.STDEV.S(IF($C:$C=C967,$I:$I))</f>
        <v>0.13493378643970674</v>
      </c>
      <c r="L967" s="7">
        <f t="shared" si="183"/>
        <v>-0.38146447298766478</v>
      </c>
      <c r="M967">
        <f t="shared" si="181"/>
        <v>0</v>
      </c>
      <c r="N967" s="9">
        <f t="shared" si="184"/>
        <v>-6.707317073170721E-2</v>
      </c>
      <c r="O967">
        <f>COUNTIFS($B$2:B967,B967,$C$2:C967,C967,$D$2:D967,"&lt;"&amp;D967,$F$2:F967,1)</f>
        <v>0</v>
      </c>
      <c r="P967">
        <f t="shared" si="182"/>
        <v>0</v>
      </c>
      <c r="Q967" t="str">
        <f t="shared" si="185"/>
        <v>Monitor</v>
      </c>
      <c r="R967">
        <v>0</v>
      </c>
      <c r="S967">
        <f t="shared" si="186"/>
        <v>0</v>
      </c>
      <c r="T967">
        <f t="shared" si="187"/>
        <v>0</v>
      </c>
      <c r="U967" t="str">
        <f t="shared" si="188"/>
        <v>Not Improved Enough</v>
      </c>
      <c r="V967" t="str">
        <f t="shared" si="189"/>
        <v>Close</v>
      </c>
      <c r="W967" t="str">
        <f t="shared" si="190"/>
        <v>Normal</v>
      </c>
      <c r="X967" t="str">
        <f t="shared" si="191"/>
        <v>Allowed</v>
      </c>
    </row>
    <row r="968" spans="1:24" x14ac:dyDescent="0.3">
      <c r="A968" t="s">
        <v>10</v>
      </c>
      <c r="B968" t="s">
        <v>32</v>
      </c>
      <c r="C968" t="s">
        <v>16</v>
      </c>
      <c r="D968" s="3">
        <v>45596</v>
      </c>
      <c r="E968" s="6">
        <v>0.17073170731707321</v>
      </c>
      <c r="F968">
        <v>0</v>
      </c>
      <c r="G968" t="s">
        <v>17</v>
      </c>
      <c r="H968" s="6">
        <v>0.16400000000000001</v>
      </c>
      <c r="I968" s="8">
        <v>-2.439024390243873E-2</v>
      </c>
      <c r="J968" s="5">
        <f t="shared" si="180"/>
        <v>2.6472445732452773E-2</v>
      </c>
      <c r="K968" s="5" cm="1">
        <f t="array" ref="K968">_xlfn.STDEV.S(IF($C:$C=C968,$I:$I))</f>
        <v>0.13493378643970674</v>
      </c>
      <c r="L968" s="7">
        <f t="shared" si="183"/>
        <v>-0.37694554475145314</v>
      </c>
      <c r="M968">
        <f t="shared" si="181"/>
        <v>0</v>
      </c>
      <c r="N968" s="9">
        <f t="shared" si="184"/>
        <v>-4.1046995835812221E-2</v>
      </c>
      <c r="O968">
        <f>COUNTIFS($B$2:B968,B968,$C$2:C968,C968,$D$2:D968,"&lt;"&amp;D968,$F$2:F968,1)</f>
        <v>0</v>
      </c>
      <c r="P968">
        <f t="shared" si="182"/>
        <v>0</v>
      </c>
      <c r="Q968" t="str">
        <f t="shared" si="185"/>
        <v>Monitor</v>
      </c>
      <c r="R968">
        <v>0</v>
      </c>
      <c r="S968">
        <f t="shared" si="186"/>
        <v>0</v>
      </c>
      <c r="T968">
        <f t="shared" si="187"/>
        <v>0</v>
      </c>
      <c r="U968" t="str">
        <f t="shared" si="188"/>
        <v>Not Improved Enough</v>
      </c>
      <c r="V968" t="str">
        <f t="shared" si="189"/>
        <v>Close</v>
      </c>
      <c r="W968" t="str">
        <f t="shared" si="190"/>
        <v>Normal</v>
      </c>
      <c r="X968" t="str">
        <f t="shared" si="191"/>
        <v>Allowed</v>
      </c>
    </row>
    <row r="969" spans="1:24" x14ac:dyDescent="0.3">
      <c r="A969" t="s">
        <v>10</v>
      </c>
      <c r="B969" t="s">
        <v>32</v>
      </c>
      <c r="C969" t="s">
        <v>16</v>
      </c>
      <c r="D969" s="3">
        <v>45626</v>
      </c>
      <c r="E969" s="6">
        <v>0.17073170700000001</v>
      </c>
      <c r="F969">
        <v>0</v>
      </c>
      <c r="G969" t="s">
        <v>17</v>
      </c>
      <c r="H969" s="6">
        <v>0.16400000000000001</v>
      </c>
      <c r="I969" s="8">
        <v>-1.857143034594039E-9</v>
      </c>
      <c r="J969" s="5">
        <f t="shared" si="180"/>
        <v>2.6472445732452773E-2</v>
      </c>
      <c r="K969" s="5" cm="1">
        <f t="array" ref="K969">_xlfn.STDEV.S(IF($C:$C=C969,$I:$I))</f>
        <v>0.13493378643970674</v>
      </c>
      <c r="L969" s="7">
        <f t="shared" si="183"/>
        <v>-0.19618842906646397</v>
      </c>
      <c r="M969">
        <f t="shared" si="181"/>
        <v>0</v>
      </c>
      <c r="N969" s="9">
        <f t="shared" si="184"/>
        <v>-4.1046993902439044E-2</v>
      </c>
      <c r="O969">
        <f>COUNTIFS($B$2:B969,B969,$C$2:C969,C969,$D$2:D969,"&lt;"&amp;D969,$F$2:F969,1)</f>
        <v>0</v>
      </c>
      <c r="P969">
        <f t="shared" si="182"/>
        <v>0</v>
      </c>
      <c r="Q969" t="str">
        <f t="shared" si="185"/>
        <v>Monitor</v>
      </c>
      <c r="R969">
        <v>0</v>
      </c>
      <c r="S969">
        <f t="shared" si="186"/>
        <v>0</v>
      </c>
      <c r="T969">
        <f t="shared" si="187"/>
        <v>0</v>
      </c>
      <c r="U969" t="str">
        <f t="shared" si="188"/>
        <v>Not Improved Enough</v>
      </c>
      <c r="V969" t="str">
        <f t="shared" si="189"/>
        <v>Close</v>
      </c>
      <c r="W969" t="str">
        <f t="shared" si="190"/>
        <v>Normal</v>
      </c>
      <c r="X969" t="str">
        <f t="shared" si="191"/>
        <v>Allowed</v>
      </c>
    </row>
    <row r="970" spans="1:24" x14ac:dyDescent="0.3">
      <c r="A970" t="s">
        <v>10</v>
      </c>
      <c r="B970" t="s">
        <v>32</v>
      </c>
      <c r="C970" t="s">
        <v>16</v>
      </c>
      <c r="D970" s="3">
        <v>45657</v>
      </c>
      <c r="E970" s="6">
        <v>0.17073170731707321</v>
      </c>
      <c r="F970">
        <v>0</v>
      </c>
      <c r="G970" t="s">
        <v>17</v>
      </c>
      <c r="H970" s="6">
        <v>0.16400000000000001</v>
      </c>
      <c r="I970" s="8">
        <v>1.857143038043019E-9</v>
      </c>
      <c r="J970" s="5">
        <f t="shared" si="180"/>
        <v>2.6472445732452773E-2</v>
      </c>
      <c r="K970" s="5" cm="1">
        <f t="array" ref="K970">_xlfn.STDEV.S(IF($C:$C=C970,$I:$I))</f>
        <v>0.13493378643970674</v>
      </c>
      <c r="L970" s="7">
        <f t="shared" si="183"/>
        <v>-0.19618840153973277</v>
      </c>
      <c r="M970">
        <f t="shared" si="181"/>
        <v>0</v>
      </c>
      <c r="N970" s="9">
        <f t="shared" si="184"/>
        <v>-4.1046995835812221E-2</v>
      </c>
      <c r="O970">
        <f>COUNTIFS($B$2:B970,B970,$C$2:C970,C970,$D$2:D970,"&lt;"&amp;D970,$F$2:F970,1)</f>
        <v>0</v>
      </c>
      <c r="P970">
        <f t="shared" si="182"/>
        <v>0</v>
      </c>
      <c r="Q970" t="str">
        <f t="shared" si="185"/>
        <v>Monitor</v>
      </c>
      <c r="R970">
        <v>0</v>
      </c>
      <c r="S970">
        <f t="shared" si="186"/>
        <v>0</v>
      </c>
      <c r="T970">
        <f t="shared" si="187"/>
        <v>0</v>
      </c>
      <c r="U970" t="str">
        <f t="shared" si="188"/>
        <v>Not Improved Enough</v>
      </c>
      <c r="V970" t="str">
        <f t="shared" si="189"/>
        <v>Close</v>
      </c>
      <c r="W970" t="str">
        <f t="shared" si="190"/>
        <v>Normal</v>
      </c>
      <c r="X970" t="str">
        <f t="shared" si="191"/>
        <v>Allowed</v>
      </c>
    </row>
    <row r="971" spans="1:24" x14ac:dyDescent="0.3">
      <c r="A971" t="s">
        <v>10</v>
      </c>
      <c r="B971" t="s">
        <v>32</v>
      </c>
      <c r="C971" t="s">
        <v>16</v>
      </c>
      <c r="D971" s="3">
        <v>45688</v>
      </c>
      <c r="E971" s="6">
        <v>0.17073170731707321</v>
      </c>
      <c r="F971">
        <v>0</v>
      </c>
      <c r="G971" t="s">
        <v>17</v>
      </c>
      <c r="H971" s="6">
        <v>0.16400000000000001</v>
      </c>
      <c r="I971" s="8">
        <v>0</v>
      </c>
      <c r="J971" s="5">
        <f t="shared" si="180"/>
        <v>2.6472445732452773E-2</v>
      </c>
      <c r="K971" s="5" cm="1">
        <f t="array" ref="K971">_xlfn.STDEV.S(IF($C:$C=C971,$I:$I))</f>
        <v>0.13493378643970674</v>
      </c>
      <c r="L971" s="7">
        <f t="shared" si="183"/>
        <v>-0.19618841530309838</v>
      </c>
      <c r="M971">
        <f t="shared" si="181"/>
        <v>0</v>
      </c>
      <c r="N971" s="9">
        <f t="shared" si="184"/>
        <v>-4.1046995835812221E-2</v>
      </c>
      <c r="O971">
        <f>COUNTIFS($B$2:B971,B971,$C$2:C971,C971,$D$2:D971,"&lt;"&amp;D971,$F$2:F971,1)</f>
        <v>0</v>
      </c>
      <c r="P971">
        <f t="shared" si="182"/>
        <v>0</v>
      </c>
      <c r="Q971" t="str">
        <f t="shared" si="185"/>
        <v>Monitor</v>
      </c>
      <c r="R971">
        <v>0</v>
      </c>
      <c r="S971">
        <f t="shared" si="186"/>
        <v>0</v>
      </c>
      <c r="T971">
        <f t="shared" si="187"/>
        <v>0</v>
      </c>
      <c r="U971" t="str">
        <f t="shared" si="188"/>
        <v>Not Improved Enough</v>
      </c>
      <c r="V971" t="str">
        <f t="shared" si="189"/>
        <v>Close</v>
      </c>
      <c r="W971" t="str">
        <f t="shared" si="190"/>
        <v>Normal</v>
      </c>
      <c r="X971" t="str">
        <f t="shared" si="191"/>
        <v>Allowed</v>
      </c>
    </row>
    <row r="972" spans="1:24" x14ac:dyDescent="0.3">
      <c r="A972" t="s">
        <v>10</v>
      </c>
      <c r="B972" t="s">
        <v>32</v>
      </c>
      <c r="C972" t="s">
        <v>16</v>
      </c>
      <c r="D972" s="3">
        <v>45716</v>
      </c>
      <c r="E972" s="6">
        <v>0.17499999999999999</v>
      </c>
      <c r="F972">
        <v>0</v>
      </c>
      <c r="G972" t="s">
        <v>17</v>
      </c>
      <c r="H972" s="6">
        <v>0.16400000000000001</v>
      </c>
      <c r="I972" s="8">
        <v>2.4999999999999689E-2</v>
      </c>
      <c r="J972" s="5">
        <f t="shared" si="180"/>
        <v>2.6472445732452773E-2</v>
      </c>
      <c r="K972" s="5" cm="1">
        <f t="array" ref="K972">_xlfn.STDEV.S(IF($C:$C=C972,$I:$I))</f>
        <v>0.13493378643970674</v>
      </c>
      <c r="L972" s="7">
        <f t="shared" si="183"/>
        <v>-1.0912357618534815E-2</v>
      </c>
      <c r="M972">
        <f t="shared" si="181"/>
        <v>0</v>
      </c>
      <c r="N972" s="9">
        <f t="shared" si="184"/>
        <v>-6.707317073170721E-2</v>
      </c>
      <c r="O972">
        <f>COUNTIFS($B$2:B972,B972,$C$2:C972,C972,$D$2:D972,"&lt;"&amp;D972,$F$2:F972,1)</f>
        <v>0</v>
      </c>
      <c r="P972">
        <f t="shared" si="182"/>
        <v>0</v>
      </c>
      <c r="Q972" t="str">
        <f t="shared" si="185"/>
        <v>Monitor</v>
      </c>
      <c r="R972">
        <v>0</v>
      </c>
      <c r="S972">
        <f t="shared" si="186"/>
        <v>0</v>
      </c>
      <c r="T972">
        <f t="shared" si="187"/>
        <v>0</v>
      </c>
      <c r="U972" t="str">
        <f t="shared" si="188"/>
        <v>Improved Enough</v>
      </c>
      <c r="V972" t="str">
        <f t="shared" si="189"/>
        <v>Close</v>
      </c>
      <c r="W972" t="str">
        <f t="shared" si="190"/>
        <v>Normal</v>
      </c>
      <c r="X972" t="str">
        <f t="shared" si="191"/>
        <v>Allowed</v>
      </c>
    </row>
    <row r="973" spans="1:24" x14ac:dyDescent="0.3">
      <c r="A973" t="s">
        <v>10</v>
      </c>
      <c r="B973" t="s">
        <v>32</v>
      </c>
      <c r="C973" t="s">
        <v>16</v>
      </c>
      <c r="D973" s="3">
        <v>45747</v>
      </c>
      <c r="E973" s="6">
        <v>0.17073170731707321</v>
      </c>
      <c r="F973">
        <v>0</v>
      </c>
      <c r="G973" t="s">
        <v>17</v>
      </c>
      <c r="H973" s="6">
        <v>0.16400000000000001</v>
      </c>
      <c r="I973" s="8">
        <v>-2.439024390243873E-2</v>
      </c>
      <c r="J973" s="5">
        <f t="shared" si="180"/>
        <v>2.6472445732452773E-2</v>
      </c>
      <c r="K973" s="5" cm="1">
        <f t="array" ref="K973">_xlfn.STDEV.S(IF($C:$C=C973,$I:$I))</f>
        <v>0.13493378643970674</v>
      </c>
      <c r="L973" s="7">
        <f t="shared" si="183"/>
        <v>-0.37694554475145314</v>
      </c>
      <c r="M973">
        <f t="shared" si="181"/>
        <v>0</v>
      </c>
      <c r="N973" s="9">
        <f t="shared" si="184"/>
        <v>-4.1046995835812221E-2</v>
      </c>
      <c r="O973">
        <f>COUNTIFS($B$2:B973,B973,$C$2:C973,C973,$D$2:D973,"&lt;"&amp;D973,$F$2:F973,1)</f>
        <v>0</v>
      </c>
      <c r="P973">
        <f t="shared" si="182"/>
        <v>0</v>
      </c>
      <c r="Q973" t="str">
        <f t="shared" si="185"/>
        <v>Monitor</v>
      </c>
      <c r="R973">
        <v>0</v>
      </c>
      <c r="S973">
        <f t="shared" si="186"/>
        <v>0</v>
      </c>
      <c r="T973">
        <f t="shared" si="187"/>
        <v>0</v>
      </c>
      <c r="U973" t="str">
        <f t="shared" si="188"/>
        <v>Not Improved Enough</v>
      </c>
      <c r="V973" t="str">
        <f t="shared" si="189"/>
        <v>Close</v>
      </c>
      <c r="W973" t="str">
        <f t="shared" si="190"/>
        <v>Normal</v>
      </c>
      <c r="X973" t="str">
        <f t="shared" si="191"/>
        <v>Allowed</v>
      </c>
    </row>
    <row r="974" spans="1:24" x14ac:dyDescent="0.3">
      <c r="A974" t="s">
        <v>10</v>
      </c>
      <c r="B974" t="s">
        <v>32</v>
      </c>
      <c r="C974" t="s">
        <v>16</v>
      </c>
      <c r="D974" s="3">
        <v>45777</v>
      </c>
      <c r="E974" s="6">
        <v>0.17073170731707321</v>
      </c>
      <c r="F974">
        <v>0</v>
      </c>
      <c r="G974" t="s">
        <v>17</v>
      </c>
      <c r="H974" s="6">
        <v>0.16400000000000001</v>
      </c>
      <c r="I974" s="8">
        <v>0</v>
      </c>
      <c r="J974" s="5">
        <f t="shared" si="180"/>
        <v>2.6472445732452773E-2</v>
      </c>
      <c r="K974" s="5" cm="1">
        <f t="array" ref="K974">_xlfn.STDEV.S(IF($C:$C=C974,$I:$I))</f>
        <v>0.13493378643970674</v>
      </c>
      <c r="L974" s="7">
        <f t="shared" si="183"/>
        <v>-0.19618841530309838</v>
      </c>
      <c r="M974">
        <f t="shared" si="181"/>
        <v>0</v>
      </c>
      <c r="N974" s="9">
        <f t="shared" si="184"/>
        <v>-4.1046995835812221E-2</v>
      </c>
      <c r="O974">
        <f>COUNTIFS($B$2:B974,B974,$C$2:C974,C974,$D$2:D974,"&lt;"&amp;D974,$F$2:F974,1)</f>
        <v>0</v>
      </c>
      <c r="P974">
        <f t="shared" si="182"/>
        <v>0</v>
      </c>
      <c r="Q974" t="str">
        <f t="shared" si="185"/>
        <v>Monitor</v>
      </c>
      <c r="R974">
        <v>0</v>
      </c>
      <c r="S974">
        <f t="shared" si="186"/>
        <v>0</v>
      </c>
      <c r="T974">
        <f t="shared" si="187"/>
        <v>0</v>
      </c>
      <c r="U974" t="str">
        <f t="shared" si="188"/>
        <v>Not Improved Enough</v>
      </c>
      <c r="V974" t="str">
        <f t="shared" si="189"/>
        <v>Close</v>
      </c>
      <c r="W974" t="str">
        <f t="shared" si="190"/>
        <v>Normal</v>
      </c>
      <c r="X974" t="str">
        <f t="shared" si="191"/>
        <v>Allowed</v>
      </c>
    </row>
    <row r="975" spans="1:24" x14ac:dyDescent="0.3">
      <c r="A975" t="s">
        <v>10</v>
      </c>
      <c r="B975" t="s">
        <v>32</v>
      </c>
      <c r="C975" t="s">
        <v>16</v>
      </c>
      <c r="D975" s="3">
        <v>45808</v>
      </c>
      <c r="E975" s="6">
        <v>0.17499999999999999</v>
      </c>
      <c r="F975">
        <v>0</v>
      </c>
      <c r="G975" t="s">
        <v>17</v>
      </c>
      <c r="H975" s="6">
        <v>0.16400000000000001</v>
      </c>
      <c r="I975" s="8">
        <v>2.4999999999999689E-2</v>
      </c>
      <c r="J975" s="5">
        <f t="shared" si="180"/>
        <v>2.6472445732452773E-2</v>
      </c>
      <c r="K975" s="5" cm="1">
        <f t="array" ref="K975">_xlfn.STDEV.S(IF($C:$C=C975,$I:$I))</f>
        <v>0.13493378643970674</v>
      </c>
      <c r="L975" s="7">
        <f t="shared" si="183"/>
        <v>-1.0912357618534815E-2</v>
      </c>
      <c r="M975">
        <f t="shared" si="181"/>
        <v>0</v>
      </c>
      <c r="N975" s="9">
        <f t="shared" si="184"/>
        <v>-6.707317073170721E-2</v>
      </c>
      <c r="O975">
        <f>COUNTIFS($B$2:B975,B975,$C$2:C975,C975,$D$2:D975,"&lt;"&amp;D975,$F$2:F975,1)</f>
        <v>0</v>
      </c>
      <c r="P975">
        <f t="shared" si="182"/>
        <v>0</v>
      </c>
      <c r="Q975" t="str">
        <f t="shared" si="185"/>
        <v>Monitor</v>
      </c>
      <c r="R975">
        <v>0</v>
      </c>
      <c r="S975">
        <f t="shared" si="186"/>
        <v>0</v>
      </c>
      <c r="T975">
        <f t="shared" si="187"/>
        <v>0</v>
      </c>
      <c r="U975" t="str">
        <f t="shared" si="188"/>
        <v>Improved Enough</v>
      </c>
      <c r="V975" t="str">
        <f t="shared" si="189"/>
        <v>Close</v>
      </c>
      <c r="W975" t="str">
        <f t="shared" si="190"/>
        <v>Normal</v>
      </c>
      <c r="X975" t="str">
        <f t="shared" si="191"/>
        <v>Allowed</v>
      </c>
    </row>
    <row r="976" spans="1:24" x14ac:dyDescent="0.3">
      <c r="A976" t="s">
        <v>10</v>
      </c>
      <c r="B976" t="s">
        <v>32</v>
      </c>
      <c r="C976" t="s">
        <v>16</v>
      </c>
      <c r="D976" s="3">
        <v>45838</v>
      </c>
      <c r="E976" s="6">
        <v>0.17499999999999999</v>
      </c>
      <c r="F976">
        <v>0</v>
      </c>
      <c r="G976" t="s">
        <v>17</v>
      </c>
      <c r="H976" s="6">
        <v>0.16400000000000001</v>
      </c>
      <c r="I976" s="8">
        <v>0</v>
      </c>
      <c r="J976" s="5">
        <f t="shared" si="180"/>
        <v>2.6472445732452773E-2</v>
      </c>
      <c r="K976" s="5" cm="1">
        <f t="array" ref="K976">_xlfn.STDEV.S(IF($C:$C=C976,$I:$I))</f>
        <v>0.13493378643970674</v>
      </c>
      <c r="L976" s="7">
        <f t="shared" si="183"/>
        <v>-0.19618841530309838</v>
      </c>
      <c r="M976">
        <f t="shared" si="181"/>
        <v>0</v>
      </c>
      <c r="N976" s="9">
        <f t="shared" si="184"/>
        <v>-6.707317073170721E-2</v>
      </c>
      <c r="O976">
        <f>COUNTIFS($B$2:B976,B976,$C$2:C976,C976,$D$2:D976,"&lt;"&amp;D976,$F$2:F976,1)</f>
        <v>0</v>
      </c>
      <c r="P976">
        <f t="shared" si="182"/>
        <v>0</v>
      </c>
      <c r="Q976" t="str">
        <f t="shared" si="185"/>
        <v>Monitor</v>
      </c>
      <c r="R976">
        <v>0</v>
      </c>
      <c r="S976">
        <f t="shared" si="186"/>
        <v>0</v>
      </c>
      <c r="T976">
        <f t="shared" si="187"/>
        <v>0</v>
      </c>
      <c r="U976" t="str">
        <f t="shared" si="188"/>
        <v>Not Improved Enough</v>
      </c>
      <c r="V976" t="str">
        <f t="shared" si="189"/>
        <v>Close</v>
      </c>
      <c r="W976" t="str">
        <f t="shared" si="190"/>
        <v>Normal</v>
      </c>
      <c r="X976" t="str">
        <f t="shared" si="191"/>
        <v>Allowed</v>
      </c>
    </row>
    <row r="977" spans="1:24" x14ac:dyDescent="0.3">
      <c r="A977" t="s">
        <v>10</v>
      </c>
      <c r="B977" t="s">
        <v>32</v>
      </c>
      <c r="C977" t="s">
        <v>16</v>
      </c>
      <c r="D977" s="3">
        <v>45869</v>
      </c>
      <c r="E977" s="6">
        <v>0.17073170731707321</v>
      </c>
      <c r="F977">
        <v>0</v>
      </c>
      <c r="G977" t="s">
        <v>17</v>
      </c>
      <c r="H977" s="6">
        <v>0.16400000000000001</v>
      </c>
      <c r="I977" s="8">
        <v>-2.439024390243873E-2</v>
      </c>
      <c r="J977" s="5">
        <f t="shared" si="180"/>
        <v>2.6472445732452773E-2</v>
      </c>
      <c r="K977" s="5" cm="1">
        <f t="array" ref="K977">_xlfn.STDEV.S(IF($C:$C=C977,$I:$I))</f>
        <v>0.13493378643970674</v>
      </c>
      <c r="L977" s="7">
        <f t="shared" si="183"/>
        <v>-0.37694554475145314</v>
      </c>
      <c r="M977">
        <f t="shared" si="181"/>
        <v>0</v>
      </c>
      <c r="N977" s="9">
        <f t="shared" si="184"/>
        <v>-4.1046995835812221E-2</v>
      </c>
      <c r="O977">
        <f>COUNTIFS($B$2:B977,B977,$C$2:C977,C977,$D$2:D977,"&lt;"&amp;D977,$F$2:F977,1)</f>
        <v>0</v>
      </c>
      <c r="P977">
        <f t="shared" si="182"/>
        <v>0</v>
      </c>
      <c r="Q977" t="str">
        <f t="shared" si="185"/>
        <v>Monitor</v>
      </c>
      <c r="R977">
        <v>0</v>
      </c>
      <c r="S977">
        <f t="shared" si="186"/>
        <v>0</v>
      </c>
      <c r="T977">
        <f t="shared" si="187"/>
        <v>0</v>
      </c>
      <c r="U977" t="str">
        <f t="shared" si="188"/>
        <v>Not Improved Enough</v>
      </c>
      <c r="V977" t="str">
        <f t="shared" si="189"/>
        <v>Close</v>
      </c>
      <c r="W977" t="str">
        <f t="shared" si="190"/>
        <v>Normal</v>
      </c>
      <c r="X977" t="str">
        <f t="shared" si="191"/>
        <v>Allowed</v>
      </c>
    </row>
    <row r="978" spans="1:24" x14ac:dyDescent="0.3">
      <c r="A978" t="s">
        <v>10</v>
      </c>
      <c r="B978" t="s">
        <v>32</v>
      </c>
      <c r="C978" t="s">
        <v>16</v>
      </c>
      <c r="D978" s="3">
        <v>45900</v>
      </c>
      <c r="E978" s="6">
        <v>0.16666666666666671</v>
      </c>
      <c r="F978">
        <v>0</v>
      </c>
      <c r="G978" t="s">
        <v>17</v>
      </c>
      <c r="H978" s="6">
        <v>0.16400000000000001</v>
      </c>
      <c r="I978" s="8">
        <v>-2.380952380952377E-2</v>
      </c>
      <c r="J978" s="5">
        <f t="shared" si="180"/>
        <v>2.6472445732452773E-2</v>
      </c>
      <c r="K978" s="5" cm="1">
        <f t="array" ref="K978">_xlfn.STDEV.S(IF($C:$C=C978,$I:$I))</f>
        <v>0.13493378643970674</v>
      </c>
      <c r="L978" s="7">
        <f t="shared" si="183"/>
        <v>-0.37264180357411325</v>
      </c>
      <c r="M978">
        <f t="shared" si="181"/>
        <v>0</v>
      </c>
      <c r="N978" s="9">
        <f t="shared" si="184"/>
        <v>-1.6260162601626257E-2</v>
      </c>
      <c r="O978">
        <f>COUNTIFS($B$2:B978,B978,$C$2:C978,C978,$D$2:D978,"&lt;"&amp;D978,$F$2:F978,1)</f>
        <v>0</v>
      </c>
      <c r="P978">
        <f t="shared" si="182"/>
        <v>0</v>
      </c>
      <c r="Q978" t="str">
        <f t="shared" si="185"/>
        <v>Monitor</v>
      </c>
      <c r="R978">
        <v>0</v>
      </c>
      <c r="S978">
        <f t="shared" si="186"/>
        <v>0</v>
      </c>
      <c r="T978">
        <f t="shared" si="187"/>
        <v>0</v>
      </c>
      <c r="U978" t="str">
        <f t="shared" si="188"/>
        <v>Not Improved Enough</v>
      </c>
      <c r="V978" t="str">
        <f t="shared" si="189"/>
        <v>Close</v>
      </c>
      <c r="W978" t="str">
        <f t="shared" si="190"/>
        <v>Normal</v>
      </c>
      <c r="X978" t="str">
        <f t="shared" si="191"/>
        <v>Allowed</v>
      </c>
    </row>
    <row r="979" spans="1:24" x14ac:dyDescent="0.3">
      <c r="A979" t="s">
        <v>10</v>
      </c>
      <c r="B979" t="s">
        <v>32</v>
      </c>
      <c r="C979" t="s">
        <v>16</v>
      </c>
      <c r="D979" s="3">
        <v>45930</v>
      </c>
      <c r="E979" s="6">
        <v>0.16666666666666671</v>
      </c>
      <c r="F979">
        <v>0</v>
      </c>
      <c r="G979" t="s">
        <v>17</v>
      </c>
      <c r="H979" s="6">
        <v>0.16400000000000001</v>
      </c>
      <c r="I979" s="8">
        <v>0</v>
      </c>
      <c r="J979" s="5">
        <f t="shared" si="180"/>
        <v>2.6472445732452773E-2</v>
      </c>
      <c r="K979" s="5" cm="1">
        <f t="array" ref="K979">_xlfn.STDEV.S(IF($C:$C=C979,$I:$I))</f>
        <v>0.13493378643970674</v>
      </c>
      <c r="L979" s="7">
        <f t="shared" si="183"/>
        <v>-0.19618841530309838</v>
      </c>
      <c r="M979">
        <f t="shared" si="181"/>
        <v>0</v>
      </c>
      <c r="N979" s="9">
        <f t="shared" si="184"/>
        <v>-1.6260162601626257E-2</v>
      </c>
      <c r="O979">
        <f>COUNTIFS($B$2:B979,B979,$C$2:C979,C979,$D$2:D979,"&lt;"&amp;D979,$F$2:F979,1)</f>
        <v>0</v>
      </c>
      <c r="P979">
        <f t="shared" si="182"/>
        <v>0</v>
      </c>
      <c r="Q979" t="str">
        <f t="shared" si="185"/>
        <v>Monitor</v>
      </c>
      <c r="R979">
        <v>0</v>
      </c>
      <c r="S979">
        <f t="shared" si="186"/>
        <v>0</v>
      </c>
      <c r="T979">
        <f t="shared" si="187"/>
        <v>0</v>
      </c>
      <c r="U979" t="str">
        <f t="shared" si="188"/>
        <v>Not Improved Enough</v>
      </c>
      <c r="V979" t="str">
        <f t="shared" si="189"/>
        <v>Close</v>
      </c>
      <c r="W979" t="str">
        <f t="shared" si="190"/>
        <v>Normal</v>
      </c>
      <c r="X979" t="str">
        <f t="shared" si="191"/>
        <v>Allowed</v>
      </c>
    </row>
    <row r="980" spans="1:24" x14ac:dyDescent="0.3">
      <c r="A980" t="s">
        <v>10</v>
      </c>
      <c r="B980" t="s">
        <v>32</v>
      </c>
      <c r="C980" t="s">
        <v>16</v>
      </c>
      <c r="D980" s="3">
        <v>45961</v>
      </c>
      <c r="E980" s="6">
        <v>0.17073170731707321</v>
      </c>
      <c r="F980">
        <v>0</v>
      </c>
      <c r="G980" t="s">
        <v>17</v>
      </c>
      <c r="H980" s="6">
        <v>0.16400000000000001</v>
      </c>
      <c r="I980" s="8">
        <v>2.439024390243898E-2</v>
      </c>
      <c r="J980" s="5">
        <f t="shared" si="180"/>
        <v>2.6472445732452773E-2</v>
      </c>
      <c r="K980" s="5" cm="1">
        <f t="array" ref="K980">_xlfn.STDEV.S(IF($C:$C=C980,$I:$I))</f>
        <v>0.13493378643970674</v>
      </c>
      <c r="L980" s="7">
        <f t="shared" si="183"/>
        <v>-1.5431285854741763E-2</v>
      </c>
      <c r="M980">
        <f t="shared" si="181"/>
        <v>0</v>
      </c>
      <c r="N980" s="9">
        <f t="shared" si="184"/>
        <v>-4.1046995835812221E-2</v>
      </c>
      <c r="O980">
        <f>COUNTIFS($B$2:B980,B980,$C$2:C980,C980,$D$2:D980,"&lt;"&amp;D980,$F$2:F980,1)</f>
        <v>0</v>
      </c>
      <c r="P980">
        <f t="shared" si="182"/>
        <v>0</v>
      </c>
      <c r="Q980" t="str">
        <f t="shared" si="185"/>
        <v>Monitor</v>
      </c>
      <c r="R980">
        <v>0</v>
      </c>
      <c r="S980">
        <f t="shared" si="186"/>
        <v>0</v>
      </c>
      <c r="T980">
        <f t="shared" si="187"/>
        <v>0</v>
      </c>
      <c r="U980" t="str">
        <f t="shared" si="188"/>
        <v>Improved Enough</v>
      </c>
      <c r="V980" t="str">
        <f t="shared" si="189"/>
        <v>Close</v>
      </c>
      <c r="W980" t="str">
        <f t="shared" si="190"/>
        <v>Normal</v>
      </c>
      <c r="X980" t="str">
        <f t="shared" si="191"/>
        <v>Allowed</v>
      </c>
    </row>
    <row r="981" spans="1:24" x14ac:dyDescent="0.3">
      <c r="A981" t="s">
        <v>10</v>
      </c>
      <c r="B981" t="s">
        <v>32</v>
      </c>
      <c r="C981" t="s">
        <v>16</v>
      </c>
      <c r="D981" s="3">
        <v>45991</v>
      </c>
      <c r="E981" s="6">
        <v>0.19047619047619049</v>
      </c>
      <c r="F981">
        <v>0</v>
      </c>
      <c r="G981" t="s">
        <v>17</v>
      </c>
      <c r="H981" s="6">
        <v>0.16400000000000001</v>
      </c>
      <c r="I981" s="8">
        <v>0.1156462585034012</v>
      </c>
      <c r="J981" s="5">
        <f t="shared" si="180"/>
        <v>2.6472445732452773E-2</v>
      </c>
      <c r="K981" s="5" cm="1">
        <f t="array" ref="K981">_xlfn.STDEV.S(IF($C:$C=C981,$I:$I))</f>
        <v>0.13493378643970674</v>
      </c>
      <c r="L981" s="7">
        <f t="shared" si="183"/>
        <v>0.66087089915611674</v>
      </c>
      <c r="M981">
        <f t="shared" si="181"/>
        <v>-1</v>
      </c>
      <c r="N981" s="9">
        <f t="shared" si="184"/>
        <v>-0.16144018583042979</v>
      </c>
      <c r="O981">
        <f>COUNTIFS($B$2:B981,B981,$C$2:C981,C981,$D$2:D981,"&lt;"&amp;D981,$F$2:F981,1)</f>
        <v>0</v>
      </c>
      <c r="P981">
        <f t="shared" si="182"/>
        <v>0</v>
      </c>
      <c r="Q981" t="str">
        <f t="shared" si="185"/>
        <v>Monitor</v>
      </c>
      <c r="R981">
        <v>0</v>
      </c>
      <c r="S981">
        <f t="shared" si="186"/>
        <v>0</v>
      </c>
      <c r="T981">
        <f t="shared" si="187"/>
        <v>0</v>
      </c>
      <c r="U981" t="str">
        <f t="shared" si="188"/>
        <v>Improved Enough</v>
      </c>
      <c r="V981" t="str">
        <f t="shared" si="189"/>
        <v>Close</v>
      </c>
      <c r="W981" t="str">
        <f t="shared" si="190"/>
        <v>Normal</v>
      </c>
      <c r="X981" t="str">
        <f t="shared" si="191"/>
        <v>Allowed</v>
      </c>
    </row>
    <row r="982" spans="1:24" x14ac:dyDescent="0.3">
      <c r="A982" t="s">
        <v>10</v>
      </c>
      <c r="B982" t="s">
        <v>32</v>
      </c>
      <c r="C982" t="s">
        <v>18</v>
      </c>
      <c r="D982" s="3">
        <v>45535</v>
      </c>
      <c r="E982" s="6">
        <v>0.1127589720366806</v>
      </c>
      <c r="F982">
        <v>0</v>
      </c>
      <c r="G982" t="s">
        <v>13</v>
      </c>
      <c r="H982" s="6">
        <v>0.104</v>
      </c>
      <c r="I982" s="8">
        <v>1.5499987818981801E-2</v>
      </c>
      <c r="J982" s="5">
        <f t="shared" si="180"/>
        <v>1.7244519882342341E-3</v>
      </c>
      <c r="K982" s="5" cm="1">
        <f t="array" ref="K982">_xlfn.STDEV.S(IF($C:$C=C982,$I:$I))</f>
        <v>8.3117651155014696E-2</v>
      </c>
      <c r="L982" s="7">
        <f t="shared" si="183"/>
        <v>0.16573538399269905</v>
      </c>
      <c r="M982">
        <f t="shared" si="181"/>
        <v>0</v>
      </c>
      <c r="N982" s="9">
        <f t="shared" si="184"/>
        <v>8.4220884968082763E-2</v>
      </c>
      <c r="O982">
        <f>COUNTIFS($B$2:B982,B982,$C$2:C982,C982,$D$2:D982,"&lt;"&amp;D982,$F$2:F982,1)</f>
        <v>0</v>
      </c>
      <c r="P982">
        <f t="shared" si="182"/>
        <v>0</v>
      </c>
      <c r="Q982" t="str">
        <f t="shared" si="185"/>
        <v>Monitor</v>
      </c>
      <c r="R982">
        <v>0</v>
      </c>
      <c r="S982">
        <f t="shared" si="186"/>
        <v>0</v>
      </c>
      <c r="T982">
        <f t="shared" si="187"/>
        <v>0</v>
      </c>
      <c r="U982" t="str">
        <f t="shared" si="188"/>
        <v>Improved Enough</v>
      </c>
      <c r="V982" t="str">
        <f t="shared" si="189"/>
        <v>Far</v>
      </c>
      <c r="W982" t="str">
        <f t="shared" si="190"/>
        <v>Normal</v>
      </c>
      <c r="X982" t="str">
        <f t="shared" si="191"/>
        <v>Allowed</v>
      </c>
    </row>
    <row r="983" spans="1:24" x14ac:dyDescent="0.3">
      <c r="A983" t="s">
        <v>10</v>
      </c>
      <c r="B983" t="s">
        <v>32</v>
      </c>
      <c r="C983" t="s">
        <v>18</v>
      </c>
      <c r="D983" s="3">
        <v>45565</v>
      </c>
      <c r="E983" s="6">
        <v>0.11723027375201291</v>
      </c>
      <c r="F983">
        <v>0</v>
      </c>
      <c r="G983" t="s">
        <v>13</v>
      </c>
      <c r="H983" s="6">
        <v>0.104</v>
      </c>
      <c r="I983" s="8">
        <v>-3.9653622541697041E-2</v>
      </c>
      <c r="J983" s="5">
        <f t="shared" si="180"/>
        <v>1.7244519882342341E-3</v>
      </c>
      <c r="K983" s="5" cm="1">
        <f t="array" ref="K983">_xlfn.STDEV.S(IF($C:$C=C983,$I:$I))</f>
        <v>8.3117651155014696E-2</v>
      </c>
      <c r="L983" s="7">
        <f t="shared" si="183"/>
        <v>-0.49782535905353037</v>
      </c>
      <c r="M983">
        <f t="shared" si="181"/>
        <v>0</v>
      </c>
      <c r="N983" s="9">
        <f t="shared" si="184"/>
        <v>0.12721417069243185</v>
      </c>
      <c r="O983">
        <f>COUNTIFS($B$2:B983,B983,$C$2:C983,C983,$D$2:D983,"&lt;"&amp;D983,$F$2:F983,1)</f>
        <v>0</v>
      </c>
      <c r="P983">
        <f t="shared" si="182"/>
        <v>0</v>
      </c>
      <c r="Q983" t="str">
        <f t="shared" si="185"/>
        <v>Monitor</v>
      </c>
      <c r="R983">
        <v>0</v>
      </c>
      <c r="S983">
        <f t="shared" si="186"/>
        <v>0</v>
      </c>
      <c r="T983">
        <f t="shared" si="187"/>
        <v>0</v>
      </c>
      <c r="U983" t="str">
        <f t="shared" si="188"/>
        <v>Not Improved Enough</v>
      </c>
      <c r="V983" t="str">
        <f t="shared" si="189"/>
        <v>Far</v>
      </c>
      <c r="W983" t="str">
        <f t="shared" si="190"/>
        <v>Normal</v>
      </c>
      <c r="X983" t="str">
        <f t="shared" si="191"/>
        <v>Allowed</v>
      </c>
    </row>
    <row r="984" spans="1:24" x14ac:dyDescent="0.3">
      <c r="A984" t="s">
        <v>10</v>
      </c>
      <c r="B984" t="s">
        <v>32</v>
      </c>
      <c r="C984" t="s">
        <v>18</v>
      </c>
      <c r="D984" s="3">
        <v>45596</v>
      </c>
      <c r="E984" s="6">
        <v>0.1152400835073069</v>
      </c>
      <c r="F984">
        <v>0</v>
      </c>
      <c r="G984" t="s">
        <v>13</v>
      </c>
      <c r="H984" s="6">
        <v>0.104</v>
      </c>
      <c r="I984" s="8">
        <v>1.6976760191791632E-2</v>
      </c>
      <c r="J984" s="5">
        <f t="shared" si="180"/>
        <v>1.7244519882342341E-3</v>
      </c>
      <c r="K984" s="5" cm="1">
        <f t="array" ref="K984">_xlfn.STDEV.S(IF($C:$C=C984,$I:$I))</f>
        <v>8.3117651155014696E-2</v>
      </c>
      <c r="L984" s="7">
        <f t="shared" si="183"/>
        <v>0.18350263742549452</v>
      </c>
      <c r="M984">
        <f t="shared" si="181"/>
        <v>0</v>
      </c>
      <c r="N984" s="9">
        <f t="shared" si="184"/>
        <v>0.10807772603179715</v>
      </c>
      <c r="O984">
        <f>COUNTIFS($B$2:B984,B984,$C$2:C984,C984,$D$2:D984,"&lt;"&amp;D984,$F$2:F984,1)</f>
        <v>0</v>
      </c>
      <c r="P984">
        <f t="shared" si="182"/>
        <v>0</v>
      </c>
      <c r="Q984" t="str">
        <f t="shared" si="185"/>
        <v>Monitor</v>
      </c>
      <c r="R984">
        <v>0</v>
      </c>
      <c r="S984">
        <f t="shared" si="186"/>
        <v>0</v>
      </c>
      <c r="T984">
        <f t="shared" si="187"/>
        <v>0</v>
      </c>
      <c r="U984" t="str">
        <f t="shared" si="188"/>
        <v>Improved Enough</v>
      </c>
      <c r="V984" t="str">
        <f t="shared" si="189"/>
        <v>Far</v>
      </c>
      <c r="W984" t="str">
        <f t="shared" si="190"/>
        <v>Normal</v>
      </c>
      <c r="X984" t="str">
        <f t="shared" si="191"/>
        <v>Allowed</v>
      </c>
    </row>
    <row r="985" spans="1:24" x14ac:dyDescent="0.3">
      <c r="A985" t="s">
        <v>10</v>
      </c>
      <c r="B985" t="s">
        <v>32</v>
      </c>
      <c r="C985" t="s">
        <v>18</v>
      </c>
      <c r="D985" s="3">
        <v>45626</v>
      </c>
      <c r="E985" s="6">
        <v>0.11514903999999999</v>
      </c>
      <c r="F985">
        <v>0</v>
      </c>
      <c r="G985" t="s">
        <v>13</v>
      </c>
      <c r="H985" s="6">
        <v>0.104</v>
      </c>
      <c r="I985" s="8">
        <v>7.900333333334587E-4</v>
      </c>
      <c r="J985" s="5">
        <f t="shared" si="180"/>
        <v>1.7244519882342341E-3</v>
      </c>
      <c r="K985" s="5" cm="1">
        <f t="array" ref="K985">_xlfn.STDEV.S(IF($C:$C=C985,$I:$I))</f>
        <v>8.3117651155014696E-2</v>
      </c>
      <c r="L985" s="7">
        <f t="shared" si="183"/>
        <v>-1.1242120559423431E-2</v>
      </c>
      <c r="M985">
        <f t="shared" si="181"/>
        <v>0</v>
      </c>
      <c r="N985" s="9">
        <f t="shared" si="184"/>
        <v>0.10720230769230769</v>
      </c>
      <c r="O985">
        <f>COUNTIFS($B$2:B985,B985,$C$2:C985,C985,$D$2:D985,"&lt;"&amp;D985,$F$2:F985,1)</f>
        <v>0</v>
      </c>
      <c r="P985">
        <f t="shared" si="182"/>
        <v>0</v>
      </c>
      <c r="Q985" t="str">
        <f t="shared" si="185"/>
        <v>Monitor</v>
      </c>
      <c r="R985">
        <v>0</v>
      </c>
      <c r="S985">
        <f t="shared" si="186"/>
        <v>0</v>
      </c>
      <c r="T985">
        <f t="shared" si="187"/>
        <v>0</v>
      </c>
      <c r="U985" t="str">
        <f t="shared" si="188"/>
        <v>Not Improved Enough</v>
      </c>
      <c r="V985" t="str">
        <f t="shared" si="189"/>
        <v>Far</v>
      </c>
      <c r="W985" t="str">
        <f t="shared" si="190"/>
        <v>Normal</v>
      </c>
      <c r="X985" t="str">
        <f t="shared" si="191"/>
        <v>Allowed</v>
      </c>
    </row>
    <row r="986" spans="1:24" x14ac:dyDescent="0.3">
      <c r="A986" t="s">
        <v>10</v>
      </c>
      <c r="B986" t="s">
        <v>32</v>
      </c>
      <c r="C986" t="s">
        <v>18</v>
      </c>
      <c r="D986" s="3">
        <v>45657</v>
      </c>
      <c r="E986" s="6">
        <v>0.1117564590426597</v>
      </c>
      <c r="F986">
        <v>0</v>
      </c>
      <c r="G986" t="s">
        <v>13</v>
      </c>
      <c r="H986" s="6">
        <v>0.104</v>
      </c>
      <c r="I986" s="8">
        <v>2.946252055023903E-2</v>
      </c>
      <c r="J986" s="5">
        <f t="shared" si="180"/>
        <v>1.7244519882342341E-3</v>
      </c>
      <c r="K986" s="5" cm="1">
        <f t="array" ref="K986">_xlfn.STDEV.S(IF($C:$C=C986,$I:$I))</f>
        <v>8.3117651155014696E-2</v>
      </c>
      <c r="L986" s="7">
        <f t="shared" si="183"/>
        <v>0.33372055365560321</v>
      </c>
      <c r="M986">
        <f t="shared" si="181"/>
        <v>0</v>
      </c>
      <c r="N986" s="9">
        <f t="shared" si="184"/>
        <v>7.4581336948650989E-2</v>
      </c>
      <c r="O986">
        <f>COUNTIFS($B$2:B986,B986,$C$2:C986,C986,$D$2:D986,"&lt;"&amp;D986,$F$2:F986,1)</f>
        <v>0</v>
      </c>
      <c r="P986">
        <f t="shared" si="182"/>
        <v>0</v>
      </c>
      <c r="Q986" t="str">
        <f t="shared" si="185"/>
        <v>Monitor</v>
      </c>
      <c r="R986">
        <v>0</v>
      </c>
      <c r="S986">
        <f t="shared" si="186"/>
        <v>0</v>
      </c>
      <c r="T986">
        <f t="shared" si="187"/>
        <v>0</v>
      </c>
      <c r="U986" t="str">
        <f t="shared" si="188"/>
        <v>Improved Enough</v>
      </c>
      <c r="V986" t="str">
        <f t="shared" si="189"/>
        <v>Far</v>
      </c>
      <c r="W986" t="str">
        <f t="shared" si="190"/>
        <v>Normal</v>
      </c>
      <c r="X986" t="str">
        <f t="shared" si="191"/>
        <v>Allowed</v>
      </c>
    </row>
    <row r="987" spans="1:24" x14ac:dyDescent="0.3">
      <c r="A987" t="s">
        <v>10</v>
      </c>
      <c r="B987" t="s">
        <v>32</v>
      </c>
      <c r="C987" t="s">
        <v>18</v>
      </c>
      <c r="D987" s="3">
        <v>45688</v>
      </c>
      <c r="E987" s="6">
        <v>0.1074485880153498</v>
      </c>
      <c r="F987">
        <v>0</v>
      </c>
      <c r="G987" t="s">
        <v>13</v>
      </c>
      <c r="H987" s="6">
        <v>0.104</v>
      </c>
      <c r="I987" s="8">
        <v>3.854695347555253E-2</v>
      </c>
      <c r="J987" s="5">
        <f t="shared" si="180"/>
        <v>1.7244519882342341E-3</v>
      </c>
      <c r="K987" s="5" cm="1">
        <f t="array" ref="K987">_xlfn.STDEV.S(IF($C:$C=C987,$I:$I))</f>
        <v>8.3117651155014696E-2</v>
      </c>
      <c r="L987" s="7">
        <f t="shared" si="183"/>
        <v>0.44301662734241865</v>
      </c>
      <c r="M987">
        <f t="shared" si="181"/>
        <v>0</v>
      </c>
      <c r="N987" s="9">
        <f t="shared" si="184"/>
        <v>3.3159500147594299E-2</v>
      </c>
      <c r="O987">
        <f>COUNTIFS($B$2:B987,B987,$C$2:C987,C987,$D$2:D987,"&lt;"&amp;D987,$F$2:F987,1)</f>
        <v>0</v>
      </c>
      <c r="P987">
        <f t="shared" si="182"/>
        <v>0</v>
      </c>
      <c r="Q987" t="str">
        <f t="shared" si="185"/>
        <v>Monitor</v>
      </c>
      <c r="R987">
        <v>0</v>
      </c>
      <c r="S987">
        <f t="shared" si="186"/>
        <v>0</v>
      </c>
      <c r="T987">
        <f t="shared" si="187"/>
        <v>0</v>
      </c>
      <c r="U987" t="str">
        <f t="shared" si="188"/>
        <v>Improved Enough</v>
      </c>
      <c r="V987" t="str">
        <f t="shared" si="189"/>
        <v>Far</v>
      </c>
      <c r="W987" t="str">
        <f t="shared" si="190"/>
        <v>Normal</v>
      </c>
      <c r="X987" t="str">
        <f t="shared" si="191"/>
        <v>Allowed</v>
      </c>
    </row>
    <row r="988" spans="1:24" x14ac:dyDescent="0.3">
      <c r="A988" t="s">
        <v>10</v>
      </c>
      <c r="B988" t="s">
        <v>32</v>
      </c>
      <c r="C988" t="s">
        <v>18</v>
      </c>
      <c r="D988" s="3">
        <v>45716</v>
      </c>
      <c r="E988" s="6">
        <v>0.10471204188481679</v>
      </c>
      <c r="F988">
        <v>0</v>
      </c>
      <c r="G988" t="s">
        <v>13</v>
      </c>
      <c r="H988" s="6">
        <v>0.104</v>
      </c>
      <c r="I988" s="8">
        <v>2.5468423374182189E-2</v>
      </c>
      <c r="J988" s="5">
        <f t="shared" si="180"/>
        <v>1.7244519882342341E-3</v>
      </c>
      <c r="K988" s="5" cm="1">
        <f t="array" ref="K988">_xlfn.STDEV.S(IF($C:$C=C988,$I:$I))</f>
        <v>8.3117651155014696E-2</v>
      </c>
      <c r="L988" s="7">
        <f t="shared" si="183"/>
        <v>0.28566701604290251</v>
      </c>
      <c r="M988">
        <f t="shared" si="181"/>
        <v>0</v>
      </c>
      <c r="N988" s="9">
        <f t="shared" si="184"/>
        <v>6.8465565847769206E-3</v>
      </c>
      <c r="O988">
        <f>COUNTIFS($B$2:B988,B988,$C$2:C988,C988,$D$2:D988,"&lt;"&amp;D988,$F$2:F988,1)</f>
        <v>0</v>
      </c>
      <c r="P988">
        <f t="shared" si="182"/>
        <v>0</v>
      </c>
      <c r="Q988" t="str">
        <f t="shared" si="185"/>
        <v>Monitor</v>
      </c>
      <c r="R988">
        <v>0</v>
      </c>
      <c r="S988">
        <f t="shared" si="186"/>
        <v>0</v>
      </c>
      <c r="T988">
        <f t="shared" si="187"/>
        <v>0</v>
      </c>
      <c r="U988" t="str">
        <f t="shared" si="188"/>
        <v>Improved Enough</v>
      </c>
      <c r="V988" t="str">
        <f t="shared" si="189"/>
        <v>Close</v>
      </c>
      <c r="W988" t="str">
        <f t="shared" si="190"/>
        <v>Normal</v>
      </c>
      <c r="X988" t="str">
        <f t="shared" si="191"/>
        <v>Allowed</v>
      </c>
    </row>
    <row r="989" spans="1:24" x14ac:dyDescent="0.3">
      <c r="A989" t="s">
        <v>10</v>
      </c>
      <c r="B989" t="s">
        <v>32</v>
      </c>
      <c r="C989" t="s">
        <v>18</v>
      </c>
      <c r="D989" s="3">
        <v>45747</v>
      </c>
      <c r="E989" s="6">
        <v>0.1011106855610877</v>
      </c>
      <c r="F989">
        <v>0</v>
      </c>
      <c r="G989" t="s">
        <v>13</v>
      </c>
      <c r="H989" s="6">
        <v>0.104</v>
      </c>
      <c r="I989" s="8">
        <v>3.4392952891612892E-2</v>
      </c>
      <c r="J989" s="5">
        <f t="shared" si="180"/>
        <v>1.7244519882342341E-3</v>
      </c>
      <c r="K989" s="5" cm="1">
        <f t="array" ref="K989">_xlfn.STDEV.S(IF($C:$C=C989,$I:$I))</f>
        <v>8.3117651155014696E-2</v>
      </c>
      <c r="L989" s="7">
        <f t="shared" si="183"/>
        <v>0.39303926963060826</v>
      </c>
      <c r="M989">
        <f t="shared" si="181"/>
        <v>0</v>
      </c>
      <c r="N989" s="9">
        <f t="shared" si="184"/>
        <v>-2.7781869604925957E-2</v>
      </c>
      <c r="O989">
        <f>COUNTIFS($B$2:B989,B989,$C$2:C989,C989,$D$2:D989,"&lt;"&amp;D989,$F$2:F989,1)</f>
        <v>0</v>
      </c>
      <c r="P989">
        <f t="shared" si="182"/>
        <v>0</v>
      </c>
      <c r="Q989" t="str">
        <f t="shared" si="185"/>
        <v>Monitor</v>
      </c>
      <c r="R989">
        <v>0</v>
      </c>
      <c r="S989">
        <f t="shared" si="186"/>
        <v>0</v>
      </c>
      <c r="T989">
        <f t="shared" si="187"/>
        <v>0</v>
      </c>
      <c r="U989" t="str">
        <f t="shared" si="188"/>
        <v>Improved Enough</v>
      </c>
      <c r="V989" t="str">
        <f t="shared" si="189"/>
        <v>Close</v>
      </c>
      <c r="W989" t="str">
        <f t="shared" si="190"/>
        <v>Normal</v>
      </c>
      <c r="X989" t="str">
        <f t="shared" si="191"/>
        <v>Allowed</v>
      </c>
    </row>
    <row r="990" spans="1:24" x14ac:dyDescent="0.3">
      <c r="A990" t="s">
        <v>10</v>
      </c>
      <c r="B990" t="s">
        <v>32</v>
      </c>
      <c r="C990" t="s">
        <v>18</v>
      </c>
      <c r="D990" s="3">
        <v>45777</v>
      </c>
      <c r="E990" s="6">
        <v>9.6664139499620924E-2</v>
      </c>
      <c r="F990">
        <v>0</v>
      </c>
      <c r="G990" t="s">
        <v>13</v>
      </c>
      <c r="H990" s="6">
        <v>0.104</v>
      </c>
      <c r="I990" s="8">
        <v>4.3977014267006599E-2</v>
      </c>
      <c r="J990" s="5">
        <f t="shared" si="180"/>
        <v>1.7244519882342341E-3</v>
      </c>
      <c r="K990" s="5" cm="1">
        <f t="array" ref="K990">_xlfn.STDEV.S(IF($C:$C=C990,$I:$I))</f>
        <v>8.3117651155014696E-2</v>
      </c>
      <c r="L990" s="7">
        <f t="shared" si="183"/>
        <v>0.50834644256213635</v>
      </c>
      <c r="M990">
        <f t="shared" si="181"/>
        <v>-1</v>
      </c>
      <c r="N990" s="9">
        <f t="shared" si="184"/>
        <v>-7.053712019595261E-2</v>
      </c>
      <c r="O990">
        <f>COUNTIFS($B$2:B990,B990,$C$2:C990,C990,$D$2:D990,"&lt;"&amp;D990,$F$2:F990,1)</f>
        <v>0</v>
      </c>
      <c r="P990">
        <f t="shared" si="182"/>
        <v>0</v>
      </c>
      <c r="Q990" t="str">
        <f t="shared" si="185"/>
        <v>Monitor</v>
      </c>
      <c r="R990">
        <v>0</v>
      </c>
      <c r="S990">
        <f t="shared" si="186"/>
        <v>0</v>
      </c>
      <c r="T990">
        <f t="shared" si="187"/>
        <v>0</v>
      </c>
      <c r="U990" t="str">
        <f t="shared" si="188"/>
        <v>Improved Enough</v>
      </c>
      <c r="V990" t="str">
        <f t="shared" si="189"/>
        <v>Close</v>
      </c>
      <c r="W990" t="str">
        <f t="shared" si="190"/>
        <v>Normal</v>
      </c>
      <c r="X990" t="str">
        <f t="shared" si="191"/>
        <v>Allowed</v>
      </c>
    </row>
    <row r="991" spans="1:24" x14ac:dyDescent="0.3">
      <c r="A991" t="s">
        <v>10</v>
      </c>
      <c r="B991" t="s">
        <v>32</v>
      </c>
      <c r="C991" t="s">
        <v>18</v>
      </c>
      <c r="D991" s="3">
        <v>45808</v>
      </c>
      <c r="E991" s="6">
        <v>0.1024582473259523</v>
      </c>
      <c r="F991">
        <v>0</v>
      </c>
      <c r="G991" t="s">
        <v>13</v>
      </c>
      <c r="H991" s="6">
        <v>0.104</v>
      </c>
      <c r="I991" s="8">
        <v>-5.9940613513184929E-2</v>
      </c>
      <c r="J991" s="5">
        <f t="shared" si="180"/>
        <v>1.7244519882342341E-3</v>
      </c>
      <c r="K991" s="5" cm="1">
        <f t="array" ref="K991">_xlfn.STDEV.S(IF($C:$C=C991,$I:$I))</f>
        <v>8.3117651155014696E-2</v>
      </c>
      <c r="L991" s="7">
        <f t="shared" si="183"/>
        <v>-0.74190096380868131</v>
      </c>
      <c r="M991">
        <f t="shared" si="181"/>
        <v>1</v>
      </c>
      <c r="N991" s="9">
        <f t="shared" si="184"/>
        <v>-1.4824544942766346E-2</v>
      </c>
      <c r="O991">
        <f>COUNTIFS($B$2:B991,B991,$C$2:C991,C991,$D$2:D991,"&lt;"&amp;D991,$F$2:F991,1)</f>
        <v>0</v>
      </c>
      <c r="P991">
        <f t="shared" si="182"/>
        <v>0</v>
      </c>
      <c r="Q991" t="str">
        <f t="shared" si="185"/>
        <v>Monitor</v>
      </c>
      <c r="R991">
        <v>0</v>
      </c>
      <c r="S991">
        <f t="shared" si="186"/>
        <v>0</v>
      </c>
      <c r="T991">
        <f t="shared" si="187"/>
        <v>0</v>
      </c>
      <c r="U991" t="str">
        <f t="shared" si="188"/>
        <v>Not Improved Enough</v>
      </c>
      <c r="V991" t="str">
        <f t="shared" si="189"/>
        <v>Close</v>
      </c>
      <c r="W991" t="str">
        <f t="shared" si="190"/>
        <v>Abnormal</v>
      </c>
      <c r="X991" t="str">
        <f t="shared" si="191"/>
        <v>Allowed</v>
      </c>
    </row>
    <row r="992" spans="1:24" x14ac:dyDescent="0.3">
      <c r="A992" t="s">
        <v>10</v>
      </c>
      <c r="B992" t="s">
        <v>32</v>
      </c>
      <c r="C992" t="s">
        <v>18</v>
      </c>
      <c r="D992" s="3">
        <v>45838</v>
      </c>
      <c r="E992" s="6">
        <v>0.10493023255813951</v>
      </c>
      <c r="F992">
        <v>0</v>
      </c>
      <c r="G992" t="s">
        <v>13</v>
      </c>
      <c r="H992" s="6">
        <v>0.104</v>
      </c>
      <c r="I992" s="8">
        <v>-2.4126756963966389E-2</v>
      </c>
      <c r="J992" s="5">
        <f t="shared" si="180"/>
        <v>1.7244519882342341E-3</v>
      </c>
      <c r="K992" s="5" cm="1">
        <f t="array" ref="K992">_xlfn.STDEV.S(IF($C:$C=C992,$I:$I))</f>
        <v>8.3117651155014696E-2</v>
      </c>
      <c r="L992" s="7">
        <f t="shared" si="183"/>
        <v>-0.3110194837434474</v>
      </c>
      <c r="M992">
        <f t="shared" si="181"/>
        <v>0</v>
      </c>
      <c r="N992" s="9">
        <f t="shared" si="184"/>
        <v>8.9445438282645187E-3</v>
      </c>
      <c r="O992">
        <f>COUNTIFS($B$2:B992,B992,$C$2:C992,C992,$D$2:D992,"&lt;"&amp;D992,$F$2:F992,1)</f>
        <v>0</v>
      </c>
      <c r="P992">
        <f t="shared" si="182"/>
        <v>0</v>
      </c>
      <c r="Q992" t="str">
        <f t="shared" si="185"/>
        <v>Monitor</v>
      </c>
      <c r="R992">
        <v>0</v>
      </c>
      <c r="S992">
        <f t="shared" si="186"/>
        <v>0</v>
      </c>
      <c r="T992">
        <f t="shared" si="187"/>
        <v>0</v>
      </c>
      <c r="U992" t="str">
        <f t="shared" si="188"/>
        <v>Not Improved Enough</v>
      </c>
      <c r="V992" t="str">
        <f t="shared" si="189"/>
        <v>Close</v>
      </c>
      <c r="W992" t="str">
        <f t="shared" si="190"/>
        <v>Normal</v>
      </c>
      <c r="X992" t="str">
        <f t="shared" si="191"/>
        <v>Allowed</v>
      </c>
    </row>
    <row r="993" spans="1:24" x14ac:dyDescent="0.3">
      <c r="A993" t="s">
        <v>10</v>
      </c>
      <c r="B993" t="s">
        <v>32</v>
      </c>
      <c r="C993" t="s">
        <v>18</v>
      </c>
      <c r="D993" s="3">
        <v>45869</v>
      </c>
      <c r="E993" s="6">
        <v>0.1051466519092418</v>
      </c>
      <c r="F993">
        <v>0</v>
      </c>
      <c r="G993" t="s">
        <v>13</v>
      </c>
      <c r="H993" s="6">
        <v>0.104</v>
      </c>
      <c r="I993" s="8">
        <v>-2.0625071137851752E-3</v>
      </c>
      <c r="J993" s="5">
        <f t="shared" si="180"/>
        <v>1.7244519882342341E-3</v>
      </c>
      <c r="K993" s="5" cm="1">
        <f t="array" ref="K993">_xlfn.STDEV.S(IF($C:$C=C993,$I:$I))</f>
        <v>8.3117651155014696E-2</v>
      </c>
      <c r="L993" s="7">
        <f t="shared" si="183"/>
        <v>-4.5561430687649222E-2</v>
      </c>
      <c r="M993">
        <f t="shared" si="181"/>
        <v>0</v>
      </c>
      <c r="N993" s="9">
        <f t="shared" si="184"/>
        <v>1.1025499127325053E-2</v>
      </c>
      <c r="O993">
        <f>COUNTIFS($B$2:B993,B993,$C$2:C993,C993,$D$2:D993,"&lt;"&amp;D993,$F$2:F993,1)</f>
        <v>0</v>
      </c>
      <c r="P993">
        <f t="shared" si="182"/>
        <v>0</v>
      </c>
      <c r="Q993" t="str">
        <f t="shared" si="185"/>
        <v>Monitor</v>
      </c>
      <c r="R993">
        <v>0</v>
      </c>
      <c r="S993">
        <f t="shared" si="186"/>
        <v>0</v>
      </c>
      <c r="T993">
        <f t="shared" si="187"/>
        <v>0</v>
      </c>
      <c r="U993" t="str">
        <f t="shared" si="188"/>
        <v>Not Improved Enough</v>
      </c>
      <c r="V993" t="str">
        <f t="shared" si="189"/>
        <v>Close</v>
      </c>
      <c r="W993" t="str">
        <f t="shared" si="190"/>
        <v>Normal</v>
      </c>
      <c r="X993" t="str">
        <f t="shared" si="191"/>
        <v>Allowed</v>
      </c>
    </row>
    <row r="994" spans="1:24" x14ac:dyDescent="0.3">
      <c r="A994" t="s">
        <v>10</v>
      </c>
      <c r="B994" t="s">
        <v>32</v>
      </c>
      <c r="C994" t="s">
        <v>18</v>
      </c>
      <c r="D994" s="3">
        <v>45900</v>
      </c>
      <c r="E994" s="6">
        <v>0.10429054981246</v>
      </c>
      <c r="F994">
        <v>0</v>
      </c>
      <c r="G994" t="s">
        <v>13</v>
      </c>
      <c r="H994" s="6">
        <v>0.104</v>
      </c>
      <c r="I994" s="8">
        <v>8.1419815204458804E-3</v>
      </c>
      <c r="J994" s="5">
        <f t="shared" si="180"/>
        <v>1.7244519882342341E-3</v>
      </c>
      <c r="K994" s="5" cm="1">
        <f t="array" ref="K994">_xlfn.STDEV.S(IF($C:$C=C994,$I:$I))</f>
        <v>8.3117651155014696E-2</v>
      </c>
      <c r="L994" s="7">
        <f t="shared" si="183"/>
        <v>7.7210188726855769E-2</v>
      </c>
      <c r="M994">
        <f t="shared" si="181"/>
        <v>0</v>
      </c>
      <c r="N994" s="9">
        <f t="shared" si="184"/>
        <v>2.7937481967307992E-3</v>
      </c>
      <c r="O994">
        <f>COUNTIFS($B$2:B994,B994,$C$2:C994,C994,$D$2:D994,"&lt;"&amp;D994,$F$2:F994,1)</f>
        <v>0</v>
      </c>
      <c r="P994">
        <f t="shared" si="182"/>
        <v>0</v>
      </c>
      <c r="Q994" t="str">
        <f t="shared" si="185"/>
        <v>Monitor</v>
      </c>
      <c r="R994">
        <v>0</v>
      </c>
      <c r="S994">
        <f t="shared" si="186"/>
        <v>0</v>
      </c>
      <c r="T994">
        <f t="shared" si="187"/>
        <v>0</v>
      </c>
      <c r="U994" t="str">
        <f t="shared" si="188"/>
        <v>Not Improved Enough</v>
      </c>
      <c r="V994" t="str">
        <f t="shared" si="189"/>
        <v>Close</v>
      </c>
      <c r="W994" t="str">
        <f t="shared" si="190"/>
        <v>Normal</v>
      </c>
      <c r="X994" t="str">
        <f t="shared" si="191"/>
        <v>Allowed</v>
      </c>
    </row>
    <row r="995" spans="1:24" x14ac:dyDescent="0.3">
      <c r="A995" t="s">
        <v>10</v>
      </c>
      <c r="B995" t="s">
        <v>32</v>
      </c>
      <c r="C995" t="s">
        <v>18</v>
      </c>
      <c r="D995" s="3">
        <v>45930</v>
      </c>
      <c r="E995" s="6">
        <v>0.1002451648052302</v>
      </c>
      <c r="F995">
        <v>0</v>
      </c>
      <c r="G995" t="s">
        <v>13</v>
      </c>
      <c r="H995" s="6">
        <v>0.104</v>
      </c>
      <c r="I995" s="8">
        <v>3.8789564485990281E-2</v>
      </c>
      <c r="J995" s="5">
        <f t="shared" si="180"/>
        <v>1.7244519882342341E-3</v>
      </c>
      <c r="K995" s="5" cm="1">
        <f t="array" ref="K995">_xlfn.STDEV.S(IF($C:$C=C995,$I:$I))</f>
        <v>8.3117651155014696E-2</v>
      </c>
      <c r="L995" s="7">
        <f t="shared" si="183"/>
        <v>0.44593551408989518</v>
      </c>
      <c r="M995">
        <f t="shared" si="181"/>
        <v>0</v>
      </c>
      <c r="N995" s="9">
        <f t="shared" si="184"/>
        <v>-3.6104184565094191E-2</v>
      </c>
      <c r="O995">
        <f>COUNTIFS($B$2:B995,B995,$C$2:C995,C995,$D$2:D995,"&lt;"&amp;D995,$F$2:F995,1)</f>
        <v>0</v>
      </c>
      <c r="P995">
        <f t="shared" si="182"/>
        <v>0</v>
      </c>
      <c r="Q995" t="str">
        <f t="shared" si="185"/>
        <v>Monitor</v>
      </c>
      <c r="R995">
        <v>0</v>
      </c>
      <c r="S995">
        <f t="shared" si="186"/>
        <v>0</v>
      </c>
      <c r="T995">
        <f t="shared" si="187"/>
        <v>0</v>
      </c>
      <c r="U995" t="str">
        <f t="shared" si="188"/>
        <v>Improved Enough</v>
      </c>
      <c r="V995" t="str">
        <f t="shared" si="189"/>
        <v>Close</v>
      </c>
      <c r="W995" t="str">
        <f t="shared" si="190"/>
        <v>Normal</v>
      </c>
      <c r="X995" t="str">
        <f t="shared" si="191"/>
        <v>Allowed</v>
      </c>
    </row>
    <row r="996" spans="1:24" x14ac:dyDescent="0.3">
      <c r="A996" t="s">
        <v>10</v>
      </c>
      <c r="B996" t="s">
        <v>32</v>
      </c>
      <c r="C996" t="s">
        <v>18</v>
      </c>
      <c r="D996" s="3">
        <v>45961</v>
      </c>
      <c r="E996" s="6">
        <v>0.1028880866425993</v>
      </c>
      <c r="F996">
        <v>0</v>
      </c>
      <c r="G996" t="s">
        <v>13</v>
      </c>
      <c r="H996" s="6">
        <v>0.104</v>
      </c>
      <c r="I996" s="8">
        <v>-2.6364581698320531E-2</v>
      </c>
      <c r="J996" s="5">
        <f t="shared" si="180"/>
        <v>1.7244519882342341E-3</v>
      </c>
      <c r="K996" s="5" cm="1">
        <f t="array" ref="K996">_xlfn.STDEV.S(IF($C:$C=C996,$I:$I))</f>
        <v>8.3117651155014696E-2</v>
      </c>
      <c r="L996" s="7">
        <f t="shared" si="183"/>
        <v>-0.33794306379241423</v>
      </c>
      <c r="M996">
        <f t="shared" si="181"/>
        <v>0</v>
      </c>
      <c r="N996" s="9">
        <f t="shared" si="184"/>
        <v>-1.0691474590391331E-2</v>
      </c>
      <c r="O996">
        <f>COUNTIFS($B$2:B996,B996,$C$2:C996,C996,$D$2:D996,"&lt;"&amp;D996,$F$2:F996,1)</f>
        <v>0</v>
      </c>
      <c r="P996">
        <f t="shared" si="182"/>
        <v>0</v>
      </c>
      <c r="Q996" t="str">
        <f t="shared" si="185"/>
        <v>Monitor</v>
      </c>
      <c r="R996">
        <v>0</v>
      </c>
      <c r="S996">
        <f t="shared" si="186"/>
        <v>0</v>
      </c>
      <c r="T996">
        <f t="shared" si="187"/>
        <v>0</v>
      </c>
      <c r="U996" t="str">
        <f t="shared" si="188"/>
        <v>Not Improved Enough</v>
      </c>
      <c r="V996" t="str">
        <f t="shared" si="189"/>
        <v>Close</v>
      </c>
      <c r="W996" t="str">
        <f t="shared" si="190"/>
        <v>Normal</v>
      </c>
      <c r="X996" t="str">
        <f t="shared" si="191"/>
        <v>Allowed</v>
      </c>
    </row>
    <row r="997" spans="1:24" x14ac:dyDescent="0.3">
      <c r="A997" t="s">
        <v>10</v>
      </c>
      <c r="B997" t="s">
        <v>32</v>
      </c>
      <c r="C997" t="s">
        <v>18</v>
      </c>
      <c r="D997" s="3">
        <v>45991</v>
      </c>
      <c r="E997" s="6">
        <v>0.104544638045626</v>
      </c>
      <c r="F997">
        <v>0</v>
      </c>
      <c r="G997" t="s">
        <v>13</v>
      </c>
      <c r="H997" s="6">
        <v>0.104</v>
      </c>
      <c r="I997" s="8">
        <v>-1.610051714520689E-2</v>
      </c>
      <c r="J997" s="5">
        <f t="shared" si="180"/>
        <v>1.7244519882342341E-3</v>
      </c>
      <c r="K997" s="5" cm="1">
        <f t="array" ref="K997">_xlfn.STDEV.S(IF($C:$C=C997,$I:$I))</f>
        <v>8.3117651155014696E-2</v>
      </c>
      <c r="L997" s="7">
        <f t="shared" si="183"/>
        <v>-0.21445467822710118</v>
      </c>
      <c r="M997">
        <f t="shared" si="181"/>
        <v>0</v>
      </c>
      <c r="N997" s="9">
        <f t="shared" si="184"/>
        <v>5.2369042848654139E-3</v>
      </c>
      <c r="O997">
        <f>COUNTIFS($B$2:B997,B997,$C$2:C997,C997,$D$2:D997,"&lt;"&amp;D997,$F$2:F997,1)</f>
        <v>0</v>
      </c>
      <c r="P997">
        <f t="shared" si="182"/>
        <v>0</v>
      </c>
      <c r="Q997" t="str">
        <f t="shared" si="185"/>
        <v>Monitor</v>
      </c>
      <c r="R997">
        <v>0</v>
      </c>
      <c r="S997">
        <f t="shared" si="186"/>
        <v>0</v>
      </c>
      <c r="T997">
        <f t="shared" si="187"/>
        <v>0</v>
      </c>
      <c r="U997" t="str">
        <f t="shared" si="188"/>
        <v>Not Improved Enough</v>
      </c>
      <c r="V997" t="str">
        <f t="shared" si="189"/>
        <v>Close</v>
      </c>
      <c r="W997" t="str">
        <f t="shared" si="190"/>
        <v>Normal</v>
      </c>
      <c r="X997" t="str">
        <f t="shared" si="191"/>
        <v>Allowed</v>
      </c>
    </row>
    <row r="998" spans="1:24" x14ac:dyDescent="0.3">
      <c r="A998" t="s">
        <v>10</v>
      </c>
      <c r="B998" t="s">
        <v>32</v>
      </c>
      <c r="C998" t="s">
        <v>19</v>
      </c>
      <c r="D998" s="3">
        <v>45535</v>
      </c>
      <c r="E998" s="6">
        <v>4.7430830039525688E-2</v>
      </c>
      <c r="F998">
        <v>0</v>
      </c>
      <c r="G998" t="s">
        <v>13</v>
      </c>
      <c r="H998" s="6">
        <v>0.1</v>
      </c>
      <c r="I998" s="8">
        <v>4.7430830039525688E-2</v>
      </c>
      <c r="J998" s="5">
        <f t="shared" si="180"/>
        <v>-3.0570725046180952E-3</v>
      </c>
      <c r="K998" s="5" cm="1">
        <f t="array" ref="K998">_xlfn.STDEV.S(IF($C:$C=C998,$I:$I))</f>
        <v>0.17799866497296365</v>
      </c>
      <c r="L998" s="7">
        <f t="shared" si="183"/>
        <v>0.28364202929169402</v>
      </c>
      <c r="M998">
        <f t="shared" si="181"/>
        <v>0</v>
      </c>
      <c r="N998" s="9">
        <f t="shared" si="184"/>
        <v>-0.52569169960474316</v>
      </c>
      <c r="O998">
        <f>COUNTIFS($B$2:B998,B998,$C$2:C998,C998,$D$2:D998,"&lt;"&amp;D998,$F$2:F998,1)</f>
        <v>0</v>
      </c>
      <c r="P998">
        <f t="shared" si="182"/>
        <v>0</v>
      </c>
      <c r="Q998" t="str">
        <f t="shared" si="185"/>
        <v>Monitor</v>
      </c>
      <c r="R998">
        <v>0</v>
      </c>
      <c r="S998">
        <f t="shared" si="186"/>
        <v>0</v>
      </c>
      <c r="T998">
        <f t="shared" si="187"/>
        <v>0</v>
      </c>
      <c r="U998" t="str">
        <f t="shared" si="188"/>
        <v>Improved Enough</v>
      </c>
      <c r="V998" t="str">
        <f t="shared" si="189"/>
        <v>Close</v>
      </c>
      <c r="W998" t="str">
        <f t="shared" si="190"/>
        <v>Normal</v>
      </c>
      <c r="X998" t="str">
        <f t="shared" si="191"/>
        <v>Allowed</v>
      </c>
    </row>
    <row r="999" spans="1:24" x14ac:dyDescent="0.3">
      <c r="A999" t="s">
        <v>10</v>
      </c>
      <c r="B999" t="s">
        <v>32</v>
      </c>
      <c r="C999" t="s">
        <v>19</v>
      </c>
      <c r="D999" s="3">
        <v>45565</v>
      </c>
      <c r="E999" s="6">
        <v>5.3299492385786802E-2</v>
      </c>
      <c r="F999">
        <v>0</v>
      </c>
      <c r="G999" t="s">
        <v>13</v>
      </c>
      <c r="H999" s="6">
        <v>0.1</v>
      </c>
      <c r="I999" s="8">
        <v>-0.1237309644670052</v>
      </c>
      <c r="J999" s="5">
        <f t="shared" si="180"/>
        <v>-3.0570725046180952E-3</v>
      </c>
      <c r="K999" s="5" cm="1">
        <f t="array" ref="K999">_xlfn.STDEV.S(IF($C:$C=C999,$I:$I))</f>
        <v>0.17799866497296365</v>
      </c>
      <c r="L999" s="7">
        <f t="shared" si="183"/>
        <v>-0.67794829798704581</v>
      </c>
      <c r="M999">
        <f t="shared" si="181"/>
        <v>1</v>
      </c>
      <c r="N999" s="9">
        <f t="shared" si="184"/>
        <v>-0.46700507614213199</v>
      </c>
      <c r="O999">
        <f>COUNTIFS($B$2:B999,B999,$C$2:C999,C999,$D$2:D999,"&lt;"&amp;D999,$F$2:F999,1)</f>
        <v>0</v>
      </c>
      <c r="P999">
        <f t="shared" si="182"/>
        <v>0</v>
      </c>
      <c r="Q999" t="str">
        <f t="shared" si="185"/>
        <v>Monitor</v>
      </c>
      <c r="R999">
        <v>0</v>
      </c>
      <c r="S999">
        <f t="shared" si="186"/>
        <v>0</v>
      </c>
      <c r="T999">
        <f t="shared" si="187"/>
        <v>0</v>
      </c>
      <c r="U999" t="str">
        <f t="shared" si="188"/>
        <v>Not Improved Enough</v>
      </c>
      <c r="V999" t="str">
        <f t="shared" si="189"/>
        <v>Close</v>
      </c>
      <c r="W999" t="str">
        <f t="shared" si="190"/>
        <v>Abnormal</v>
      </c>
      <c r="X999" t="str">
        <f t="shared" si="191"/>
        <v>Allowed</v>
      </c>
    </row>
    <row r="1000" spans="1:24" x14ac:dyDescent="0.3">
      <c r="A1000" t="s">
        <v>10</v>
      </c>
      <c r="B1000" t="s">
        <v>32</v>
      </c>
      <c r="C1000" t="s">
        <v>19</v>
      </c>
      <c r="D1000" s="3">
        <v>45596</v>
      </c>
      <c r="E1000" s="6">
        <v>5.2336448598130837E-2</v>
      </c>
      <c r="F1000">
        <v>0</v>
      </c>
      <c r="G1000" t="s">
        <v>13</v>
      </c>
      <c r="H1000" s="6">
        <v>0.1</v>
      </c>
      <c r="I1000" s="8">
        <v>1.806853582554525E-2</v>
      </c>
      <c r="J1000" s="5">
        <f t="shared" si="180"/>
        <v>-3.0570725046180952E-3</v>
      </c>
      <c r="K1000" s="5" cm="1">
        <f t="array" ref="K1000">_xlfn.STDEV.S(IF($C:$C=C1000,$I:$I))</f>
        <v>0.17799866497296365</v>
      </c>
      <c r="L1000" s="7">
        <f t="shared" si="183"/>
        <v>0.11868408301473569</v>
      </c>
      <c r="M1000">
        <f t="shared" si="181"/>
        <v>0</v>
      </c>
      <c r="N1000" s="9">
        <f t="shared" si="184"/>
        <v>-0.47663551401869164</v>
      </c>
      <c r="O1000">
        <f>COUNTIFS($B$2:B1000,B1000,$C$2:C1000,C1000,$D$2:D1000,"&lt;"&amp;D1000,$F$2:F1000,1)</f>
        <v>0</v>
      </c>
      <c r="P1000">
        <f t="shared" si="182"/>
        <v>0</v>
      </c>
      <c r="Q1000" t="str">
        <f t="shared" si="185"/>
        <v>Monitor</v>
      </c>
      <c r="R1000">
        <v>0</v>
      </c>
      <c r="S1000">
        <f t="shared" si="186"/>
        <v>0</v>
      </c>
      <c r="T1000">
        <f t="shared" si="187"/>
        <v>0</v>
      </c>
      <c r="U1000" t="str">
        <f t="shared" si="188"/>
        <v>Improved Enough</v>
      </c>
      <c r="V1000" t="str">
        <f t="shared" si="189"/>
        <v>Close</v>
      </c>
      <c r="W1000" t="str">
        <f t="shared" si="190"/>
        <v>Normal</v>
      </c>
      <c r="X1000" t="str">
        <f t="shared" si="191"/>
        <v>Allowed</v>
      </c>
    </row>
    <row r="1001" spans="1:24" x14ac:dyDescent="0.3">
      <c r="A1001" t="s">
        <v>10</v>
      </c>
      <c r="B1001" t="s">
        <v>32</v>
      </c>
      <c r="C1001" t="s">
        <v>19</v>
      </c>
      <c r="D1001" s="3">
        <v>45626</v>
      </c>
      <c r="E1001" s="6">
        <v>6.6502462999999998E-2</v>
      </c>
      <c r="F1001">
        <v>0</v>
      </c>
      <c r="G1001" t="s">
        <v>13</v>
      </c>
      <c r="H1001" s="6">
        <v>0.1</v>
      </c>
      <c r="I1001" s="8">
        <v>-0.27067206089285722</v>
      </c>
      <c r="J1001" s="5">
        <f t="shared" si="180"/>
        <v>-3.0570725046180952E-3</v>
      </c>
      <c r="K1001" s="5" cm="1">
        <f t="array" ref="K1001">_xlfn.STDEV.S(IF($C:$C=C1001,$I:$I))</f>
        <v>0.17799866497296365</v>
      </c>
      <c r="L1001" s="7">
        <f t="shared" si="183"/>
        <v>-1.5034662671705281</v>
      </c>
      <c r="M1001">
        <f t="shared" si="181"/>
        <v>1</v>
      </c>
      <c r="N1001" s="9">
        <f t="shared" si="184"/>
        <v>-0.33497537000000005</v>
      </c>
      <c r="O1001">
        <f>COUNTIFS($B$2:B1001,B1001,$C$2:C1001,C1001,$D$2:D1001,"&lt;"&amp;D1001,$F$2:F1001,1)</f>
        <v>0</v>
      </c>
      <c r="P1001">
        <f t="shared" si="182"/>
        <v>0</v>
      </c>
      <c r="Q1001" t="str">
        <f t="shared" si="185"/>
        <v>Monitor</v>
      </c>
      <c r="R1001">
        <v>0</v>
      </c>
      <c r="S1001">
        <f t="shared" si="186"/>
        <v>0</v>
      </c>
      <c r="T1001">
        <f t="shared" si="187"/>
        <v>0</v>
      </c>
      <c r="U1001" t="str">
        <f t="shared" si="188"/>
        <v>Not Improved Enough</v>
      </c>
      <c r="V1001" t="str">
        <f t="shared" si="189"/>
        <v>Close</v>
      </c>
      <c r="W1001" t="str">
        <f t="shared" si="190"/>
        <v>Abnormal</v>
      </c>
      <c r="X1001" t="str">
        <f t="shared" si="191"/>
        <v>Allowed</v>
      </c>
    </row>
    <row r="1002" spans="1:24" x14ac:dyDescent="0.3">
      <c r="A1002" t="s">
        <v>10</v>
      </c>
      <c r="B1002" t="s">
        <v>32</v>
      </c>
      <c r="C1002" t="s">
        <v>19</v>
      </c>
      <c r="D1002" s="3">
        <v>45657</v>
      </c>
      <c r="E1002" s="6">
        <v>7.3304825901038484E-2</v>
      </c>
      <c r="F1002">
        <v>0</v>
      </c>
      <c r="G1002" t="s">
        <v>13</v>
      </c>
      <c r="H1002" s="6">
        <v>0.1</v>
      </c>
      <c r="I1002" s="8">
        <v>-0.1022873829656277</v>
      </c>
      <c r="J1002" s="5">
        <f t="shared" si="180"/>
        <v>-3.0570725046180952E-3</v>
      </c>
      <c r="K1002" s="5" cm="1">
        <f t="array" ref="K1002">_xlfn.STDEV.S(IF($C:$C=C1002,$I:$I))</f>
        <v>0.17799866497296365</v>
      </c>
      <c r="L1002" s="7">
        <f t="shared" si="183"/>
        <v>-0.55747783544377583</v>
      </c>
      <c r="M1002">
        <f t="shared" si="181"/>
        <v>1</v>
      </c>
      <c r="N1002" s="9">
        <f t="shared" si="184"/>
        <v>-0.26695174098961522</v>
      </c>
      <c r="O1002">
        <f>COUNTIFS($B$2:B1002,B1002,$C$2:C1002,C1002,$D$2:D1002,"&lt;"&amp;D1002,$F$2:F1002,1)</f>
        <v>0</v>
      </c>
      <c r="P1002">
        <f t="shared" si="182"/>
        <v>0</v>
      </c>
      <c r="Q1002" t="str">
        <f t="shared" si="185"/>
        <v>Monitor</v>
      </c>
      <c r="R1002">
        <v>0</v>
      </c>
      <c r="S1002">
        <f t="shared" si="186"/>
        <v>0</v>
      </c>
      <c r="T1002">
        <f t="shared" si="187"/>
        <v>0</v>
      </c>
      <c r="U1002" t="str">
        <f t="shared" si="188"/>
        <v>Not Improved Enough</v>
      </c>
      <c r="V1002" t="str">
        <f t="shared" si="189"/>
        <v>Close</v>
      </c>
      <c r="W1002" t="str">
        <f t="shared" si="190"/>
        <v>Abnormal</v>
      </c>
      <c r="X1002" t="str">
        <f t="shared" si="191"/>
        <v>Allowed</v>
      </c>
    </row>
    <row r="1003" spans="1:24" x14ac:dyDescent="0.3">
      <c r="A1003" t="s">
        <v>10</v>
      </c>
      <c r="B1003" t="s">
        <v>32</v>
      </c>
      <c r="C1003" t="s">
        <v>19</v>
      </c>
      <c r="D1003" s="3">
        <v>45688</v>
      </c>
      <c r="E1003" s="6">
        <v>6.545454545454546E-2</v>
      </c>
      <c r="F1003">
        <v>0</v>
      </c>
      <c r="G1003" t="s">
        <v>13</v>
      </c>
      <c r="H1003" s="6">
        <v>0.1</v>
      </c>
      <c r="I1003" s="8">
        <v>0.107090909090909</v>
      </c>
      <c r="J1003" s="5">
        <f t="shared" si="180"/>
        <v>-3.0570725046180952E-3</v>
      </c>
      <c r="K1003" s="5" cm="1">
        <f t="array" ref="K1003">_xlfn.STDEV.S(IF($C:$C=C1003,$I:$I))</f>
        <v>0.17799866497296365</v>
      </c>
      <c r="L1003" s="7">
        <f t="shared" si="183"/>
        <v>0.61881352656357025</v>
      </c>
      <c r="M1003">
        <f t="shared" si="181"/>
        <v>-1</v>
      </c>
      <c r="N1003" s="9">
        <f t="shared" si="184"/>
        <v>-0.34545454545454546</v>
      </c>
      <c r="O1003">
        <f>COUNTIFS($B$2:B1003,B1003,$C$2:C1003,C1003,$D$2:D1003,"&lt;"&amp;D1003,$F$2:F1003,1)</f>
        <v>0</v>
      </c>
      <c r="P1003">
        <f t="shared" si="182"/>
        <v>0</v>
      </c>
      <c r="Q1003" t="str">
        <f t="shared" si="185"/>
        <v>Monitor</v>
      </c>
      <c r="R1003">
        <v>0</v>
      </c>
      <c r="S1003">
        <f t="shared" si="186"/>
        <v>0</v>
      </c>
      <c r="T1003">
        <f t="shared" si="187"/>
        <v>0</v>
      </c>
      <c r="U1003" t="str">
        <f t="shared" si="188"/>
        <v>Improved Enough</v>
      </c>
      <c r="V1003" t="str">
        <f t="shared" si="189"/>
        <v>Close</v>
      </c>
      <c r="W1003" t="str">
        <f t="shared" si="190"/>
        <v>Normal</v>
      </c>
      <c r="X1003" t="str">
        <f t="shared" si="191"/>
        <v>Allowed</v>
      </c>
    </row>
    <row r="1004" spans="1:24" x14ac:dyDescent="0.3">
      <c r="A1004" t="s">
        <v>10</v>
      </c>
      <c r="B1004" t="s">
        <v>32</v>
      </c>
      <c r="C1004" t="s">
        <v>19</v>
      </c>
      <c r="D1004" s="3">
        <v>45716</v>
      </c>
      <c r="E1004" s="6">
        <v>6.5335753176043551E-2</v>
      </c>
      <c r="F1004">
        <v>0</v>
      </c>
      <c r="G1004" t="s">
        <v>13</v>
      </c>
      <c r="H1004" s="6">
        <v>0.1</v>
      </c>
      <c r="I1004" s="8">
        <v>1.814882032668047E-3</v>
      </c>
      <c r="J1004" s="5">
        <f t="shared" si="180"/>
        <v>-3.0570725046180952E-3</v>
      </c>
      <c r="K1004" s="5" cm="1">
        <f t="array" ref="K1004">_xlfn.STDEV.S(IF($C:$C=C1004,$I:$I))</f>
        <v>0.17799866497296365</v>
      </c>
      <c r="L1004" s="7">
        <f t="shared" si="183"/>
        <v>2.737073639302939E-2</v>
      </c>
      <c r="M1004">
        <f t="shared" si="181"/>
        <v>0</v>
      </c>
      <c r="N1004" s="9">
        <f t="shared" si="184"/>
        <v>-0.34664246823956452</v>
      </c>
      <c r="O1004">
        <f>COUNTIFS($B$2:B1004,B1004,$C$2:C1004,C1004,$D$2:D1004,"&lt;"&amp;D1004,$F$2:F1004,1)</f>
        <v>0</v>
      </c>
      <c r="P1004">
        <f t="shared" si="182"/>
        <v>0</v>
      </c>
      <c r="Q1004" t="str">
        <f t="shared" si="185"/>
        <v>Monitor</v>
      </c>
      <c r="R1004">
        <v>0</v>
      </c>
      <c r="S1004">
        <f t="shared" si="186"/>
        <v>0</v>
      </c>
      <c r="T1004">
        <f t="shared" si="187"/>
        <v>0</v>
      </c>
      <c r="U1004" t="str">
        <f t="shared" si="188"/>
        <v>Not Improved Enough</v>
      </c>
      <c r="V1004" t="str">
        <f t="shared" si="189"/>
        <v>Close</v>
      </c>
      <c r="W1004" t="str">
        <f t="shared" si="190"/>
        <v>Normal</v>
      </c>
      <c r="X1004" t="str">
        <f t="shared" si="191"/>
        <v>Allowed</v>
      </c>
    </row>
    <row r="1005" spans="1:24" x14ac:dyDescent="0.3">
      <c r="A1005" t="s">
        <v>10</v>
      </c>
      <c r="B1005" t="s">
        <v>32</v>
      </c>
      <c r="C1005" t="s">
        <v>19</v>
      </c>
      <c r="D1005" s="3">
        <v>45747</v>
      </c>
      <c r="E1005" s="6">
        <v>5.7831325301204807E-2</v>
      </c>
      <c r="F1005">
        <v>0</v>
      </c>
      <c r="G1005" t="s">
        <v>13</v>
      </c>
      <c r="H1005" s="6">
        <v>0.1</v>
      </c>
      <c r="I1005" s="8">
        <v>0.1148594377510041</v>
      </c>
      <c r="J1005" s="5">
        <f t="shared" si="180"/>
        <v>-3.0570725046180952E-3</v>
      </c>
      <c r="K1005" s="5" cm="1">
        <f t="array" ref="K1005">_xlfn.STDEV.S(IF($C:$C=C1005,$I:$I))</f>
        <v>0.17799866497296365</v>
      </c>
      <c r="L1005" s="7">
        <f t="shared" si="183"/>
        <v>0.66245727333703663</v>
      </c>
      <c r="M1005">
        <f t="shared" si="181"/>
        <v>-1</v>
      </c>
      <c r="N1005" s="9">
        <f t="shared" si="184"/>
        <v>-0.42168674698795194</v>
      </c>
      <c r="O1005">
        <f>COUNTIFS($B$2:B1005,B1005,$C$2:C1005,C1005,$D$2:D1005,"&lt;"&amp;D1005,$F$2:F1005,1)</f>
        <v>0</v>
      </c>
      <c r="P1005">
        <f t="shared" si="182"/>
        <v>0</v>
      </c>
      <c r="Q1005" t="str">
        <f t="shared" si="185"/>
        <v>Monitor</v>
      </c>
      <c r="R1005">
        <v>0</v>
      </c>
      <c r="S1005">
        <f t="shared" si="186"/>
        <v>0</v>
      </c>
      <c r="T1005">
        <f t="shared" si="187"/>
        <v>0</v>
      </c>
      <c r="U1005" t="str">
        <f t="shared" si="188"/>
        <v>Improved Enough</v>
      </c>
      <c r="V1005" t="str">
        <f t="shared" si="189"/>
        <v>Close</v>
      </c>
      <c r="W1005" t="str">
        <f t="shared" si="190"/>
        <v>Normal</v>
      </c>
      <c r="X1005" t="str">
        <f t="shared" si="191"/>
        <v>Allowed</v>
      </c>
    </row>
    <row r="1006" spans="1:24" x14ac:dyDescent="0.3">
      <c r="A1006" t="s">
        <v>10</v>
      </c>
      <c r="B1006" t="s">
        <v>32</v>
      </c>
      <c r="C1006" t="s">
        <v>19</v>
      </c>
      <c r="D1006" s="3">
        <v>45777</v>
      </c>
      <c r="E1006" s="6">
        <v>4.3087971274685818E-2</v>
      </c>
      <c r="F1006">
        <v>0</v>
      </c>
      <c r="G1006" t="s">
        <v>13</v>
      </c>
      <c r="H1006" s="6">
        <v>0.1</v>
      </c>
      <c r="I1006" s="8">
        <v>0.25493716337522421</v>
      </c>
      <c r="J1006" s="5">
        <f t="shared" si="180"/>
        <v>-3.0570725046180952E-3</v>
      </c>
      <c r="K1006" s="5" cm="1">
        <f t="array" ref="K1006">_xlfn.STDEV.S(IF($C:$C=C1006,$I:$I))</f>
        <v>0.17799866497296365</v>
      </c>
      <c r="L1006" s="7">
        <f t="shared" si="183"/>
        <v>1.4494166903950052</v>
      </c>
      <c r="M1006">
        <f t="shared" si="181"/>
        <v>-1</v>
      </c>
      <c r="N1006" s="9">
        <f t="shared" si="184"/>
        <v>-0.56912028725314179</v>
      </c>
      <c r="O1006">
        <f>COUNTIFS($B$2:B1006,B1006,$C$2:C1006,C1006,$D$2:D1006,"&lt;"&amp;D1006,$F$2:F1006,1)</f>
        <v>0</v>
      </c>
      <c r="P1006">
        <f t="shared" si="182"/>
        <v>0</v>
      </c>
      <c r="Q1006" t="str">
        <f t="shared" si="185"/>
        <v>Monitor</v>
      </c>
      <c r="R1006">
        <v>0</v>
      </c>
      <c r="S1006">
        <f t="shared" si="186"/>
        <v>0</v>
      </c>
      <c r="T1006">
        <f t="shared" si="187"/>
        <v>0</v>
      </c>
      <c r="U1006" t="str">
        <f t="shared" si="188"/>
        <v>Improved Enough</v>
      </c>
      <c r="V1006" t="str">
        <f t="shared" si="189"/>
        <v>Close</v>
      </c>
      <c r="W1006" t="str">
        <f t="shared" si="190"/>
        <v>Normal</v>
      </c>
      <c r="X1006" t="str">
        <f t="shared" si="191"/>
        <v>Allowed</v>
      </c>
    </row>
    <row r="1007" spans="1:24" x14ac:dyDescent="0.3">
      <c r="A1007" t="s">
        <v>10</v>
      </c>
      <c r="B1007" t="s">
        <v>32</v>
      </c>
      <c r="C1007" t="s">
        <v>19</v>
      </c>
      <c r="D1007" s="3">
        <v>45808</v>
      </c>
      <c r="E1007" s="6">
        <v>7.1599045346062054E-2</v>
      </c>
      <c r="F1007">
        <v>0</v>
      </c>
      <c r="G1007" t="s">
        <v>13</v>
      </c>
      <c r="H1007" s="6">
        <v>0.1</v>
      </c>
      <c r="I1007" s="8">
        <v>-0.66169451073985674</v>
      </c>
      <c r="J1007" s="5">
        <f t="shared" si="180"/>
        <v>-3.0570725046180952E-3</v>
      </c>
      <c r="K1007" s="5" cm="1">
        <f t="array" ref="K1007">_xlfn.STDEV.S(IF($C:$C=C1007,$I:$I))</f>
        <v>0.17799866497296365</v>
      </c>
      <c r="L1007" s="7">
        <f t="shared" si="183"/>
        <v>-3.7002380795118861</v>
      </c>
      <c r="M1007">
        <f t="shared" si="181"/>
        <v>1</v>
      </c>
      <c r="N1007" s="9">
        <f t="shared" si="184"/>
        <v>-0.28400954653937949</v>
      </c>
      <c r="O1007">
        <f>COUNTIFS($B$2:B1007,B1007,$C$2:C1007,C1007,$D$2:D1007,"&lt;"&amp;D1007,$F$2:F1007,1)</f>
        <v>0</v>
      </c>
      <c r="P1007">
        <f t="shared" si="182"/>
        <v>0</v>
      </c>
      <c r="Q1007" t="str">
        <f t="shared" si="185"/>
        <v>Monitor</v>
      </c>
      <c r="R1007">
        <v>0</v>
      </c>
      <c r="S1007">
        <f t="shared" si="186"/>
        <v>0</v>
      </c>
      <c r="T1007">
        <f t="shared" si="187"/>
        <v>0</v>
      </c>
      <c r="U1007" t="str">
        <f t="shared" si="188"/>
        <v>Not Improved Enough</v>
      </c>
      <c r="V1007" t="str">
        <f t="shared" si="189"/>
        <v>Close</v>
      </c>
      <c r="W1007" t="str">
        <f t="shared" si="190"/>
        <v>Abnormal</v>
      </c>
      <c r="X1007" t="str">
        <f t="shared" si="191"/>
        <v>Allowed</v>
      </c>
    </row>
    <row r="1008" spans="1:24" x14ac:dyDescent="0.3">
      <c r="A1008" t="s">
        <v>10</v>
      </c>
      <c r="B1008" t="s">
        <v>32</v>
      </c>
      <c r="C1008" t="s">
        <v>19</v>
      </c>
      <c r="D1008" s="3">
        <v>45838</v>
      </c>
      <c r="E1008" s="6">
        <v>7.3825503355704702E-2</v>
      </c>
      <c r="F1008">
        <v>0</v>
      </c>
      <c r="G1008" t="s">
        <v>13</v>
      </c>
      <c r="H1008" s="6">
        <v>0.1</v>
      </c>
      <c r="I1008" s="8">
        <v>-3.1096196868008991E-2</v>
      </c>
      <c r="J1008" s="5">
        <f t="shared" si="180"/>
        <v>-3.0570725046180952E-3</v>
      </c>
      <c r="K1008" s="5" cm="1">
        <f t="array" ref="K1008">_xlfn.STDEV.S(IF($C:$C=C1008,$I:$I))</f>
        <v>0.17799866497296365</v>
      </c>
      <c r="L1008" s="7">
        <f t="shared" si="183"/>
        <v>-0.15752435203741433</v>
      </c>
      <c r="M1008">
        <f t="shared" si="181"/>
        <v>0</v>
      </c>
      <c r="N1008" s="9">
        <f t="shared" si="184"/>
        <v>-0.26174496644295303</v>
      </c>
      <c r="O1008">
        <f>COUNTIFS($B$2:B1008,B1008,$C$2:C1008,C1008,$D$2:D1008,"&lt;"&amp;D1008,$F$2:F1008,1)</f>
        <v>0</v>
      </c>
      <c r="P1008">
        <f t="shared" si="182"/>
        <v>0</v>
      </c>
      <c r="Q1008" t="str">
        <f t="shared" si="185"/>
        <v>Monitor</v>
      </c>
      <c r="R1008">
        <v>0</v>
      </c>
      <c r="S1008">
        <f t="shared" si="186"/>
        <v>0</v>
      </c>
      <c r="T1008">
        <f t="shared" si="187"/>
        <v>0</v>
      </c>
      <c r="U1008" t="str">
        <f t="shared" si="188"/>
        <v>Not Improved Enough</v>
      </c>
      <c r="V1008" t="str">
        <f t="shared" si="189"/>
        <v>Close</v>
      </c>
      <c r="W1008" t="str">
        <f t="shared" si="190"/>
        <v>Normal</v>
      </c>
      <c r="X1008" t="str">
        <f t="shared" si="191"/>
        <v>Allowed</v>
      </c>
    </row>
    <row r="1009" spans="1:24" x14ac:dyDescent="0.3">
      <c r="A1009" t="s">
        <v>10</v>
      </c>
      <c r="B1009" t="s">
        <v>32</v>
      </c>
      <c r="C1009" t="s">
        <v>19</v>
      </c>
      <c r="D1009" s="3">
        <v>45869</v>
      </c>
      <c r="E1009" s="6">
        <v>0.1032443090159527</v>
      </c>
      <c r="F1009">
        <v>0</v>
      </c>
      <c r="G1009" t="s">
        <v>13</v>
      </c>
      <c r="H1009" s="6">
        <v>0.1</v>
      </c>
      <c r="I1009" s="8">
        <v>-0.39849109485245021</v>
      </c>
      <c r="J1009" s="5">
        <f t="shared" si="180"/>
        <v>-3.0570725046180952E-3</v>
      </c>
      <c r="K1009" s="5" cm="1">
        <f t="array" ref="K1009">_xlfn.STDEV.S(IF($C:$C=C1009,$I:$I))</f>
        <v>0.17799866497296365</v>
      </c>
      <c r="L1009" s="7">
        <f t="shared" si="183"/>
        <v>-2.221556113400597</v>
      </c>
      <c r="M1009">
        <f t="shared" si="181"/>
        <v>1</v>
      </c>
      <c r="N1009" s="9">
        <f t="shared" si="184"/>
        <v>3.2443090159526983E-2</v>
      </c>
      <c r="O1009">
        <f>COUNTIFS($B$2:B1009,B1009,$C$2:C1009,C1009,$D$2:D1009,"&lt;"&amp;D1009,$F$2:F1009,1)</f>
        <v>0</v>
      </c>
      <c r="P1009">
        <f t="shared" si="182"/>
        <v>0</v>
      </c>
      <c r="Q1009" t="str">
        <f t="shared" si="185"/>
        <v>Intervene</v>
      </c>
      <c r="R1009">
        <v>0</v>
      </c>
      <c r="S1009">
        <f t="shared" si="186"/>
        <v>1</v>
      </c>
      <c r="T1009">
        <f t="shared" si="187"/>
        <v>1</v>
      </c>
      <c r="U1009" t="str">
        <f t="shared" si="188"/>
        <v>Not Improved Enough</v>
      </c>
      <c r="V1009" t="str">
        <f t="shared" si="189"/>
        <v>Far</v>
      </c>
      <c r="W1009" t="str">
        <f t="shared" si="190"/>
        <v>Abnormal</v>
      </c>
      <c r="X1009" t="str">
        <f t="shared" si="191"/>
        <v>Allowed</v>
      </c>
    </row>
    <row r="1010" spans="1:24" x14ac:dyDescent="0.3">
      <c r="A1010" t="s">
        <v>10</v>
      </c>
      <c r="B1010" t="s">
        <v>32</v>
      </c>
      <c r="C1010" t="s">
        <v>19</v>
      </c>
      <c r="D1010" s="3">
        <v>45900</v>
      </c>
      <c r="E1010" s="6">
        <v>0.1043848748446654</v>
      </c>
      <c r="F1010">
        <v>0</v>
      </c>
      <c r="G1010" t="s">
        <v>13</v>
      </c>
      <c r="H1010" s="6">
        <v>0.1</v>
      </c>
      <c r="I1010" s="8">
        <v>-1.1047251316646019E-2</v>
      </c>
      <c r="J1010" s="5">
        <f t="shared" si="180"/>
        <v>-3.0570725046180952E-3</v>
      </c>
      <c r="K1010" s="5" cm="1">
        <f t="array" ref="K1010">_xlfn.STDEV.S(IF($C:$C=C1010,$I:$I))</f>
        <v>0.17799866497296365</v>
      </c>
      <c r="L1010" s="7">
        <f t="shared" si="183"/>
        <v>-4.4888981685573648E-2</v>
      </c>
      <c r="M1010">
        <f t="shared" si="181"/>
        <v>0</v>
      </c>
      <c r="N1010" s="9">
        <f t="shared" si="184"/>
        <v>4.3848748446653901E-2</v>
      </c>
      <c r="O1010">
        <f>COUNTIFS($B$2:B1010,B1010,$C$2:C1010,C1010,$D$2:D1010,"&lt;"&amp;D1010,$F$2:F1010,1)</f>
        <v>0</v>
      </c>
      <c r="P1010">
        <f t="shared" si="182"/>
        <v>0</v>
      </c>
      <c r="Q1010" t="str">
        <f t="shared" si="185"/>
        <v>Monitor</v>
      </c>
      <c r="R1010">
        <v>0</v>
      </c>
      <c r="S1010">
        <f t="shared" si="186"/>
        <v>0</v>
      </c>
      <c r="T1010">
        <f t="shared" si="187"/>
        <v>0</v>
      </c>
      <c r="U1010" t="str">
        <f t="shared" si="188"/>
        <v>Not Improved Enough</v>
      </c>
      <c r="V1010" t="str">
        <f t="shared" si="189"/>
        <v>Far</v>
      </c>
      <c r="W1010" t="str">
        <f t="shared" si="190"/>
        <v>Normal</v>
      </c>
      <c r="X1010" t="str">
        <f t="shared" si="191"/>
        <v>Allowed</v>
      </c>
    </row>
    <row r="1011" spans="1:24" x14ac:dyDescent="0.3">
      <c r="A1011" t="s">
        <v>10</v>
      </c>
      <c r="B1011" t="s">
        <v>32</v>
      </c>
      <c r="C1011" t="s">
        <v>19</v>
      </c>
      <c r="D1011" s="3">
        <v>45930</v>
      </c>
      <c r="E1011" s="6">
        <v>9.7165991902834009E-2</v>
      </c>
      <c r="F1011">
        <v>0</v>
      </c>
      <c r="G1011" t="s">
        <v>13</v>
      </c>
      <c r="H1011" s="6">
        <v>0.1</v>
      </c>
      <c r="I1011" s="8">
        <v>6.9156407502272435E-2</v>
      </c>
      <c r="J1011" s="5">
        <f t="shared" si="180"/>
        <v>-3.0570725046180952E-3</v>
      </c>
      <c r="K1011" s="5" cm="1">
        <f t="array" ref="K1011">_xlfn.STDEV.S(IF($C:$C=C1011,$I:$I))</f>
        <v>0.17799866497296365</v>
      </c>
      <c r="L1011" s="7">
        <f t="shared" si="183"/>
        <v>0.40569675069113065</v>
      </c>
      <c r="M1011">
        <f t="shared" si="181"/>
        <v>0</v>
      </c>
      <c r="N1011" s="9">
        <f t="shared" si="184"/>
        <v>-2.8340080971659964E-2</v>
      </c>
      <c r="O1011">
        <f>COUNTIFS($B$2:B1011,B1011,$C$2:C1011,C1011,$D$2:D1011,"&lt;"&amp;D1011,$F$2:F1011,1)</f>
        <v>0</v>
      </c>
      <c r="P1011">
        <f t="shared" si="182"/>
        <v>0</v>
      </c>
      <c r="Q1011" t="str">
        <f t="shared" si="185"/>
        <v>Monitor</v>
      </c>
      <c r="R1011">
        <v>0</v>
      </c>
      <c r="S1011">
        <f t="shared" si="186"/>
        <v>0</v>
      </c>
      <c r="T1011">
        <f t="shared" si="187"/>
        <v>0</v>
      </c>
      <c r="U1011" t="str">
        <f t="shared" si="188"/>
        <v>Improved Enough</v>
      </c>
      <c r="V1011" t="str">
        <f t="shared" si="189"/>
        <v>Close</v>
      </c>
      <c r="W1011" t="str">
        <f t="shared" si="190"/>
        <v>Normal</v>
      </c>
      <c r="X1011" t="str">
        <f t="shared" si="191"/>
        <v>Allowed</v>
      </c>
    </row>
    <row r="1012" spans="1:24" x14ac:dyDescent="0.3">
      <c r="A1012" t="s">
        <v>10</v>
      </c>
      <c r="B1012" t="s">
        <v>32</v>
      </c>
      <c r="C1012" t="s">
        <v>19</v>
      </c>
      <c r="D1012" s="3">
        <v>45961</v>
      </c>
      <c r="E1012" s="6">
        <v>0.1007697690692792</v>
      </c>
      <c r="F1012">
        <v>0</v>
      </c>
      <c r="G1012" t="s">
        <v>13</v>
      </c>
      <c r="H1012" s="6">
        <v>0.1</v>
      </c>
      <c r="I1012" s="8">
        <v>-3.708887333799845E-2</v>
      </c>
      <c r="J1012" s="5">
        <f t="shared" si="180"/>
        <v>-3.0570725046180952E-3</v>
      </c>
      <c r="K1012" s="5" cm="1">
        <f t="array" ref="K1012">_xlfn.STDEV.S(IF($C:$C=C1012,$I:$I))</f>
        <v>0.17799866497296365</v>
      </c>
      <c r="L1012" s="7">
        <f t="shared" si="183"/>
        <v>-0.19119132628634863</v>
      </c>
      <c r="M1012">
        <f t="shared" si="181"/>
        <v>0</v>
      </c>
      <c r="N1012" s="9">
        <f t="shared" si="184"/>
        <v>7.6976906927919697E-3</v>
      </c>
      <c r="O1012">
        <f>COUNTIFS($B$2:B1012,B1012,$C$2:C1012,C1012,$D$2:D1012,"&lt;"&amp;D1012,$F$2:F1012,1)</f>
        <v>0</v>
      </c>
      <c r="P1012">
        <f t="shared" si="182"/>
        <v>0</v>
      </c>
      <c r="Q1012" t="str">
        <f t="shared" si="185"/>
        <v>Monitor</v>
      </c>
      <c r="R1012">
        <v>0</v>
      </c>
      <c r="S1012">
        <f t="shared" si="186"/>
        <v>0</v>
      </c>
      <c r="T1012">
        <f t="shared" si="187"/>
        <v>0</v>
      </c>
      <c r="U1012" t="str">
        <f t="shared" si="188"/>
        <v>Not Improved Enough</v>
      </c>
      <c r="V1012" t="str">
        <f t="shared" si="189"/>
        <v>Close</v>
      </c>
      <c r="W1012" t="str">
        <f t="shared" si="190"/>
        <v>Normal</v>
      </c>
      <c r="X1012" t="str">
        <f t="shared" si="191"/>
        <v>Allowed</v>
      </c>
    </row>
    <row r="1013" spans="1:24" x14ac:dyDescent="0.3">
      <c r="A1013" t="s">
        <v>10</v>
      </c>
      <c r="B1013" t="s">
        <v>32</v>
      </c>
      <c r="C1013" t="s">
        <v>19</v>
      </c>
      <c r="D1013" s="3">
        <v>45991</v>
      </c>
      <c r="E1013" s="6">
        <v>0.10765171503957779</v>
      </c>
      <c r="F1013">
        <v>0</v>
      </c>
      <c r="G1013" t="s">
        <v>13</v>
      </c>
      <c r="H1013" s="6">
        <v>0.1</v>
      </c>
      <c r="I1013" s="8">
        <v>-6.8293755496921446E-2</v>
      </c>
      <c r="J1013" s="5">
        <f t="shared" si="180"/>
        <v>-3.0570725046180952E-3</v>
      </c>
      <c r="K1013" s="5" cm="1">
        <f t="array" ref="K1013">_xlfn.STDEV.S(IF($C:$C=C1013,$I:$I))</f>
        <v>0.17799866497296365</v>
      </c>
      <c r="L1013" s="7">
        <f t="shared" si="183"/>
        <v>-0.36650096787081071</v>
      </c>
      <c r="M1013">
        <f t="shared" si="181"/>
        <v>0</v>
      </c>
      <c r="N1013" s="9">
        <f t="shared" si="184"/>
        <v>7.6517150395777889E-2</v>
      </c>
      <c r="O1013">
        <f>COUNTIFS($B$2:B1013,B1013,$C$2:C1013,C1013,$D$2:D1013,"&lt;"&amp;D1013,$F$2:F1013,1)</f>
        <v>0</v>
      </c>
      <c r="P1013">
        <f t="shared" si="182"/>
        <v>0</v>
      </c>
      <c r="Q1013" t="str">
        <f t="shared" si="185"/>
        <v>Monitor</v>
      </c>
      <c r="R1013">
        <v>0</v>
      </c>
      <c r="S1013">
        <f t="shared" si="186"/>
        <v>0</v>
      </c>
      <c r="T1013">
        <f t="shared" si="187"/>
        <v>0</v>
      </c>
      <c r="U1013" t="str">
        <f t="shared" si="188"/>
        <v>Not Improved Enough</v>
      </c>
      <c r="V1013" t="str">
        <f t="shared" si="189"/>
        <v>Far</v>
      </c>
      <c r="W1013" t="str">
        <f t="shared" si="190"/>
        <v>Normal</v>
      </c>
      <c r="X1013" t="str">
        <f t="shared" si="191"/>
        <v>Allowed</v>
      </c>
    </row>
    <row r="1014" spans="1:24" x14ac:dyDescent="0.3">
      <c r="A1014" t="s">
        <v>20</v>
      </c>
      <c r="B1014" t="s">
        <v>32</v>
      </c>
      <c r="C1014" t="s">
        <v>21</v>
      </c>
      <c r="D1014" s="3">
        <v>45535</v>
      </c>
      <c r="E1014" s="6">
        <v>0.47</v>
      </c>
      <c r="F1014">
        <v>0</v>
      </c>
      <c r="G1014" t="s">
        <v>13</v>
      </c>
      <c r="H1014" s="6">
        <v>0.59</v>
      </c>
      <c r="I1014" s="8">
        <v>-6.8181818181818121E-2</v>
      </c>
      <c r="J1014" s="5">
        <f t="shared" si="180"/>
        <v>-4.8849805534298088E-2</v>
      </c>
      <c r="K1014" s="5" cm="1">
        <f t="array" ref="K1014">_xlfn.STDEV.S(IF($C:$C=C1014,$I:$I))</f>
        <v>0.44966933193859487</v>
      </c>
      <c r="L1014" s="7">
        <f t="shared" si="183"/>
        <v>-4.2991619117489513E-2</v>
      </c>
      <c r="M1014">
        <f t="shared" si="181"/>
        <v>0</v>
      </c>
      <c r="N1014" s="9">
        <f t="shared" si="184"/>
        <v>-0.20338983050847459</v>
      </c>
      <c r="O1014">
        <f>COUNTIFS($B$2:B1014,B1014,$C$2:C1014,C1014,$D$2:D1014,"&lt;"&amp;D1014,$F$2:F1014,1)</f>
        <v>0</v>
      </c>
      <c r="P1014">
        <f t="shared" si="182"/>
        <v>0</v>
      </c>
      <c r="Q1014" t="str">
        <f t="shared" si="185"/>
        <v>Monitor</v>
      </c>
      <c r="R1014">
        <v>0</v>
      </c>
      <c r="S1014">
        <f t="shared" si="186"/>
        <v>0</v>
      </c>
      <c r="T1014">
        <f t="shared" si="187"/>
        <v>0</v>
      </c>
      <c r="U1014" t="str">
        <f t="shared" si="188"/>
        <v>Not Improved Enough</v>
      </c>
      <c r="V1014" t="str">
        <f t="shared" si="189"/>
        <v>Close</v>
      </c>
      <c r="W1014" t="str">
        <f t="shared" si="190"/>
        <v>Normal</v>
      </c>
      <c r="X1014" t="str">
        <f t="shared" si="191"/>
        <v>Allowed</v>
      </c>
    </row>
    <row r="1015" spans="1:24" x14ac:dyDescent="0.3">
      <c r="A1015" t="s">
        <v>20</v>
      </c>
      <c r="B1015" t="s">
        <v>32</v>
      </c>
      <c r="C1015" t="s">
        <v>21</v>
      </c>
      <c r="D1015" s="3">
        <v>45565</v>
      </c>
      <c r="E1015" s="6">
        <v>0.43</v>
      </c>
      <c r="F1015">
        <v>0</v>
      </c>
      <c r="G1015" t="s">
        <v>13</v>
      </c>
      <c r="H1015" s="6">
        <v>0.59</v>
      </c>
      <c r="I1015" s="8">
        <v>8.5106382978723361E-2</v>
      </c>
      <c r="J1015" s="5">
        <f t="shared" si="180"/>
        <v>-4.8849805534298088E-2</v>
      </c>
      <c r="K1015" s="5" cm="1">
        <f t="array" ref="K1015">_xlfn.STDEV.S(IF($C:$C=C1015,$I:$I))</f>
        <v>0.44966933193859487</v>
      </c>
      <c r="L1015" s="7">
        <f t="shared" si="183"/>
        <v>0.29789932067529562</v>
      </c>
      <c r="M1015">
        <f t="shared" si="181"/>
        <v>0</v>
      </c>
      <c r="N1015" s="9">
        <f t="shared" si="184"/>
        <v>-0.2711864406779661</v>
      </c>
      <c r="O1015">
        <f>COUNTIFS($B$2:B1015,B1015,$C$2:C1015,C1015,$D$2:D1015,"&lt;"&amp;D1015,$F$2:F1015,1)</f>
        <v>0</v>
      </c>
      <c r="P1015">
        <f t="shared" si="182"/>
        <v>0</v>
      </c>
      <c r="Q1015" t="str">
        <f t="shared" si="185"/>
        <v>Monitor</v>
      </c>
      <c r="R1015">
        <v>0</v>
      </c>
      <c r="S1015">
        <f t="shared" si="186"/>
        <v>0</v>
      </c>
      <c r="T1015">
        <f t="shared" si="187"/>
        <v>0</v>
      </c>
      <c r="U1015" t="str">
        <f t="shared" si="188"/>
        <v>Improved Enough</v>
      </c>
      <c r="V1015" t="str">
        <f t="shared" si="189"/>
        <v>Close</v>
      </c>
      <c r="W1015" t="str">
        <f t="shared" si="190"/>
        <v>Normal</v>
      </c>
      <c r="X1015" t="str">
        <f t="shared" si="191"/>
        <v>Allowed</v>
      </c>
    </row>
    <row r="1016" spans="1:24" x14ac:dyDescent="0.3">
      <c r="A1016" t="s">
        <v>20</v>
      </c>
      <c r="B1016" t="s">
        <v>32</v>
      </c>
      <c r="C1016" t="s">
        <v>21</v>
      </c>
      <c r="D1016" s="3">
        <v>45596</v>
      </c>
      <c r="E1016" s="6">
        <v>0.5</v>
      </c>
      <c r="F1016">
        <v>0</v>
      </c>
      <c r="G1016" t="s">
        <v>13</v>
      </c>
      <c r="H1016" s="6">
        <v>0.59</v>
      </c>
      <c r="I1016" s="8">
        <v>-0.16279069767441859</v>
      </c>
      <c r="J1016" s="5">
        <f t="shared" si="180"/>
        <v>-4.8849805534298088E-2</v>
      </c>
      <c r="K1016" s="5" cm="1">
        <f t="array" ref="K1016">_xlfn.STDEV.S(IF($C:$C=C1016,$I:$I))</f>
        <v>0.44966933193859487</v>
      </c>
      <c r="L1016" s="7">
        <f t="shared" si="183"/>
        <v>-0.253388176705099</v>
      </c>
      <c r="M1016">
        <f t="shared" si="181"/>
        <v>0</v>
      </c>
      <c r="N1016" s="9">
        <f t="shared" si="184"/>
        <v>-0.15254237288135589</v>
      </c>
      <c r="O1016">
        <f>COUNTIFS($B$2:B1016,B1016,$C$2:C1016,C1016,$D$2:D1016,"&lt;"&amp;D1016,$F$2:F1016,1)</f>
        <v>0</v>
      </c>
      <c r="P1016">
        <f t="shared" si="182"/>
        <v>0</v>
      </c>
      <c r="Q1016" t="str">
        <f t="shared" si="185"/>
        <v>Monitor</v>
      </c>
      <c r="R1016">
        <v>0</v>
      </c>
      <c r="S1016">
        <f t="shared" si="186"/>
        <v>0</v>
      </c>
      <c r="T1016">
        <f t="shared" si="187"/>
        <v>0</v>
      </c>
      <c r="U1016" t="str">
        <f t="shared" si="188"/>
        <v>Not Improved Enough</v>
      </c>
      <c r="V1016" t="str">
        <f t="shared" si="189"/>
        <v>Close</v>
      </c>
      <c r="W1016" t="str">
        <f t="shared" si="190"/>
        <v>Normal</v>
      </c>
      <c r="X1016" t="str">
        <f t="shared" si="191"/>
        <v>Allowed</v>
      </c>
    </row>
    <row r="1017" spans="1:24" x14ac:dyDescent="0.3">
      <c r="A1017" t="s">
        <v>20</v>
      </c>
      <c r="B1017" t="s">
        <v>32</v>
      </c>
      <c r="C1017" t="s">
        <v>21</v>
      </c>
      <c r="D1017" s="3">
        <v>45626</v>
      </c>
      <c r="E1017" s="6">
        <v>0.47</v>
      </c>
      <c r="F1017">
        <v>0</v>
      </c>
      <c r="G1017" t="s">
        <v>13</v>
      </c>
      <c r="H1017" s="6">
        <v>0.59</v>
      </c>
      <c r="I1017" s="8">
        <v>6.0000000000000053E-2</v>
      </c>
      <c r="J1017" s="5">
        <f t="shared" si="180"/>
        <v>-4.8849805534298088E-2</v>
      </c>
      <c r="K1017" s="5" cm="1">
        <f t="array" ref="K1017">_xlfn.STDEV.S(IF($C:$C=C1017,$I:$I))</f>
        <v>0.44966933193859487</v>
      </c>
      <c r="L1017" s="7">
        <f t="shared" si="183"/>
        <v>0.24206633141964473</v>
      </c>
      <c r="M1017">
        <f t="shared" si="181"/>
        <v>0</v>
      </c>
      <c r="N1017" s="9">
        <f t="shared" si="184"/>
        <v>-0.20338983050847459</v>
      </c>
      <c r="O1017">
        <f>COUNTIFS($B$2:B1017,B1017,$C$2:C1017,C1017,$D$2:D1017,"&lt;"&amp;D1017,$F$2:F1017,1)</f>
        <v>0</v>
      </c>
      <c r="P1017">
        <f t="shared" si="182"/>
        <v>0</v>
      </c>
      <c r="Q1017" t="str">
        <f t="shared" si="185"/>
        <v>Monitor</v>
      </c>
      <c r="R1017">
        <v>0</v>
      </c>
      <c r="S1017">
        <f t="shared" si="186"/>
        <v>0</v>
      </c>
      <c r="T1017">
        <f t="shared" si="187"/>
        <v>0</v>
      </c>
      <c r="U1017" t="str">
        <f t="shared" si="188"/>
        <v>Improved Enough</v>
      </c>
      <c r="V1017" t="str">
        <f t="shared" si="189"/>
        <v>Close</v>
      </c>
      <c r="W1017" t="str">
        <f t="shared" si="190"/>
        <v>Normal</v>
      </c>
      <c r="X1017" t="str">
        <f t="shared" si="191"/>
        <v>Allowed</v>
      </c>
    </row>
    <row r="1018" spans="1:24" x14ac:dyDescent="0.3">
      <c r="A1018" t="s">
        <v>20</v>
      </c>
      <c r="B1018" t="s">
        <v>32</v>
      </c>
      <c r="C1018" t="s">
        <v>21</v>
      </c>
      <c r="D1018" s="3">
        <v>45657</v>
      </c>
      <c r="E1018" s="6">
        <v>0.52</v>
      </c>
      <c r="F1018">
        <v>0</v>
      </c>
      <c r="G1018" t="s">
        <v>13</v>
      </c>
      <c r="H1018" s="6">
        <v>0.59</v>
      </c>
      <c r="I1018" s="8">
        <v>-0.10638297872340439</v>
      </c>
      <c r="J1018" s="5">
        <f t="shared" si="180"/>
        <v>-4.8849805534298088E-2</v>
      </c>
      <c r="K1018" s="5" cm="1">
        <f t="array" ref="K1018">_xlfn.STDEV.S(IF($C:$C=C1018,$I:$I))</f>
        <v>0.44966933193859487</v>
      </c>
      <c r="L1018" s="7">
        <f t="shared" si="183"/>
        <v>-0.12794551263051851</v>
      </c>
      <c r="M1018">
        <f t="shared" si="181"/>
        <v>0</v>
      </c>
      <c r="N1018" s="9">
        <f t="shared" si="184"/>
        <v>-0.11864406779661009</v>
      </c>
      <c r="O1018">
        <f>COUNTIFS($B$2:B1018,B1018,$C$2:C1018,C1018,$D$2:D1018,"&lt;"&amp;D1018,$F$2:F1018,1)</f>
        <v>0</v>
      </c>
      <c r="P1018">
        <f t="shared" si="182"/>
        <v>0</v>
      </c>
      <c r="Q1018" t="str">
        <f t="shared" si="185"/>
        <v>Monitor</v>
      </c>
      <c r="R1018">
        <v>0</v>
      </c>
      <c r="S1018">
        <f t="shared" si="186"/>
        <v>0</v>
      </c>
      <c r="T1018">
        <f t="shared" si="187"/>
        <v>0</v>
      </c>
      <c r="U1018" t="str">
        <f t="shared" si="188"/>
        <v>Not Improved Enough</v>
      </c>
      <c r="V1018" t="str">
        <f t="shared" si="189"/>
        <v>Close</v>
      </c>
      <c r="W1018" t="str">
        <f t="shared" si="190"/>
        <v>Normal</v>
      </c>
      <c r="X1018" t="str">
        <f t="shared" si="191"/>
        <v>Allowed</v>
      </c>
    </row>
    <row r="1019" spans="1:24" x14ac:dyDescent="0.3">
      <c r="A1019" t="s">
        <v>20</v>
      </c>
      <c r="B1019" t="s">
        <v>32</v>
      </c>
      <c r="C1019" t="s">
        <v>21</v>
      </c>
      <c r="D1019" s="3">
        <v>45688</v>
      </c>
      <c r="E1019" s="6">
        <v>0.57999999999999996</v>
      </c>
      <c r="F1019">
        <v>0</v>
      </c>
      <c r="G1019" t="s">
        <v>13</v>
      </c>
      <c r="H1019" s="6">
        <v>0.59</v>
      </c>
      <c r="I1019" s="8">
        <v>-0.11538461538461529</v>
      </c>
      <c r="J1019" s="5">
        <f t="shared" si="180"/>
        <v>-4.8849805534298088E-2</v>
      </c>
      <c r="K1019" s="5" cm="1">
        <f t="array" ref="K1019">_xlfn.STDEV.S(IF($C:$C=C1019,$I:$I))</f>
        <v>0.44966933193859487</v>
      </c>
      <c r="L1019" s="7">
        <f t="shared" si="183"/>
        <v>-0.1479638594953212</v>
      </c>
      <c r="M1019">
        <f t="shared" si="181"/>
        <v>0</v>
      </c>
      <c r="N1019" s="9">
        <f t="shared" si="184"/>
        <v>-1.6949152542372899E-2</v>
      </c>
      <c r="O1019">
        <f>COUNTIFS($B$2:B1019,B1019,$C$2:C1019,C1019,$D$2:D1019,"&lt;"&amp;D1019,$F$2:F1019,1)</f>
        <v>0</v>
      </c>
      <c r="P1019">
        <f t="shared" si="182"/>
        <v>0</v>
      </c>
      <c r="Q1019" t="str">
        <f t="shared" si="185"/>
        <v>Monitor</v>
      </c>
      <c r="R1019">
        <v>0</v>
      </c>
      <c r="S1019">
        <f t="shared" si="186"/>
        <v>0</v>
      </c>
      <c r="T1019">
        <f t="shared" si="187"/>
        <v>0</v>
      </c>
      <c r="U1019" t="str">
        <f t="shared" si="188"/>
        <v>Not Improved Enough</v>
      </c>
      <c r="V1019" t="str">
        <f t="shared" si="189"/>
        <v>Close</v>
      </c>
      <c r="W1019" t="str">
        <f t="shared" si="190"/>
        <v>Normal</v>
      </c>
      <c r="X1019" t="str">
        <f t="shared" si="191"/>
        <v>Allowed</v>
      </c>
    </row>
    <row r="1020" spans="1:24" x14ac:dyDescent="0.3">
      <c r="A1020" t="s">
        <v>20</v>
      </c>
      <c r="B1020" t="s">
        <v>32</v>
      </c>
      <c r="C1020" t="s">
        <v>21</v>
      </c>
      <c r="D1020" s="3">
        <v>45716</v>
      </c>
      <c r="E1020" s="6">
        <v>0.54</v>
      </c>
      <c r="F1020">
        <v>0</v>
      </c>
      <c r="G1020" t="s">
        <v>13</v>
      </c>
      <c r="H1020" s="6">
        <v>0.59</v>
      </c>
      <c r="I1020" s="8">
        <v>6.8965517241379184E-2</v>
      </c>
      <c r="J1020" s="5">
        <f t="shared" si="180"/>
        <v>-4.8849805534298088E-2</v>
      </c>
      <c r="K1020" s="5" cm="1">
        <f t="array" ref="K1020">_xlfn.STDEV.S(IF($C:$C=C1020,$I:$I))</f>
        <v>0.44966933193859487</v>
      </c>
      <c r="L1020" s="7">
        <f t="shared" si="183"/>
        <v>0.26200435388323456</v>
      </c>
      <c r="M1020">
        <f t="shared" si="181"/>
        <v>0</v>
      </c>
      <c r="N1020" s="9">
        <f t="shared" si="184"/>
        <v>-8.4745762711864292E-2</v>
      </c>
      <c r="O1020">
        <f>COUNTIFS($B$2:B1020,B1020,$C$2:C1020,C1020,$D$2:D1020,"&lt;"&amp;D1020,$F$2:F1020,1)</f>
        <v>0</v>
      </c>
      <c r="P1020">
        <f t="shared" si="182"/>
        <v>0</v>
      </c>
      <c r="Q1020" t="str">
        <f t="shared" si="185"/>
        <v>Monitor</v>
      </c>
      <c r="R1020">
        <v>0</v>
      </c>
      <c r="S1020">
        <f t="shared" si="186"/>
        <v>0</v>
      </c>
      <c r="T1020">
        <f t="shared" si="187"/>
        <v>0</v>
      </c>
      <c r="U1020" t="str">
        <f t="shared" si="188"/>
        <v>Improved Enough</v>
      </c>
      <c r="V1020" t="str">
        <f t="shared" si="189"/>
        <v>Close</v>
      </c>
      <c r="W1020" t="str">
        <f t="shared" si="190"/>
        <v>Normal</v>
      </c>
      <c r="X1020" t="str">
        <f t="shared" si="191"/>
        <v>Allowed</v>
      </c>
    </row>
    <row r="1021" spans="1:24" x14ac:dyDescent="0.3">
      <c r="A1021" t="s">
        <v>20</v>
      </c>
      <c r="B1021" t="s">
        <v>32</v>
      </c>
      <c r="C1021" t="s">
        <v>21</v>
      </c>
      <c r="D1021" s="3">
        <v>45747</v>
      </c>
      <c r="E1021" s="6">
        <v>0.77</v>
      </c>
      <c r="F1021">
        <v>0</v>
      </c>
      <c r="G1021" t="s">
        <v>13</v>
      </c>
      <c r="H1021" s="6">
        <v>0.59</v>
      </c>
      <c r="I1021" s="8">
        <v>-0.42592592592592587</v>
      </c>
      <c r="J1021" s="5">
        <f t="shared" si="180"/>
        <v>-4.8849805534298088E-2</v>
      </c>
      <c r="K1021" s="5" cm="1">
        <f t="array" ref="K1021">_xlfn.STDEV.S(IF($C:$C=C1021,$I:$I))</f>
        <v>0.44966933193859487</v>
      </c>
      <c r="L1021" s="7">
        <f t="shared" si="183"/>
        <v>-0.83856312541038458</v>
      </c>
      <c r="M1021">
        <f t="shared" si="181"/>
        <v>1</v>
      </c>
      <c r="N1021" s="9">
        <f t="shared" si="184"/>
        <v>0.30508474576271194</v>
      </c>
      <c r="O1021">
        <f>COUNTIFS($B$2:B1021,B1021,$C$2:C1021,C1021,$D$2:D1021,"&lt;"&amp;D1021,$F$2:F1021,1)</f>
        <v>0</v>
      </c>
      <c r="P1021">
        <f t="shared" si="182"/>
        <v>0</v>
      </c>
      <c r="Q1021" t="str">
        <f t="shared" si="185"/>
        <v>Intervene</v>
      </c>
      <c r="R1021">
        <v>0</v>
      </c>
      <c r="S1021">
        <f t="shared" si="186"/>
        <v>1</v>
      </c>
      <c r="T1021">
        <f t="shared" si="187"/>
        <v>1</v>
      </c>
      <c r="U1021" t="str">
        <f t="shared" si="188"/>
        <v>Not Improved Enough</v>
      </c>
      <c r="V1021" t="str">
        <f t="shared" si="189"/>
        <v>Far</v>
      </c>
      <c r="W1021" t="str">
        <f t="shared" si="190"/>
        <v>Abnormal</v>
      </c>
      <c r="X1021" t="str">
        <f t="shared" si="191"/>
        <v>Allowed</v>
      </c>
    </row>
    <row r="1022" spans="1:24" x14ac:dyDescent="0.3">
      <c r="A1022" t="s">
        <v>20</v>
      </c>
      <c r="B1022" t="s">
        <v>32</v>
      </c>
      <c r="C1022" t="s">
        <v>21</v>
      </c>
      <c r="D1022" s="3">
        <v>45777</v>
      </c>
      <c r="E1022" s="6">
        <v>0.81</v>
      </c>
      <c r="F1022">
        <v>0</v>
      </c>
      <c r="G1022" t="s">
        <v>13</v>
      </c>
      <c r="H1022" s="6">
        <v>0.59</v>
      </c>
      <c r="I1022" s="8">
        <v>-5.1948051948051993E-2</v>
      </c>
      <c r="J1022" s="5">
        <f t="shared" si="180"/>
        <v>-4.8849805534298088E-2</v>
      </c>
      <c r="K1022" s="5" cm="1">
        <f t="array" ref="K1022">_xlfn.STDEV.S(IF($C:$C=C1022,$I:$I))</f>
        <v>0.44966933193859487</v>
      </c>
      <c r="L1022" s="7">
        <f t="shared" si="183"/>
        <v>-6.8900549663835865E-3</v>
      </c>
      <c r="M1022">
        <f t="shared" si="181"/>
        <v>0</v>
      </c>
      <c r="N1022" s="9">
        <f t="shared" si="184"/>
        <v>0.37288135593220356</v>
      </c>
      <c r="O1022">
        <f>COUNTIFS($B$2:B1022,B1022,$C$2:C1022,C1022,$D$2:D1022,"&lt;"&amp;D1022,$F$2:F1022,1)</f>
        <v>0</v>
      </c>
      <c r="P1022">
        <f t="shared" si="182"/>
        <v>0</v>
      </c>
      <c r="Q1022" t="str">
        <f t="shared" si="185"/>
        <v>Monitor</v>
      </c>
      <c r="R1022">
        <v>0</v>
      </c>
      <c r="S1022">
        <f t="shared" si="186"/>
        <v>0</v>
      </c>
      <c r="T1022">
        <f t="shared" si="187"/>
        <v>0</v>
      </c>
      <c r="U1022" t="str">
        <f t="shared" si="188"/>
        <v>Not Improved Enough</v>
      </c>
      <c r="V1022" t="str">
        <f t="shared" si="189"/>
        <v>Far</v>
      </c>
      <c r="W1022" t="str">
        <f t="shared" si="190"/>
        <v>Normal</v>
      </c>
      <c r="X1022" t="str">
        <f t="shared" si="191"/>
        <v>Allowed</v>
      </c>
    </row>
    <row r="1023" spans="1:24" x14ac:dyDescent="0.3">
      <c r="A1023" t="s">
        <v>20</v>
      </c>
      <c r="B1023" t="s">
        <v>32</v>
      </c>
      <c r="C1023" t="s">
        <v>21</v>
      </c>
      <c r="D1023" s="3">
        <v>45808</v>
      </c>
      <c r="E1023" s="6">
        <v>0.63</v>
      </c>
      <c r="F1023">
        <v>0</v>
      </c>
      <c r="G1023" t="s">
        <v>13</v>
      </c>
      <c r="H1023" s="6">
        <v>0.59</v>
      </c>
      <c r="I1023" s="8">
        <v>0.22222222222222229</v>
      </c>
      <c r="J1023" s="5">
        <f t="shared" si="180"/>
        <v>-4.8849805534298088E-2</v>
      </c>
      <c r="K1023" s="5" cm="1">
        <f t="array" ref="K1023">_xlfn.STDEV.S(IF($C:$C=C1023,$I:$I))</f>
        <v>0.44966933193859487</v>
      </c>
      <c r="L1023" s="7">
        <f t="shared" si="183"/>
        <v>0.60282525069674298</v>
      </c>
      <c r="M1023">
        <f t="shared" si="181"/>
        <v>-1</v>
      </c>
      <c r="N1023" s="9">
        <f t="shared" si="184"/>
        <v>6.7796610169491595E-2</v>
      </c>
      <c r="O1023">
        <f>COUNTIFS($B$2:B1023,B1023,$C$2:C1023,C1023,$D$2:D1023,"&lt;"&amp;D1023,$F$2:F1023,1)</f>
        <v>0</v>
      </c>
      <c r="P1023">
        <f t="shared" si="182"/>
        <v>0</v>
      </c>
      <c r="Q1023" t="str">
        <f t="shared" si="185"/>
        <v>Monitor</v>
      </c>
      <c r="R1023">
        <v>0</v>
      </c>
      <c r="S1023">
        <f t="shared" si="186"/>
        <v>0</v>
      </c>
      <c r="T1023">
        <f t="shared" si="187"/>
        <v>0</v>
      </c>
      <c r="U1023" t="str">
        <f t="shared" si="188"/>
        <v>Improved Enough</v>
      </c>
      <c r="V1023" t="str">
        <f t="shared" si="189"/>
        <v>Far</v>
      </c>
      <c r="W1023" t="str">
        <f t="shared" si="190"/>
        <v>Normal</v>
      </c>
      <c r="X1023" t="str">
        <f t="shared" si="191"/>
        <v>Allowed</v>
      </c>
    </row>
    <row r="1024" spans="1:24" x14ac:dyDescent="0.3">
      <c r="A1024" t="s">
        <v>20</v>
      </c>
      <c r="B1024" t="s">
        <v>32</v>
      </c>
      <c r="C1024" t="s">
        <v>21</v>
      </c>
      <c r="D1024" s="3">
        <v>45838</v>
      </c>
      <c r="E1024" s="6">
        <v>0.56999999999999995</v>
      </c>
      <c r="F1024">
        <v>0</v>
      </c>
      <c r="G1024" t="s">
        <v>13</v>
      </c>
      <c r="H1024" s="6">
        <v>0.59</v>
      </c>
      <c r="I1024" s="8">
        <v>9.5238095238095316E-2</v>
      </c>
      <c r="J1024" s="5">
        <f t="shared" si="180"/>
        <v>-4.8849805534298088E-2</v>
      </c>
      <c r="K1024" s="5" cm="1">
        <f t="array" ref="K1024">_xlfn.STDEV.S(IF($C:$C=C1024,$I:$I))</f>
        <v>0.44966933193859487</v>
      </c>
      <c r="L1024" s="7">
        <f t="shared" si="183"/>
        <v>0.32043079333697927</v>
      </c>
      <c r="M1024">
        <f t="shared" si="181"/>
        <v>0</v>
      </c>
      <c r="N1024" s="9">
        <f t="shared" si="184"/>
        <v>-3.3898305084745797E-2</v>
      </c>
      <c r="O1024">
        <f>COUNTIFS($B$2:B1024,B1024,$C$2:C1024,C1024,$D$2:D1024,"&lt;"&amp;D1024,$F$2:F1024,1)</f>
        <v>0</v>
      </c>
      <c r="P1024">
        <f t="shared" si="182"/>
        <v>0</v>
      </c>
      <c r="Q1024" t="str">
        <f t="shared" si="185"/>
        <v>Monitor</v>
      </c>
      <c r="R1024">
        <v>0</v>
      </c>
      <c r="S1024">
        <f t="shared" si="186"/>
        <v>0</v>
      </c>
      <c r="T1024">
        <f t="shared" si="187"/>
        <v>0</v>
      </c>
      <c r="U1024" t="str">
        <f t="shared" si="188"/>
        <v>Improved Enough</v>
      </c>
      <c r="V1024" t="str">
        <f t="shared" si="189"/>
        <v>Close</v>
      </c>
      <c r="W1024" t="str">
        <f t="shared" si="190"/>
        <v>Normal</v>
      </c>
      <c r="X1024" t="str">
        <f t="shared" si="191"/>
        <v>Allowed</v>
      </c>
    </row>
    <row r="1025" spans="1:24" x14ac:dyDescent="0.3">
      <c r="A1025" t="s">
        <v>20</v>
      </c>
      <c r="B1025" t="s">
        <v>32</v>
      </c>
      <c r="C1025" t="s">
        <v>21</v>
      </c>
      <c r="D1025" s="3">
        <v>45869</v>
      </c>
      <c r="E1025" s="6">
        <v>0.63</v>
      </c>
      <c r="F1025">
        <v>0</v>
      </c>
      <c r="G1025" t="s">
        <v>13</v>
      </c>
      <c r="H1025" s="6">
        <v>0.59</v>
      </c>
      <c r="I1025" s="8">
        <v>-0.10526315789473691</v>
      </c>
      <c r="J1025" s="5">
        <f t="shared" si="180"/>
        <v>-4.8849805534298088E-2</v>
      </c>
      <c r="K1025" s="5" cm="1">
        <f t="array" ref="K1025">_xlfn.STDEV.S(IF($C:$C=C1025,$I:$I))</f>
        <v>0.44966933193859487</v>
      </c>
      <c r="L1025" s="7">
        <f t="shared" si="183"/>
        <v>-0.12545519196791124</v>
      </c>
      <c r="M1025">
        <f t="shared" si="181"/>
        <v>0</v>
      </c>
      <c r="N1025" s="9">
        <f t="shared" si="184"/>
        <v>6.7796610169491595E-2</v>
      </c>
      <c r="O1025">
        <f>COUNTIFS($B$2:B1025,B1025,$C$2:C1025,C1025,$D$2:D1025,"&lt;"&amp;D1025,$F$2:F1025,1)</f>
        <v>0</v>
      </c>
      <c r="P1025">
        <f t="shared" si="182"/>
        <v>0</v>
      </c>
      <c r="Q1025" t="str">
        <f t="shared" si="185"/>
        <v>Monitor</v>
      </c>
      <c r="R1025">
        <v>0</v>
      </c>
      <c r="S1025">
        <f t="shared" si="186"/>
        <v>0</v>
      </c>
      <c r="T1025">
        <f t="shared" si="187"/>
        <v>0</v>
      </c>
      <c r="U1025" t="str">
        <f t="shared" si="188"/>
        <v>Not Improved Enough</v>
      </c>
      <c r="V1025" t="str">
        <f t="shared" si="189"/>
        <v>Far</v>
      </c>
      <c r="W1025" t="str">
        <f t="shared" si="190"/>
        <v>Normal</v>
      </c>
      <c r="X1025" t="str">
        <f t="shared" si="191"/>
        <v>Allowed</v>
      </c>
    </row>
    <row r="1026" spans="1:24" x14ac:dyDescent="0.3">
      <c r="A1026" t="s">
        <v>20</v>
      </c>
      <c r="B1026" t="s">
        <v>32</v>
      </c>
      <c r="C1026" t="s">
        <v>21</v>
      </c>
      <c r="D1026" s="3">
        <v>45900</v>
      </c>
      <c r="E1026" s="6">
        <v>0.69</v>
      </c>
      <c r="F1026">
        <v>0</v>
      </c>
      <c r="G1026" t="s">
        <v>13</v>
      </c>
      <c r="H1026" s="6">
        <v>0.59</v>
      </c>
      <c r="I1026" s="8">
        <v>-9.523809523809515E-2</v>
      </c>
      <c r="J1026" s="5">
        <f t="shared" ref="J1026:J1089" si="192">AVERAGEIF($C:$C,C1026,$I:$I)</f>
        <v>-4.8849805534298088E-2</v>
      </c>
      <c r="K1026" s="5" cm="1">
        <f t="array" ref="K1026">_xlfn.STDEV.S(IF($C:$C=C1026,$I:$I))</f>
        <v>0.44966933193859487</v>
      </c>
      <c r="L1026" s="7">
        <f t="shared" si="183"/>
        <v>-0.10316089270266639</v>
      </c>
      <c r="M1026">
        <f t="shared" ref="M1026:M1089" si="193">IF(L1026&lt;=-$Z$4,1,IF(L1026&gt;=$Z$4,-1,0))</f>
        <v>0</v>
      </c>
      <c r="N1026" s="9">
        <f t="shared" si="184"/>
        <v>0.16949152542372878</v>
      </c>
      <c r="O1026">
        <f>COUNTIFS($B$2:B1026,B1026,$C$2:C1026,C1026,$D$2:D1026,"&lt;"&amp;D1026,$F$2:F1026,1)</f>
        <v>0</v>
      </c>
      <c r="P1026">
        <f t="shared" ref="P1026:P1089" si="194">IF(AND(R1026=1,I1026&gt;0),1,IF(R1026=1,-1,0))</f>
        <v>0</v>
      </c>
      <c r="Q1026" t="str">
        <f t="shared" si="185"/>
        <v>Monitor</v>
      </c>
      <c r="R1026">
        <v>0</v>
      </c>
      <c r="S1026">
        <f t="shared" si="186"/>
        <v>0</v>
      </c>
      <c r="T1026">
        <f t="shared" si="187"/>
        <v>0</v>
      </c>
      <c r="U1026" t="str">
        <f t="shared" si="188"/>
        <v>Not Improved Enough</v>
      </c>
      <c r="V1026" t="str">
        <f t="shared" si="189"/>
        <v>Far</v>
      </c>
      <c r="W1026" t="str">
        <f t="shared" si="190"/>
        <v>Normal</v>
      </c>
      <c r="X1026" t="str">
        <f t="shared" si="191"/>
        <v>Allowed</v>
      </c>
    </row>
    <row r="1027" spans="1:24" x14ac:dyDescent="0.3">
      <c r="A1027" t="s">
        <v>20</v>
      </c>
      <c r="B1027" t="s">
        <v>32</v>
      </c>
      <c r="C1027" t="s">
        <v>21</v>
      </c>
      <c r="D1027" s="3">
        <v>45930</v>
      </c>
      <c r="E1027" s="6">
        <v>0.57999999999999996</v>
      </c>
      <c r="F1027">
        <v>0</v>
      </c>
      <c r="G1027" t="s">
        <v>13</v>
      </c>
      <c r="H1027" s="6">
        <v>0.59</v>
      </c>
      <c r="I1027" s="8">
        <v>0.15942028985507251</v>
      </c>
      <c r="J1027" s="5">
        <f t="shared" si="192"/>
        <v>-4.8849805534298088E-2</v>
      </c>
      <c r="K1027" s="5" cm="1">
        <f t="array" ref="K1027">_xlfn.STDEV.S(IF($C:$C=C1027,$I:$I))</f>
        <v>0.44966933193859487</v>
      </c>
      <c r="L1027" s="7">
        <f t="shared" ref="L1027:L1090" si="195">IFERROR((I1027-J1027)/K1027,0)</f>
        <v>0.46316277450251186</v>
      </c>
      <c r="M1027">
        <f t="shared" si="193"/>
        <v>0</v>
      </c>
      <c r="N1027" s="9">
        <f t="shared" ref="N1027:N1090" si="196">IFERROR(IF(G1027="DOWN",(E1027-H1027)/H1027,(H1027-E1027)/H1027),0)</f>
        <v>-1.6949152542372899E-2</v>
      </c>
      <c r="O1027">
        <f>COUNTIFS($B$2:B1027,B1027,$C$2:C1027,C1027,$D$2:D1027,"&lt;"&amp;D1027,$F$2:F1027,1)</f>
        <v>0</v>
      </c>
      <c r="P1027">
        <f t="shared" si="194"/>
        <v>0</v>
      </c>
      <c r="Q1027" t="str">
        <f t="shared" ref="Q1027:Q1090" si="197">IF(I1027&gt;=$Z$1,"Monitor",IF(AND(N1027&gt;=$Z$2,L1027&lt;=-$Z$4),IF(O1027&lt;$Z$3,"Intervene","Escalate / Bigger Fix"),"Monitor"))</f>
        <v>Monitor</v>
      </c>
      <c r="R1027">
        <v>0</v>
      </c>
      <c r="S1027">
        <f t="shared" ref="S1027:S1090" si="198">IF(Q1027="Intervene",1,IF(Q1027="Escalate / Bigger Fix",-1,0))</f>
        <v>0</v>
      </c>
      <c r="T1027">
        <f t="shared" ref="T1027:T1090" si="199">IF(Q1027="Intervene",1,0)</f>
        <v>0</v>
      </c>
      <c r="U1027" t="str">
        <f t="shared" ref="U1027:U1090" si="200">IF(I1027&gt;=$Z$1,"Improved Enough","Not Improved Enough")</f>
        <v>Improved Enough</v>
      </c>
      <c r="V1027" t="str">
        <f t="shared" ref="V1027:V1090" si="201">IF(N1027&gt;=$Z$2,"Far","Close")</f>
        <v>Close</v>
      </c>
      <c r="W1027" t="str">
        <f t="shared" ref="W1027:W1090" si="202">IF(L1027&lt;=-$Z$4,"Abnormal","Normal")</f>
        <v>Normal</v>
      </c>
      <c r="X1027" t="str">
        <f t="shared" ref="X1027:X1090" si="203">IF(O1027&lt;$Z$3,"Allowed","Maxed Out")</f>
        <v>Allowed</v>
      </c>
    </row>
    <row r="1028" spans="1:24" x14ac:dyDescent="0.3">
      <c r="A1028" t="s">
        <v>20</v>
      </c>
      <c r="B1028" t="s">
        <v>32</v>
      </c>
      <c r="C1028" t="s">
        <v>21</v>
      </c>
      <c r="D1028" s="3">
        <v>45961</v>
      </c>
      <c r="E1028" s="6">
        <v>0.6</v>
      </c>
      <c r="F1028">
        <v>0</v>
      </c>
      <c r="G1028" t="s">
        <v>13</v>
      </c>
      <c r="H1028" s="6">
        <v>0.59</v>
      </c>
      <c r="I1028" s="8">
        <v>-3.4482758620689689E-2</v>
      </c>
      <c r="J1028" s="5">
        <f t="shared" si="192"/>
        <v>-4.8849805534298088E-2</v>
      </c>
      <c r="K1028" s="5" cm="1">
        <f t="array" ref="K1028">_xlfn.STDEV.S(IF($C:$C=C1028,$I:$I))</f>
        <v>0.44966933193859487</v>
      </c>
      <c r="L1028" s="7">
        <f t="shared" si="195"/>
        <v>3.1950248534116862E-2</v>
      </c>
      <c r="M1028">
        <f t="shared" si="193"/>
        <v>0</v>
      </c>
      <c r="N1028" s="9">
        <f t="shared" si="196"/>
        <v>1.6949152542372899E-2</v>
      </c>
      <c r="O1028">
        <f>COUNTIFS($B$2:B1028,B1028,$C$2:C1028,C1028,$D$2:D1028,"&lt;"&amp;D1028,$F$2:F1028,1)</f>
        <v>0</v>
      </c>
      <c r="P1028">
        <f t="shared" si="194"/>
        <v>0</v>
      </c>
      <c r="Q1028" t="str">
        <f t="shared" si="197"/>
        <v>Monitor</v>
      </c>
      <c r="R1028">
        <v>0</v>
      </c>
      <c r="S1028">
        <f t="shared" si="198"/>
        <v>0</v>
      </c>
      <c r="T1028">
        <f t="shared" si="199"/>
        <v>0</v>
      </c>
      <c r="U1028" t="str">
        <f t="shared" si="200"/>
        <v>Not Improved Enough</v>
      </c>
      <c r="V1028" t="str">
        <f t="shared" si="201"/>
        <v>Close</v>
      </c>
      <c r="W1028" t="str">
        <f t="shared" si="202"/>
        <v>Normal</v>
      </c>
      <c r="X1028" t="str">
        <f t="shared" si="203"/>
        <v>Allowed</v>
      </c>
    </row>
    <row r="1029" spans="1:24" x14ac:dyDescent="0.3">
      <c r="A1029" t="s">
        <v>20</v>
      </c>
      <c r="B1029" t="s">
        <v>32</v>
      </c>
      <c r="C1029" t="s">
        <v>22</v>
      </c>
      <c r="D1029" s="3">
        <v>45535</v>
      </c>
      <c r="E1029" s="6">
        <v>0.79300000000000004</v>
      </c>
      <c r="F1029">
        <v>0</v>
      </c>
      <c r="G1029" t="s">
        <v>13</v>
      </c>
      <c r="H1029" s="6">
        <v>0.56999999999999995</v>
      </c>
      <c r="I1029" s="8">
        <v>-5.1724137931034531E-2</v>
      </c>
      <c r="J1029" s="5">
        <f t="shared" si="192"/>
        <v>-2.6703176088529658E-2</v>
      </c>
      <c r="K1029" s="5" cm="1">
        <f t="array" ref="K1029">_xlfn.STDEV.S(IF($C:$C=C1029,$I:$I))</f>
        <v>0.34089784338901952</v>
      </c>
      <c r="L1029" s="7">
        <f t="shared" si="195"/>
        <v>-7.339724297977418E-2</v>
      </c>
      <c r="M1029">
        <f t="shared" si="193"/>
        <v>0</v>
      </c>
      <c r="N1029" s="9">
        <f t="shared" si="196"/>
        <v>0.39122807017543876</v>
      </c>
      <c r="O1029">
        <f>COUNTIFS($B$2:B1029,B1029,$C$2:C1029,C1029,$D$2:D1029,"&lt;"&amp;D1029,$F$2:F1029,1)</f>
        <v>0</v>
      </c>
      <c r="P1029">
        <f t="shared" si="194"/>
        <v>0</v>
      </c>
      <c r="Q1029" t="str">
        <f t="shared" si="197"/>
        <v>Monitor</v>
      </c>
      <c r="R1029">
        <v>0</v>
      </c>
      <c r="S1029">
        <f t="shared" si="198"/>
        <v>0</v>
      </c>
      <c r="T1029">
        <f t="shared" si="199"/>
        <v>0</v>
      </c>
      <c r="U1029" t="str">
        <f t="shared" si="200"/>
        <v>Not Improved Enough</v>
      </c>
      <c r="V1029" t="str">
        <f t="shared" si="201"/>
        <v>Far</v>
      </c>
      <c r="W1029" t="str">
        <f t="shared" si="202"/>
        <v>Normal</v>
      </c>
      <c r="X1029" t="str">
        <f t="shared" si="203"/>
        <v>Allowed</v>
      </c>
    </row>
    <row r="1030" spans="1:24" x14ac:dyDescent="0.3">
      <c r="A1030" t="s">
        <v>20</v>
      </c>
      <c r="B1030" t="s">
        <v>32</v>
      </c>
      <c r="C1030" t="s">
        <v>22</v>
      </c>
      <c r="D1030" s="3">
        <v>45565</v>
      </c>
      <c r="E1030" s="6">
        <v>0.79500000000000004</v>
      </c>
      <c r="F1030">
        <v>0</v>
      </c>
      <c r="G1030" t="s">
        <v>13</v>
      </c>
      <c r="H1030" s="6">
        <v>0.56999999999999995</v>
      </c>
      <c r="I1030" s="8">
        <v>-2.5220680958385898E-3</v>
      </c>
      <c r="J1030" s="5">
        <f t="shared" si="192"/>
        <v>-2.6703176088529658E-2</v>
      </c>
      <c r="K1030" s="5" cm="1">
        <f t="array" ref="K1030">_xlfn.STDEV.S(IF($C:$C=C1030,$I:$I))</f>
        <v>0.34089784338901952</v>
      </c>
      <c r="L1030" s="7">
        <f t="shared" si="195"/>
        <v>7.0933590404373775E-2</v>
      </c>
      <c r="M1030">
        <f t="shared" si="193"/>
        <v>0</v>
      </c>
      <c r="N1030" s="9">
        <f t="shared" si="196"/>
        <v>0.39473684210526333</v>
      </c>
      <c r="O1030">
        <f>COUNTIFS($B$2:B1030,B1030,$C$2:C1030,C1030,$D$2:D1030,"&lt;"&amp;D1030,$F$2:F1030,1)</f>
        <v>0</v>
      </c>
      <c r="P1030">
        <f t="shared" si="194"/>
        <v>0</v>
      </c>
      <c r="Q1030" t="str">
        <f t="shared" si="197"/>
        <v>Monitor</v>
      </c>
      <c r="R1030">
        <v>0</v>
      </c>
      <c r="S1030">
        <f t="shared" si="198"/>
        <v>0</v>
      </c>
      <c r="T1030">
        <f t="shared" si="199"/>
        <v>0</v>
      </c>
      <c r="U1030" t="str">
        <f t="shared" si="200"/>
        <v>Not Improved Enough</v>
      </c>
      <c r="V1030" t="str">
        <f t="shared" si="201"/>
        <v>Far</v>
      </c>
      <c r="W1030" t="str">
        <f t="shared" si="202"/>
        <v>Normal</v>
      </c>
      <c r="X1030" t="str">
        <f t="shared" si="203"/>
        <v>Allowed</v>
      </c>
    </row>
    <row r="1031" spans="1:24" x14ac:dyDescent="0.3">
      <c r="A1031" t="s">
        <v>20</v>
      </c>
      <c r="B1031" t="s">
        <v>32</v>
      </c>
      <c r="C1031" t="s">
        <v>22</v>
      </c>
      <c r="D1031" s="3">
        <v>45596</v>
      </c>
      <c r="E1031" s="6">
        <v>0.88500000000000001</v>
      </c>
      <c r="F1031">
        <v>0</v>
      </c>
      <c r="G1031" t="s">
        <v>13</v>
      </c>
      <c r="H1031" s="6">
        <v>0.56999999999999995</v>
      </c>
      <c r="I1031" s="8">
        <v>-0.1132075471698113</v>
      </c>
      <c r="J1031" s="5">
        <f t="shared" si="192"/>
        <v>-2.6703176088529658E-2</v>
      </c>
      <c r="K1031" s="5" cm="1">
        <f t="array" ref="K1031">_xlfn.STDEV.S(IF($C:$C=C1031,$I:$I))</f>
        <v>0.34089784338901952</v>
      </c>
      <c r="L1031" s="7">
        <f t="shared" si="195"/>
        <v>-0.25375452722523145</v>
      </c>
      <c r="M1031">
        <f t="shared" si="193"/>
        <v>0</v>
      </c>
      <c r="N1031" s="9">
        <f t="shared" si="196"/>
        <v>0.55263157894736858</v>
      </c>
      <c r="O1031">
        <f>COUNTIFS($B$2:B1031,B1031,$C$2:C1031,C1031,$D$2:D1031,"&lt;"&amp;D1031,$F$2:F1031,1)</f>
        <v>0</v>
      </c>
      <c r="P1031">
        <f t="shared" si="194"/>
        <v>0</v>
      </c>
      <c r="Q1031" t="str">
        <f t="shared" si="197"/>
        <v>Monitor</v>
      </c>
      <c r="R1031">
        <v>0</v>
      </c>
      <c r="S1031">
        <f t="shared" si="198"/>
        <v>0</v>
      </c>
      <c r="T1031">
        <f t="shared" si="199"/>
        <v>0</v>
      </c>
      <c r="U1031" t="str">
        <f t="shared" si="200"/>
        <v>Not Improved Enough</v>
      </c>
      <c r="V1031" t="str">
        <f t="shared" si="201"/>
        <v>Far</v>
      </c>
      <c r="W1031" t="str">
        <f t="shared" si="202"/>
        <v>Normal</v>
      </c>
      <c r="X1031" t="str">
        <f t="shared" si="203"/>
        <v>Allowed</v>
      </c>
    </row>
    <row r="1032" spans="1:24" x14ac:dyDescent="0.3">
      <c r="A1032" t="s">
        <v>20</v>
      </c>
      <c r="B1032" t="s">
        <v>32</v>
      </c>
      <c r="C1032" t="s">
        <v>22</v>
      </c>
      <c r="D1032" s="3">
        <v>45626</v>
      </c>
      <c r="E1032" s="6">
        <v>0.83799999999999997</v>
      </c>
      <c r="F1032">
        <v>1</v>
      </c>
      <c r="G1032" t="s">
        <v>13</v>
      </c>
      <c r="H1032" s="6">
        <v>0.56999999999999995</v>
      </c>
      <c r="I1032" s="8">
        <v>5.3107344632768408E-2</v>
      </c>
      <c r="J1032" s="5">
        <f t="shared" si="192"/>
        <v>-2.6703176088529658E-2</v>
      </c>
      <c r="K1032" s="5" cm="1">
        <f t="array" ref="K1032">_xlfn.STDEV.S(IF($C:$C=C1032,$I:$I))</f>
        <v>0.34089784338901952</v>
      </c>
      <c r="L1032" s="7">
        <f t="shared" si="195"/>
        <v>0.23411858499269347</v>
      </c>
      <c r="M1032">
        <f t="shared" si="193"/>
        <v>0</v>
      </c>
      <c r="N1032" s="9">
        <f t="shared" si="196"/>
        <v>0.4701754385964913</v>
      </c>
      <c r="O1032">
        <f>COUNTIFS($B$2:B1032,B1032,$C$2:C1032,C1032,$D$2:D1032,"&lt;"&amp;D1032,$F$2:F1032,1)</f>
        <v>0</v>
      </c>
      <c r="P1032">
        <f t="shared" si="194"/>
        <v>0</v>
      </c>
      <c r="Q1032" t="str">
        <f t="shared" si="197"/>
        <v>Monitor</v>
      </c>
      <c r="R1032">
        <v>0</v>
      </c>
      <c r="S1032">
        <f t="shared" si="198"/>
        <v>0</v>
      </c>
      <c r="T1032">
        <f t="shared" si="199"/>
        <v>0</v>
      </c>
      <c r="U1032" t="str">
        <f t="shared" si="200"/>
        <v>Improved Enough</v>
      </c>
      <c r="V1032" t="str">
        <f t="shared" si="201"/>
        <v>Far</v>
      </c>
      <c r="W1032" t="str">
        <f t="shared" si="202"/>
        <v>Normal</v>
      </c>
      <c r="X1032" t="str">
        <f t="shared" si="203"/>
        <v>Allowed</v>
      </c>
    </row>
    <row r="1033" spans="1:24" x14ac:dyDescent="0.3">
      <c r="A1033" t="s">
        <v>20</v>
      </c>
      <c r="B1033" t="s">
        <v>32</v>
      </c>
      <c r="C1033" t="s">
        <v>22</v>
      </c>
      <c r="D1033" s="3">
        <v>45657</v>
      </c>
      <c r="E1033" s="6">
        <v>0.83199999999999996</v>
      </c>
      <c r="F1033">
        <v>1</v>
      </c>
      <c r="G1033" t="s">
        <v>13</v>
      </c>
      <c r="H1033" s="6">
        <v>0.56999999999999995</v>
      </c>
      <c r="I1033" s="8">
        <v>7.1599045346062117E-3</v>
      </c>
      <c r="J1033" s="5">
        <f t="shared" si="192"/>
        <v>-2.6703176088529658E-2</v>
      </c>
      <c r="K1033" s="5" cm="1">
        <f t="array" ref="K1033">_xlfn.STDEV.S(IF($C:$C=C1033,$I:$I))</f>
        <v>0.34089784338901952</v>
      </c>
      <c r="L1033" s="7">
        <f t="shared" si="195"/>
        <v>9.9334980492946742E-2</v>
      </c>
      <c r="M1033">
        <f t="shared" si="193"/>
        <v>0</v>
      </c>
      <c r="N1033" s="9">
        <f t="shared" si="196"/>
        <v>0.45964912280701758</v>
      </c>
      <c r="O1033">
        <f>COUNTIFS($B$2:B1033,B1033,$C$2:C1033,C1033,$D$2:D1033,"&lt;"&amp;D1033,$F$2:F1033,1)</f>
        <v>1</v>
      </c>
      <c r="P1033">
        <f t="shared" si="194"/>
        <v>1</v>
      </c>
      <c r="Q1033" t="str">
        <f t="shared" si="197"/>
        <v>Monitor</v>
      </c>
      <c r="R1033">
        <v>1</v>
      </c>
      <c r="S1033">
        <f t="shared" si="198"/>
        <v>0</v>
      </c>
      <c r="T1033">
        <f t="shared" si="199"/>
        <v>0</v>
      </c>
      <c r="U1033" t="str">
        <f t="shared" si="200"/>
        <v>Not Improved Enough</v>
      </c>
      <c r="V1033" t="str">
        <f t="shared" si="201"/>
        <v>Far</v>
      </c>
      <c r="W1033" t="str">
        <f t="shared" si="202"/>
        <v>Normal</v>
      </c>
      <c r="X1033" t="str">
        <f t="shared" si="203"/>
        <v>Allowed</v>
      </c>
    </row>
    <row r="1034" spans="1:24" x14ac:dyDescent="0.3">
      <c r="A1034" t="s">
        <v>20</v>
      </c>
      <c r="B1034" t="s">
        <v>32</v>
      </c>
      <c r="C1034" t="s">
        <v>22</v>
      </c>
      <c r="D1034" s="3">
        <v>45688</v>
      </c>
      <c r="E1034" s="6">
        <v>0.82099999999999995</v>
      </c>
      <c r="F1034">
        <v>0</v>
      </c>
      <c r="G1034" t="s">
        <v>13</v>
      </c>
      <c r="H1034" s="6">
        <v>0.56999999999999995</v>
      </c>
      <c r="I1034" s="8">
        <v>1.322115384615386E-2</v>
      </c>
      <c r="J1034" s="5">
        <f t="shared" si="192"/>
        <v>-2.6703176088529658E-2</v>
      </c>
      <c r="K1034" s="5" cm="1">
        <f t="array" ref="K1034">_xlfn.STDEV.S(IF($C:$C=C1034,$I:$I))</f>
        <v>0.34089784338901952</v>
      </c>
      <c r="L1034" s="7">
        <f t="shared" si="195"/>
        <v>0.11711523175910329</v>
      </c>
      <c r="M1034">
        <f t="shared" si="193"/>
        <v>0</v>
      </c>
      <c r="N1034" s="9">
        <f t="shared" si="196"/>
        <v>0.44035087719298249</v>
      </c>
      <c r="O1034">
        <f>COUNTIFS($B$2:B1034,B1034,$C$2:C1034,C1034,$D$2:D1034,"&lt;"&amp;D1034,$F$2:F1034,1)</f>
        <v>2</v>
      </c>
      <c r="P1034">
        <f t="shared" si="194"/>
        <v>1</v>
      </c>
      <c r="Q1034" t="str">
        <f t="shared" si="197"/>
        <v>Monitor</v>
      </c>
      <c r="R1034">
        <v>1</v>
      </c>
      <c r="S1034">
        <f t="shared" si="198"/>
        <v>0</v>
      </c>
      <c r="T1034">
        <f t="shared" si="199"/>
        <v>0</v>
      </c>
      <c r="U1034" t="str">
        <f t="shared" si="200"/>
        <v>Improved Enough</v>
      </c>
      <c r="V1034" t="str">
        <f t="shared" si="201"/>
        <v>Far</v>
      </c>
      <c r="W1034" t="str">
        <f t="shared" si="202"/>
        <v>Normal</v>
      </c>
      <c r="X1034" t="str">
        <f t="shared" si="203"/>
        <v>Allowed</v>
      </c>
    </row>
    <row r="1035" spans="1:24" x14ac:dyDescent="0.3">
      <c r="A1035" t="s">
        <v>20</v>
      </c>
      <c r="B1035" t="s">
        <v>32</v>
      </c>
      <c r="C1035" t="s">
        <v>22</v>
      </c>
      <c r="D1035" s="3">
        <v>45716</v>
      </c>
      <c r="E1035" s="6">
        <v>0.81399999999999995</v>
      </c>
      <c r="F1035">
        <v>1</v>
      </c>
      <c r="G1035" t="s">
        <v>13</v>
      </c>
      <c r="H1035" s="6">
        <v>0.56999999999999995</v>
      </c>
      <c r="I1035" s="8">
        <v>8.5261875761266821E-3</v>
      </c>
      <c r="J1035" s="5">
        <f t="shared" si="192"/>
        <v>-2.6703176088529658E-2</v>
      </c>
      <c r="K1035" s="5" cm="1">
        <f t="array" ref="K1035">_xlfn.STDEV.S(IF($C:$C=C1035,$I:$I))</f>
        <v>0.34089784338901952</v>
      </c>
      <c r="L1035" s="7">
        <f t="shared" si="195"/>
        <v>0.10334287631281359</v>
      </c>
      <c r="M1035">
        <f t="shared" si="193"/>
        <v>0</v>
      </c>
      <c r="N1035" s="9">
        <f t="shared" si="196"/>
        <v>0.42807017543859655</v>
      </c>
      <c r="O1035">
        <f>COUNTIFS($B$2:B1035,B1035,$C$2:C1035,C1035,$D$2:D1035,"&lt;"&amp;D1035,$F$2:F1035,1)</f>
        <v>2</v>
      </c>
      <c r="P1035">
        <f t="shared" si="194"/>
        <v>0</v>
      </c>
      <c r="Q1035" t="str">
        <f t="shared" si="197"/>
        <v>Monitor</v>
      </c>
      <c r="R1035">
        <v>0</v>
      </c>
      <c r="S1035">
        <f t="shared" si="198"/>
        <v>0</v>
      </c>
      <c r="T1035">
        <f t="shared" si="199"/>
        <v>0</v>
      </c>
      <c r="U1035" t="str">
        <f t="shared" si="200"/>
        <v>Not Improved Enough</v>
      </c>
      <c r="V1035" t="str">
        <f t="shared" si="201"/>
        <v>Far</v>
      </c>
      <c r="W1035" t="str">
        <f t="shared" si="202"/>
        <v>Normal</v>
      </c>
      <c r="X1035" t="str">
        <f t="shared" si="203"/>
        <v>Allowed</v>
      </c>
    </row>
    <row r="1036" spans="1:24" x14ac:dyDescent="0.3">
      <c r="A1036" t="s">
        <v>20</v>
      </c>
      <c r="B1036" t="s">
        <v>32</v>
      </c>
      <c r="C1036" t="s">
        <v>22</v>
      </c>
      <c r="D1036" s="3">
        <v>45747</v>
      </c>
      <c r="E1036" s="6">
        <v>0.77600000000000002</v>
      </c>
      <c r="F1036">
        <v>0</v>
      </c>
      <c r="G1036" t="s">
        <v>13</v>
      </c>
      <c r="H1036" s="6">
        <v>0.56999999999999995</v>
      </c>
      <c r="I1036" s="8">
        <v>4.668304668304659E-2</v>
      </c>
      <c r="J1036" s="5">
        <f t="shared" si="192"/>
        <v>-2.6703176088529658E-2</v>
      </c>
      <c r="K1036" s="5" cm="1">
        <f t="array" ref="K1036">_xlfn.STDEV.S(IF($C:$C=C1036,$I:$I))</f>
        <v>0.34089784338901952</v>
      </c>
      <c r="L1036" s="7">
        <f t="shared" si="195"/>
        <v>0.21527335591803881</v>
      </c>
      <c r="M1036">
        <f t="shared" si="193"/>
        <v>0</v>
      </c>
      <c r="N1036" s="9">
        <f t="shared" si="196"/>
        <v>0.36140350877193</v>
      </c>
      <c r="O1036">
        <f>COUNTIFS($B$2:B1036,B1036,$C$2:C1036,C1036,$D$2:D1036,"&lt;"&amp;D1036,$F$2:F1036,1)</f>
        <v>3</v>
      </c>
      <c r="P1036">
        <f t="shared" si="194"/>
        <v>1</v>
      </c>
      <c r="Q1036" t="str">
        <f t="shared" si="197"/>
        <v>Monitor</v>
      </c>
      <c r="R1036">
        <v>1</v>
      </c>
      <c r="S1036">
        <f t="shared" si="198"/>
        <v>0</v>
      </c>
      <c r="T1036">
        <f t="shared" si="199"/>
        <v>0</v>
      </c>
      <c r="U1036" t="str">
        <f t="shared" si="200"/>
        <v>Improved Enough</v>
      </c>
      <c r="V1036" t="str">
        <f t="shared" si="201"/>
        <v>Far</v>
      </c>
      <c r="W1036" t="str">
        <f t="shared" si="202"/>
        <v>Normal</v>
      </c>
      <c r="X1036" t="str">
        <f t="shared" si="203"/>
        <v>Allowed</v>
      </c>
    </row>
    <row r="1037" spans="1:24" x14ac:dyDescent="0.3">
      <c r="A1037" t="s">
        <v>20</v>
      </c>
      <c r="B1037" t="s">
        <v>32</v>
      </c>
      <c r="C1037" t="s">
        <v>22</v>
      </c>
      <c r="D1037" s="3">
        <v>45777</v>
      </c>
      <c r="E1037" s="6">
        <v>0.81299999999999994</v>
      </c>
      <c r="F1037">
        <v>0</v>
      </c>
      <c r="G1037" t="s">
        <v>13</v>
      </c>
      <c r="H1037" s="6">
        <v>0.56999999999999995</v>
      </c>
      <c r="I1037" s="8">
        <v>-4.7680412371133921E-2</v>
      </c>
      <c r="J1037" s="5">
        <f t="shared" si="192"/>
        <v>-2.6703176088529658E-2</v>
      </c>
      <c r="K1037" s="5" cm="1">
        <f t="array" ref="K1037">_xlfn.STDEV.S(IF($C:$C=C1037,$I:$I))</f>
        <v>0.34089784338901952</v>
      </c>
      <c r="L1037" s="7">
        <f t="shared" si="195"/>
        <v>-6.1535256644806191E-2</v>
      </c>
      <c r="M1037">
        <f t="shared" si="193"/>
        <v>0</v>
      </c>
      <c r="N1037" s="9">
        <f t="shared" si="196"/>
        <v>0.42631578947368426</v>
      </c>
      <c r="O1037">
        <f>COUNTIFS($B$2:B1037,B1037,$C$2:C1037,C1037,$D$2:D1037,"&lt;"&amp;D1037,$F$2:F1037,1)</f>
        <v>3</v>
      </c>
      <c r="P1037">
        <f t="shared" si="194"/>
        <v>0</v>
      </c>
      <c r="Q1037" t="str">
        <f t="shared" si="197"/>
        <v>Monitor</v>
      </c>
      <c r="R1037">
        <v>0</v>
      </c>
      <c r="S1037">
        <f t="shared" si="198"/>
        <v>0</v>
      </c>
      <c r="T1037">
        <f t="shared" si="199"/>
        <v>0</v>
      </c>
      <c r="U1037" t="str">
        <f t="shared" si="200"/>
        <v>Not Improved Enough</v>
      </c>
      <c r="V1037" t="str">
        <f t="shared" si="201"/>
        <v>Far</v>
      </c>
      <c r="W1037" t="str">
        <f t="shared" si="202"/>
        <v>Normal</v>
      </c>
      <c r="X1037" t="str">
        <f t="shared" si="203"/>
        <v>Allowed</v>
      </c>
    </row>
    <row r="1038" spans="1:24" x14ac:dyDescent="0.3">
      <c r="A1038" t="s">
        <v>20</v>
      </c>
      <c r="B1038" t="s">
        <v>32</v>
      </c>
      <c r="C1038" t="s">
        <v>22</v>
      </c>
      <c r="D1038" s="3">
        <v>45808</v>
      </c>
      <c r="E1038" s="6">
        <v>0.83899999999999997</v>
      </c>
      <c r="F1038">
        <v>0</v>
      </c>
      <c r="G1038" t="s">
        <v>13</v>
      </c>
      <c r="H1038" s="6">
        <v>0.56999999999999995</v>
      </c>
      <c r="I1038" s="8">
        <v>-3.1980319803198057E-2</v>
      </c>
      <c r="J1038" s="5">
        <f t="shared" si="192"/>
        <v>-2.6703176088529658E-2</v>
      </c>
      <c r="K1038" s="5" cm="1">
        <f t="array" ref="K1038">_xlfn.STDEV.S(IF($C:$C=C1038,$I:$I))</f>
        <v>0.34089784338901952</v>
      </c>
      <c r="L1038" s="7">
        <f t="shared" si="195"/>
        <v>-1.5480132294783471E-2</v>
      </c>
      <c r="M1038">
        <f t="shared" si="193"/>
        <v>0</v>
      </c>
      <c r="N1038" s="9">
        <f t="shared" si="196"/>
        <v>0.47192982456140359</v>
      </c>
      <c r="O1038">
        <f>COUNTIFS($B$2:B1038,B1038,$C$2:C1038,C1038,$D$2:D1038,"&lt;"&amp;D1038,$F$2:F1038,1)</f>
        <v>3</v>
      </c>
      <c r="P1038">
        <f t="shared" si="194"/>
        <v>0</v>
      </c>
      <c r="Q1038" t="str">
        <f t="shared" si="197"/>
        <v>Monitor</v>
      </c>
      <c r="R1038">
        <v>0</v>
      </c>
      <c r="S1038">
        <f t="shared" si="198"/>
        <v>0</v>
      </c>
      <c r="T1038">
        <f t="shared" si="199"/>
        <v>0</v>
      </c>
      <c r="U1038" t="str">
        <f t="shared" si="200"/>
        <v>Not Improved Enough</v>
      </c>
      <c r="V1038" t="str">
        <f t="shared" si="201"/>
        <v>Far</v>
      </c>
      <c r="W1038" t="str">
        <f t="shared" si="202"/>
        <v>Normal</v>
      </c>
      <c r="X1038" t="str">
        <f t="shared" si="203"/>
        <v>Allowed</v>
      </c>
    </row>
    <row r="1039" spans="1:24" x14ac:dyDescent="0.3">
      <c r="A1039" t="s">
        <v>20</v>
      </c>
      <c r="B1039" t="s">
        <v>32</v>
      </c>
      <c r="C1039" t="s">
        <v>22</v>
      </c>
      <c r="D1039" s="3">
        <v>45838</v>
      </c>
      <c r="E1039" s="6">
        <v>0.79600000000000004</v>
      </c>
      <c r="F1039">
        <v>0</v>
      </c>
      <c r="G1039" t="s">
        <v>13</v>
      </c>
      <c r="H1039" s="6">
        <v>0.56999999999999995</v>
      </c>
      <c r="I1039" s="8">
        <v>5.1251489868891463E-2</v>
      </c>
      <c r="J1039" s="5">
        <f t="shared" si="192"/>
        <v>-2.6703176088529658E-2</v>
      </c>
      <c r="K1039" s="5" cm="1">
        <f t="array" ref="K1039">_xlfn.STDEV.S(IF($C:$C=C1039,$I:$I))</f>
        <v>0.34089784338901952</v>
      </c>
      <c r="L1039" s="7">
        <f t="shared" si="195"/>
        <v>0.22867456473892167</v>
      </c>
      <c r="M1039">
        <f t="shared" si="193"/>
        <v>0</v>
      </c>
      <c r="N1039" s="9">
        <f t="shared" si="196"/>
        <v>0.39649122807017562</v>
      </c>
      <c r="O1039">
        <f>COUNTIFS($B$2:B1039,B1039,$C$2:C1039,C1039,$D$2:D1039,"&lt;"&amp;D1039,$F$2:F1039,1)</f>
        <v>3</v>
      </c>
      <c r="P1039">
        <f t="shared" si="194"/>
        <v>0</v>
      </c>
      <c r="Q1039" t="str">
        <f t="shared" si="197"/>
        <v>Monitor</v>
      </c>
      <c r="R1039">
        <v>0</v>
      </c>
      <c r="S1039">
        <f t="shared" si="198"/>
        <v>0</v>
      </c>
      <c r="T1039">
        <f t="shared" si="199"/>
        <v>0</v>
      </c>
      <c r="U1039" t="str">
        <f t="shared" si="200"/>
        <v>Improved Enough</v>
      </c>
      <c r="V1039" t="str">
        <f t="shared" si="201"/>
        <v>Far</v>
      </c>
      <c r="W1039" t="str">
        <f t="shared" si="202"/>
        <v>Normal</v>
      </c>
      <c r="X1039" t="str">
        <f t="shared" si="203"/>
        <v>Allowed</v>
      </c>
    </row>
    <row r="1040" spans="1:24" x14ac:dyDescent="0.3">
      <c r="A1040" t="s">
        <v>20</v>
      </c>
      <c r="B1040" t="s">
        <v>32</v>
      </c>
      <c r="C1040" t="s">
        <v>22</v>
      </c>
      <c r="D1040" s="3">
        <v>45869</v>
      </c>
      <c r="E1040" s="6">
        <v>0.61</v>
      </c>
      <c r="F1040">
        <v>0</v>
      </c>
      <c r="G1040" t="s">
        <v>13</v>
      </c>
      <c r="H1040" s="6">
        <v>0.56999999999999995</v>
      </c>
      <c r="I1040" s="8">
        <v>0.23366834170854281</v>
      </c>
      <c r="J1040" s="5">
        <f t="shared" si="192"/>
        <v>-2.6703176088529658E-2</v>
      </c>
      <c r="K1040" s="5" cm="1">
        <f t="array" ref="K1040">_xlfn.STDEV.S(IF($C:$C=C1040,$I:$I))</f>
        <v>0.34089784338901952</v>
      </c>
      <c r="L1040" s="7">
        <f t="shared" si="195"/>
        <v>0.76378165144314658</v>
      </c>
      <c r="M1040">
        <f t="shared" si="193"/>
        <v>-1</v>
      </c>
      <c r="N1040" s="9">
        <f t="shared" si="196"/>
        <v>7.0175438596491294E-2</v>
      </c>
      <c r="O1040">
        <f>COUNTIFS($B$2:B1040,B1040,$C$2:C1040,C1040,$D$2:D1040,"&lt;"&amp;D1040,$F$2:F1040,1)</f>
        <v>3</v>
      </c>
      <c r="P1040">
        <f t="shared" si="194"/>
        <v>0</v>
      </c>
      <c r="Q1040" t="str">
        <f t="shared" si="197"/>
        <v>Monitor</v>
      </c>
      <c r="R1040">
        <v>0</v>
      </c>
      <c r="S1040">
        <f t="shared" si="198"/>
        <v>0</v>
      </c>
      <c r="T1040">
        <f t="shared" si="199"/>
        <v>0</v>
      </c>
      <c r="U1040" t="str">
        <f t="shared" si="200"/>
        <v>Improved Enough</v>
      </c>
      <c r="V1040" t="str">
        <f t="shared" si="201"/>
        <v>Far</v>
      </c>
      <c r="W1040" t="str">
        <f t="shared" si="202"/>
        <v>Normal</v>
      </c>
      <c r="X1040" t="str">
        <f t="shared" si="203"/>
        <v>Allowed</v>
      </c>
    </row>
    <row r="1041" spans="1:24" x14ac:dyDescent="0.3">
      <c r="A1041" t="s">
        <v>20</v>
      </c>
      <c r="B1041" t="s">
        <v>32</v>
      </c>
      <c r="C1041" t="s">
        <v>22</v>
      </c>
      <c r="D1041" s="3">
        <v>45900</v>
      </c>
      <c r="E1041" s="6">
        <v>0.41</v>
      </c>
      <c r="F1041">
        <v>0</v>
      </c>
      <c r="G1041" t="s">
        <v>13</v>
      </c>
      <c r="H1041" s="6">
        <v>0.56999999999999995</v>
      </c>
      <c r="I1041" s="8">
        <v>0.32786885245901642</v>
      </c>
      <c r="J1041" s="5">
        <f t="shared" si="192"/>
        <v>-2.6703176088529658E-2</v>
      </c>
      <c r="K1041" s="5" cm="1">
        <f t="array" ref="K1041">_xlfn.STDEV.S(IF($C:$C=C1041,$I:$I))</f>
        <v>0.34089784338901952</v>
      </c>
      <c r="L1041" s="7">
        <f t="shared" si="195"/>
        <v>1.0401122665446789</v>
      </c>
      <c r="M1041">
        <f t="shared" si="193"/>
        <v>-1</v>
      </c>
      <c r="N1041" s="9">
        <f t="shared" si="196"/>
        <v>-0.2807017543859649</v>
      </c>
      <c r="O1041">
        <f>COUNTIFS($B$2:B1041,B1041,$C$2:C1041,C1041,$D$2:D1041,"&lt;"&amp;D1041,$F$2:F1041,1)</f>
        <v>3</v>
      </c>
      <c r="P1041">
        <f t="shared" si="194"/>
        <v>0</v>
      </c>
      <c r="Q1041" t="str">
        <f t="shared" si="197"/>
        <v>Monitor</v>
      </c>
      <c r="R1041">
        <v>0</v>
      </c>
      <c r="S1041">
        <f t="shared" si="198"/>
        <v>0</v>
      </c>
      <c r="T1041">
        <f t="shared" si="199"/>
        <v>0</v>
      </c>
      <c r="U1041" t="str">
        <f t="shared" si="200"/>
        <v>Improved Enough</v>
      </c>
      <c r="V1041" t="str">
        <f t="shared" si="201"/>
        <v>Close</v>
      </c>
      <c r="W1041" t="str">
        <f t="shared" si="202"/>
        <v>Normal</v>
      </c>
      <c r="X1041" t="str">
        <f t="shared" si="203"/>
        <v>Allowed</v>
      </c>
    </row>
    <row r="1042" spans="1:24" x14ac:dyDescent="0.3">
      <c r="A1042" t="s">
        <v>20</v>
      </c>
      <c r="B1042" t="s">
        <v>32</v>
      </c>
      <c r="C1042" t="s">
        <v>22</v>
      </c>
      <c r="D1042" s="3">
        <v>45930</v>
      </c>
      <c r="E1042" s="6">
        <v>0.59</v>
      </c>
      <c r="F1042">
        <v>0</v>
      </c>
      <c r="G1042" t="s">
        <v>13</v>
      </c>
      <c r="H1042" s="6">
        <v>0.56999999999999995</v>
      </c>
      <c r="I1042" s="8">
        <v>-0.43902439024390238</v>
      </c>
      <c r="J1042" s="5">
        <f t="shared" si="192"/>
        <v>-2.6703176088529658E-2</v>
      </c>
      <c r="K1042" s="5" cm="1">
        <f t="array" ref="K1042">_xlfn.STDEV.S(IF($C:$C=C1042,$I:$I))</f>
        <v>0.34089784338901952</v>
      </c>
      <c r="L1042" s="7">
        <f t="shared" si="195"/>
        <v>-1.2095154667342602</v>
      </c>
      <c r="M1042">
        <f t="shared" si="193"/>
        <v>1</v>
      </c>
      <c r="N1042" s="9">
        <f t="shared" si="196"/>
        <v>3.5087719298245647E-2</v>
      </c>
      <c r="O1042">
        <f>COUNTIFS($B$2:B1042,B1042,$C$2:C1042,C1042,$D$2:D1042,"&lt;"&amp;D1042,$F$2:F1042,1)</f>
        <v>3</v>
      </c>
      <c r="P1042">
        <f t="shared" si="194"/>
        <v>0</v>
      </c>
      <c r="Q1042" t="str">
        <f t="shared" si="197"/>
        <v>Intervene</v>
      </c>
      <c r="R1042">
        <v>0</v>
      </c>
      <c r="S1042">
        <f t="shared" si="198"/>
        <v>1</v>
      </c>
      <c r="T1042">
        <f t="shared" si="199"/>
        <v>1</v>
      </c>
      <c r="U1042" t="str">
        <f t="shared" si="200"/>
        <v>Not Improved Enough</v>
      </c>
      <c r="V1042" t="str">
        <f t="shared" si="201"/>
        <v>Far</v>
      </c>
      <c r="W1042" t="str">
        <f t="shared" si="202"/>
        <v>Abnormal</v>
      </c>
      <c r="X1042" t="str">
        <f t="shared" si="203"/>
        <v>Allowed</v>
      </c>
    </row>
    <row r="1043" spans="1:24" x14ac:dyDescent="0.3">
      <c r="A1043" t="s">
        <v>20</v>
      </c>
      <c r="B1043" t="s">
        <v>32</v>
      </c>
      <c r="C1043" t="s">
        <v>22</v>
      </c>
      <c r="D1043" s="3">
        <v>45961</v>
      </c>
      <c r="E1043" s="6">
        <v>0.44</v>
      </c>
      <c r="F1043">
        <v>0</v>
      </c>
      <c r="G1043" t="s">
        <v>13</v>
      </c>
      <c r="H1043" s="6">
        <v>0.56999999999999995</v>
      </c>
      <c r="I1043" s="8">
        <v>0.25423728813559321</v>
      </c>
      <c r="J1043" s="5">
        <f t="shared" si="192"/>
        <v>-2.6703176088529658E-2</v>
      </c>
      <c r="K1043" s="5" cm="1">
        <f t="array" ref="K1043">_xlfn.STDEV.S(IF($C:$C=C1043,$I:$I))</f>
        <v>0.34089784338901952</v>
      </c>
      <c r="L1043" s="7">
        <f t="shared" si="195"/>
        <v>0.82411921832994539</v>
      </c>
      <c r="M1043">
        <f t="shared" si="193"/>
        <v>-1</v>
      </c>
      <c r="N1043" s="9">
        <f t="shared" si="196"/>
        <v>-0.22807017543859642</v>
      </c>
      <c r="O1043">
        <f>COUNTIFS($B$2:B1043,B1043,$C$2:C1043,C1043,$D$2:D1043,"&lt;"&amp;D1043,$F$2:F1043,1)</f>
        <v>3</v>
      </c>
      <c r="P1043">
        <f t="shared" si="194"/>
        <v>0</v>
      </c>
      <c r="Q1043" t="str">
        <f t="shared" si="197"/>
        <v>Monitor</v>
      </c>
      <c r="R1043">
        <v>0</v>
      </c>
      <c r="S1043">
        <f t="shared" si="198"/>
        <v>0</v>
      </c>
      <c r="T1043">
        <f t="shared" si="199"/>
        <v>0</v>
      </c>
      <c r="U1043" t="str">
        <f t="shared" si="200"/>
        <v>Improved Enough</v>
      </c>
      <c r="V1043" t="str">
        <f t="shared" si="201"/>
        <v>Close</v>
      </c>
      <c r="W1043" t="str">
        <f t="shared" si="202"/>
        <v>Normal</v>
      </c>
      <c r="X1043" t="str">
        <f t="shared" si="203"/>
        <v>Allowed</v>
      </c>
    </row>
    <row r="1044" spans="1:24" x14ac:dyDescent="0.3">
      <c r="A1044" t="s">
        <v>23</v>
      </c>
      <c r="B1044" t="s">
        <v>32</v>
      </c>
      <c r="C1044" t="s">
        <v>24</v>
      </c>
      <c r="D1044" s="3">
        <v>45535</v>
      </c>
      <c r="E1044" s="6">
        <v>0.82830000000000004</v>
      </c>
      <c r="F1044">
        <v>0</v>
      </c>
      <c r="G1044" t="s">
        <v>17</v>
      </c>
      <c r="H1044" s="6">
        <v>0.85</v>
      </c>
      <c r="I1044" s="8">
        <v>-1.051248357424432E-2</v>
      </c>
      <c r="J1044" s="5">
        <f t="shared" si="192"/>
        <v>4.5902054585511267E-3</v>
      </c>
      <c r="K1044" s="5" cm="1">
        <f t="array" ref="K1044">_xlfn.STDEV.S(IF($C:$C=C1044,$I:$I))</f>
        <v>7.1528610508022367E-2</v>
      </c>
      <c r="L1044" s="7">
        <f t="shared" si="195"/>
        <v>-0.21114193223565539</v>
      </c>
      <c r="M1044">
        <f t="shared" si="193"/>
        <v>0</v>
      </c>
      <c r="N1044" s="9">
        <f t="shared" si="196"/>
        <v>2.5529411764705814E-2</v>
      </c>
      <c r="O1044">
        <f>COUNTIFS($B$2:B1044,B1044,$C$2:C1044,C1044,$D$2:D1044,"&lt;"&amp;D1044,$F$2:F1044,1)</f>
        <v>0</v>
      </c>
      <c r="P1044">
        <f t="shared" si="194"/>
        <v>0</v>
      </c>
      <c r="Q1044" t="str">
        <f t="shared" si="197"/>
        <v>Monitor</v>
      </c>
      <c r="R1044">
        <v>0</v>
      </c>
      <c r="S1044">
        <f t="shared" si="198"/>
        <v>0</v>
      </c>
      <c r="T1044">
        <f t="shared" si="199"/>
        <v>0</v>
      </c>
      <c r="U1044" t="str">
        <f t="shared" si="200"/>
        <v>Not Improved Enough</v>
      </c>
      <c r="V1044" t="str">
        <f t="shared" si="201"/>
        <v>Far</v>
      </c>
      <c r="W1044" t="str">
        <f t="shared" si="202"/>
        <v>Normal</v>
      </c>
      <c r="X1044" t="str">
        <f t="shared" si="203"/>
        <v>Allowed</v>
      </c>
    </row>
    <row r="1045" spans="1:24" x14ac:dyDescent="0.3">
      <c r="A1045" t="s">
        <v>23</v>
      </c>
      <c r="B1045" t="s">
        <v>32</v>
      </c>
      <c r="C1045" t="s">
        <v>24</v>
      </c>
      <c r="D1045" s="3">
        <v>45565</v>
      </c>
      <c r="E1045" s="6">
        <v>0.81189999999999996</v>
      </c>
      <c r="F1045">
        <v>1</v>
      </c>
      <c r="G1045" t="s">
        <v>17</v>
      </c>
      <c r="H1045" s="6">
        <v>0.85</v>
      </c>
      <c r="I1045" s="8">
        <v>-1.9799589520705159E-2</v>
      </c>
      <c r="J1045" s="5">
        <f t="shared" si="192"/>
        <v>4.5902054585511267E-3</v>
      </c>
      <c r="K1045" s="5" cm="1">
        <f t="array" ref="K1045">_xlfn.STDEV.S(IF($C:$C=C1045,$I:$I))</f>
        <v>7.1528610508022367E-2</v>
      </c>
      <c r="L1045" s="7">
        <f t="shared" si="195"/>
        <v>-0.34097957175500876</v>
      </c>
      <c r="M1045">
        <f t="shared" si="193"/>
        <v>0</v>
      </c>
      <c r="N1045" s="9">
        <f t="shared" si="196"/>
        <v>4.4823529411764734E-2</v>
      </c>
      <c r="O1045">
        <f>COUNTIFS($B$2:B1045,B1045,$C$2:C1045,C1045,$D$2:D1045,"&lt;"&amp;D1045,$F$2:F1045,1)</f>
        <v>0</v>
      </c>
      <c r="P1045">
        <f t="shared" si="194"/>
        <v>0</v>
      </c>
      <c r="Q1045" t="str">
        <f t="shared" si="197"/>
        <v>Monitor</v>
      </c>
      <c r="R1045">
        <v>0</v>
      </c>
      <c r="S1045">
        <f t="shared" si="198"/>
        <v>0</v>
      </c>
      <c r="T1045">
        <f t="shared" si="199"/>
        <v>0</v>
      </c>
      <c r="U1045" t="str">
        <f t="shared" si="200"/>
        <v>Not Improved Enough</v>
      </c>
      <c r="V1045" t="str">
        <f t="shared" si="201"/>
        <v>Far</v>
      </c>
      <c r="W1045" t="str">
        <f t="shared" si="202"/>
        <v>Normal</v>
      </c>
      <c r="X1045" t="str">
        <f t="shared" si="203"/>
        <v>Allowed</v>
      </c>
    </row>
    <row r="1046" spans="1:24" x14ac:dyDescent="0.3">
      <c r="A1046" t="s">
        <v>23</v>
      </c>
      <c r="B1046" t="s">
        <v>32</v>
      </c>
      <c r="C1046" t="s">
        <v>24</v>
      </c>
      <c r="D1046" s="3">
        <v>45596</v>
      </c>
      <c r="E1046" s="6">
        <v>0.82499999999999996</v>
      </c>
      <c r="F1046">
        <v>1</v>
      </c>
      <c r="G1046" t="s">
        <v>17</v>
      </c>
      <c r="H1046" s="6">
        <v>0.85</v>
      </c>
      <c r="I1046" s="8">
        <v>1.6134991994087938E-2</v>
      </c>
      <c r="J1046" s="5">
        <f t="shared" si="192"/>
        <v>4.5902054585511267E-3</v>
      </c>
      <c r="K1046" s="5" cm="1">
        <f t="array" ref="K1046">_xlfn.STDEV.S(IF($C:$C=C1046,$I:$I))</f>
        <v>7.1528610508022367E-2</v>
      </c>
      <c r="L1046" s="7">
        <f t="shared" si="195"/>
        <v>0.1614009618464767</v>
      </c>
      <c r="M1046">
        <f t="shared" si="193"/>
        <v>0</v>
      </c>
      <c r="N1046" s="9">
        <f t="shared" si="196"/>
        <v>2.941176470588238E-2</v>
      </c>
      <c r="O1046">
        <f>COUNTIFS($B$2:B1046,B1046,$C$2:C1046,C1046,$D$2:D1046,"&lt;"&amp;D1046,$F$2:F1046,1)</f>
        <v>1</v>
      </c>
      <c r="P1046">
        <f t="shared" si="194"/>
        <v>1</v>
      </c>
      <c r="Q1046" t="str">
        <f t="shared" si="197"/>
        <v>Monitor</v>
      </c>
      <c r="R1046">
        <v>1</v>
      </c>
      <c r="S1046">
        <f t="shared" si="198"/>
        <v>0</v>
      </c>
      <c r="T1046">
        <f t="shared" si="199"/>
        <v>0</v>
      </c>
      <c r="U1046" t="str">
        <f t="shared" si="200"/>
        <v>Improved Enough</v>
      </c>
      <c r="V1046" t="str">
        <f t="shared" si="201"/>
        <v>Far</v>
      </c>
      <c r="W1046" t="str">
        <f t="shared" si="202"/>
        <v>Normal</v>
      </c>
      <c r="X1046" t="str">
        <f t="shared" si="203"/>
        <v>Allowed</v>
      </c>
    </row>
    <row r="1047" spans="1:24" x14ac:dyDescent="0.3">
      <c r="A1047" t="s">
        <v>23</v>
      </c>
      <c r="B1047" t="s">
        <v>32</v>
      </c>
      <c r="C1047" t="s">
        <v>24</v>
      </c>
      <c r="D1047" s="3">
        <v>45626</v>
      </c>
      <c r="E1047" s="6">
        <v>0.79790000000000005</v>
      </c>
      <c r="F1047">
        <v>0</v>
      </c>
      <c r="G1047" t="s">
        <v>17</v>
      </c>
      <c r="H1047" s="6">
        <v>0.85</v>
      </c>
      <c r="I1047" s="8">
        <v>-3.2848484848484731E-2</v>
      </c>
      <c r="J1047" s="5">
        <f t="shared" si="192"/>
        <v>4.5902054585511267E-3</v>
      </c>
      <c r="K1047" s="5" cm="1">
        <f t="array" ref="K1047">_xlfn.STDEV.S(IF($C:$C=C1047,$I:$I))</f>
        <v>7.1528610508022367E-2</v>
      </c>
      <c r="L1047" s="7">
        <f t="shared" si="195"/>
        <v>-0.52340860588696714</v>
      </c>
      <c r="M1047">
        <f t="shared" si="193"/>
        <v>1</v>
      </c>
      <c r="N1047" s="9">
        <f t="shared" si="196"/>
        <v>6.1294117647058735E-2</v>
      </c>
      <c r="O1047">
        <f>COUNTIFS($B$2:B1047,B1047,$C$2:C1047,C1047,$D$2:D1047,"&lt;"&amp;D1047,$F$2:F1047,1)</f>
        <v>2</v>
      </c>
      <c r="P1047">
        <f t="shared" si="194"/>
        <v>-1</v>
      </c>
      <c r="Q1047" t="str">
        <f t="shared" si="197"/>
        <v>Intervene</v>
      </c>
      <c r="R1047">
        <v>1</v>
      </c>
      <c r="S1047">
        <f t="shared" si="198"/>
        <v>1</v>
      </c>
      <c r="T1047">
        <f t="shared" si="199"/>
        <v>1</v>
      </c>
      <c r="U1047" t="str">
        <f t="shared" si="200"/>
        <v>Not Improved Enough</v>
      </c>
      <c r="V1047" t="str">
        <f t="shared" si="201"/>
        <v>Far</v>
      </c>
      <c r="W1047" t="str">
        <f t="shared" si="202"/>
        <v>Abnormal</v>
      </c>
      <c r="X1047" t="str">
        <f t="shared" si="203"/>
        <v>Allowed</v>
      </c>
    </row>
    <row r="1048" spans="1:24" x14ac:dyDescent="0.3">
      <c r="A1048" t="s">
        <v>23</v>
      </c>
      <c r="B1048" t="s">
        <v>32</v>
      </c>
      <c r="C1048" t="s">
        <v>24</v>
      </c>
      <c r="D1048" s="3">
        <v>45657</v>
      </c>
      <c r="E1048" s="6">
        <v>0.78200000000000003</v>
      </c>
      <c r="F1048">
        <v>1</v>
      </c>
      <c r="G1048" t="s">
        <v>17</v>
      </c>
      <c r="H1048" s="6">
        <v>0.85</v>
      </c>
      <c r="I1048" s="8">
        <v>-1.9927309186614891E-2</v>
      </c>
      <c r="J1048" s="5">
        <f t="shared" si="192"/>
        <v>4.5902054585511267E-3</v>
      </c>
      <c r="K1048" s="5" cm="1">
        <f t="array" ref="K1048">_xlfn.STDEV.S(IF($C:$C=C1048,$I:$I))</f>
        <v>7.1528610508022367E-2</v>
      </c>
      <c r="L1048" s="7">
        <f t="shared" si="195"/>
        <v>-0.34276514629647714</v>
      </c>
      <c r="M1048">
        <f t="shared" si="193"/>
        <v>0</v>
      </c>
      <c r="N1048" s="9">
        <f t="shared" si="196"/>
        <v>7.9999999999999946E-2</v>
      </c>
      <c r="O1048">
        <f>COUNTIFS($B$2:B1048,B1048,$C$2:C1048,C1048,$D$2:D1048,"&lt;"&amp;D1048,$F$2:F1048,1)</f>
        <v>2</v>
      </c>
      <c r="P1048">
        <f t="shared" si="194"/>
        <v>0</v>
      </c>
      <c r="Q1048" t="str">
        <f t="shared" si="197"/>
        <v>Monitor</v>
      </c>
      <c r="R1048">
        <v>0</v>
      </c>
      <c r="S1048">
        <f t="shared" si="198"/>
        <v>0</v>
      </c>
      <c r="T1048">
        <f t="shared" si="199"/>
        <v>0</v>
      </c>
      <c r="U1048" t="str">
        <f t="shared" si="200"/>
        <v>Not Improved Enough</v>
      </c>
      <c r="V1048" t="str">
        <f t="shared" si="201"/>
        <v>Far</v>
      </c>
      <c r="W1048" t="str">
        <f t="shared" si="202"/>
        <v>Normal</v>
      </c>
      <c r="X1048" t="str">
        <f t="shared" si="203"/>
        <v>Allowed</v>
      </c>
    </row>
    <row r="1049" spans="1:24" x14ac:dyDescent="0.3">
      <c r="A1049" t="s">
        <v>23</v>
      </c>
      <c r="B1049" t="s">
        <v>32</v>
      </c>
      <c r="C1049" t="s">
        <v>24</v>
      </c>
      <c r="D1049" s="3">
        <v>45688</v>
      </c>
      <c r="E1049" s="6">
        <v>0.74029999999999996</v>
      </c>
      <c r="F1049">
        <v>1</v>
      </c>
      <c r="G1049" t="s">
        <v>17</v>
      </c>
      <c r="H1049" s="6">
        <v>0.85</v>
      </c>
      <c r="I1049" s="8">
        <v>-5.3324808184143313E-2</v>
      </c>
      <c r="J1049" s="5">
        <f t="shared" si="192"/>
        <v>4.5902054585511267E-3</v>
      </c>
      <c r="K1049" s="5" cm="1">
        <f t="array" ref="K1049">_xlfn.STDEV.S(IF($C:$C=C1049,$I:$I))</f>
        <v>7.1528610508022367E-2</v>
      </c>
      <c r="L1049" s="7">
        <f t="shared" si="195"/>
        <v>-0.80967620133203788</v>
      </c>
      <c r="M1049">
        <f t="shared" si="193"/>
        <v>1</v>
      </c>
      <c r="N1049" s="9">
        <f t="shared" si="196"/>
        <v>0.12905882352941178</v>
      </c>
      <c r="O1049">
        <f>COUNTIFS($B$2:B1049,B1049,$C$2:C1049,C1049,$D$2:D1049,"&lt;"&amp;D1049,$F$2:F1049,1)</f>
        <v>3</v>
      </c>
      <c r="P1049">
        <f t="shared" si="194"/>
        <v>-1</v>
      </c>
      <c r="Q1049" t="str">
        <f t="shared" si="197"/>
        <v>Intervene</v>
      </c>
      <c r="R1049">
        <v>1</v>
      </c>
      <c r="S1049">
        <f t="shared" si="198"/>
        <v>1</v>
      </c>
      <c r="T1049">
        <f t="shared" si="199"/>
        <v>1</v>
      </c>
      <c r="U1049" t="str">
        <f t="shared" si="200"/>
        <v>Not Improved Enough</v>
      </c>
      <c r="V1049" t="str">
        <f t="shared" si="201"/>
        <v>Far</v>
      </c>
      <c r="W1049" t="str">
        <f t="shared" si="202"/>
        <v>Abnormal</v>
      </c>
      <c r="X1049" t="str">
        <f t="shared" si="203"/>
        <v>Allowed</v>
      </c>
    </row>
    <row r="1050" spans="1:24" x14ac:dyDescent="0.3">
      <c r="A1050" t="s">
        <v>23</v>
      </c>
      <c r="B1050" t="s">
        <v>32</v>
      </c>
      <c r="C1050" t="s">
        <v>24</v>
      </c>
      <c r="D1050" s="3">
        <v>45716</v>
      </c>
      <c r="E1050" s="6">
        <v>0.66669999999999996</v>
      </c>
      <c r="F1050">
        <v>1</v>
      </c>
      <c r="G1050" t="s">
        <v>17</v>
      </c>
      <c r="H1050" s="6">
        <v>0.85</v>
      </c>
      <c r="I1050" s="8">
        <v>-9.9419154396866133E-2</v>
      </c>
      <c r="J1050" s="5">
        <f t="shared" si="192"/>
        <v>4.5902054585511267E-3</v>
      </c>
      <c r="K1050" s="5" cm="1">
        <f t="array" ref="K1050">_xlfn.STDEV.S(IF($C:$C=C1050,$I:$I))</f>
        <v>7.1528610508022367E-2</v>
      </c>
      <c r="L1050" s="7">
        <f t="shared" si="195"/>
        <v>-1.4540945101086786</v>
      </c>
      <c r="M1050">
        <f t="shared" si="193"/>
        <v>1</v>
      </c>
      <c r="N1050" s="9">
        <f t="shared" si="196"/>
        <v>0.21564705882352944</v>
      </c>
      <c r="O1050">
        <f>COUNTIFS($B$2:B1050,B1050,$C$2:C1050,C1050,$D$2:D1050,"&lt;"&amp;D1050,$F$2:F1050,1)</f>
        <v>4</v>
      </c>
      <c r="P1050">
        <f t="shared" si="194"/>
        <v>-1</v>
      </c>
      <c r="Q1050" t="str">
        <f t="shared" si="197"/>
        <v>Intervene</v>
      </c>
      <c r="R1050">
        <v>1</v>
      </c>
      <c r="S1050">
        <f t="shared" si="198"/>
        <v>1</v>
      </c>
      <c r="T1050">
        <f t="shared" si="199"/>
        <v>1</v>
      </c>
      <c r="U1050" t="str">
        <f t="shared" si="200"/>
        <v>Not Improved Enough</v>
      </c>
      <c r="V1050" t="str">
        <f t="shared" si="201"/>
        <v>Far</v>
      </c>
      <c r="W1050" t="str">
        <f t="shared" si="202"/>
        <v>Abnormal</v>
      </c>
      <c r="X1050" t="str">
        <f t="shared" si="203"/>
        <v>Allowed</v>
      </c>
    </row>
    <row r="1051" spans="1:24" x14ac:dyDescent="0.3">
      <c r="A1051" t="s">
        <v>23</v>
      </c>
      <c r="B1051" t="s">
        <v>32</v>
      </c>
      <c r="C1051" t="s">
        <v>24</v>
      </c>
      <c r="D1051" s="3">
        <v>45747</v>
      </c>
      <c r="E1051" s="6">
        <v>0.75</v>
      </c>
      <c r="F1051">
        <v>0</v>
      </c>
      <c r="G1051" t="s">
        <v>17</v>
      </c>
      <c r="H1051" s="6">
        <v>0.85</v>
      </c>
      <c r="I1051" s="8">
        <v>0.12494375281235939</v>
      </c>
      <c r="J1051" s="5">
        <f t="shared" si="192"/>
        <v>4.5902054585511267E-3</v>
      </c>
      <c r="K1051" s="5" cm="1">
        <f t="array" ref="K1051">_xlfn.STDEV.S(IF($C:$C=C1051,$I:$I))</f>
        <v>7.1528610508022367E-2</v>
      </c>
      <c r="L1051" s="7">
        <f t="shared" si="195"/>
        <v>1.6825931120290654</v>
      </c>
      <c r="M1051">
        <f t="shared" si="193"/>
        <v>-1</v>
      </c>
      <c r="N1051" s="9">
        <f t="shared" si="196"/>
        <v>0.11764705882352938</v>
      </c>
      <c r="O1051">
        <f>COUNTIFS($B$2:B1051,B1051,$C$2:C1051,C1051,$D$2:D1051,"&lt;"&amp;D1051,$F$2:F1051,1)</f>
        <v>5</v>
      </c>
      <c r="P1051">
        <f t="shared" si="194"/>
        <v>1</v>
      </c>
      <c r="Q1051" t="str">
        <f t="shared" si="197"/>
        <v>Monitor</v>
      </c>
      <c r="R1051">
        <v>1</v>
      </c>
      <c r="S1051">
        <f t="shared" si="198"/>
        <v>0</v>
      </c>
      <c r="T1051">
        <f t="shared" si="199"/>
        <v>0</v>
      </c>
      <c r="U1051" t="str">
        <f t="shared" si="200"/>
        <v>Improved Enough</v>
      </c>
      <c r="V1051" t="str">
        <f t="shared" si="201"/>
        <v>Far</v>
      </c>
      <c r="W1051" t="str">
        <f t="shared" si="202"/>
        <v>Normal</v>
      </c>
      <c r="X1051" t="str">
        <f t="shared" si="203"/>
        <v>Maxed Out</v>
      </c>
    </row>
    <row r="1052" spans="1:24" x14ac:dyDescent="0.3">
      <c r="A1052" t="s">
        <v>23</v>
      </c>
      <c r="B1052" t="s">
        <v>32</v>
      </c>
      <c r="C1052" t="s">
        <v>24</v>
      </c>
      <c r="D1052" s="3">
        <v>45777</v>
      </c>
      <c r="E1052" s="6">
        <v>0.73680000000000001</v>
      </c>
      <c r="F1052">
        <v>1</v>
      </c>
      <c r="G1052" t="s">
        <v>17</v>
      </c>
      <c r="H1052" s="6">
        <v>0.85</v>
      </c>
      <c r="I1052" s="8">
        <v>-1.7599999999999991E-2</v>
      </c>
      <c r="J1052" s="5">
        <f t="shared" si="192"/>
        <v>4.5902054585511267E-3</v>
      </c>
      <c r="K1052" s="5" cm="1">
        <f t="array" ref="K1052">_xlfn.STDEV.S(IF($C:$C=C1052,$I:$I))</f>
        <v>7.1528610508022367E-2</v>
      </c>
      <c r="L1052" s="7">
        <f t="shared" si="195"/>
        <v>-0.31022838694821775</v>
      </c>
      <c r="M1052">
        <f t="shared" si="193"/>
        <v>0</v>
      </c>
      <c r="N1052" s="9">
        <f t="shared" si="196"/>
        <v>0.13317647058823526</v>
      </c>
      <c r="O1052">
        <f>COUNTIFS($B$2:B1052,B1052,$C$2:C1052,C1052,$D$2:D1052,"&lt;"&amp;D1052,$F$2:F1052,1)</f>
        <v>5</v>
      </c>
      <c r="P1052">
        <f t="shared" si="194"/>
        <v>0</v>
      </c>
      <c r="Q1052" t="str">
        <f t="shared" si="197"/>
        <v>Monitor</v>
      </c>
      <c r="R1052">
        <v>0</v>
      </c>
      <c r="S1052">
        <f t="shared" si="198"/>
        <v>0</v>
      </c>
      <c r="T1052">
        <f t="shared" si="199"/>
        <v>0</v>
      </c>
      <c r="U1052" t="str">
        <f t="shared" si="200"/>
        <v>Not Improved Enough</v>
      </c>
      <c r="V1052" t="str">
        <f t="shared" si="201"/>
        <v>Far</v>
      </c>
      <c r="W1052" t="str">
        <f t="shared" si="202"/>
        <v>Normal</v>
      </c>
      <c r="X1052" t="str">
        <f t="shared" si="203"/>
        <v>Maxed Out</v>
      </c>
    </row>
    <row r="1053" spans="1:24" x14ac:dyDescent="0.3">
      <c r="A1053" t="s">
        <v>23</v>
      </c>
      <c r="B1053" t="s">
        <v>32</v>
      </c>
      <c r="C1053" t="s">
        <v>24</v>
      </c>
      <c r="D1053" s="3">
        <v>45808</v>
      </c>
      <c r="E1053" s="6">
        <v>0.77890000000000004</v>
      </c>
      <c r="F1053">
        <v>0</v>
      </c>
      <c r="G1053" t="s">
        <v>17</v>
      </c>
      <c r="H1053" s="6">
        <v>0.85</v>
      </c>
      <c r="I1053" s="8">
        <v>5.7138979370249761E-2</v>
      </c>
      <c r="J1053" s="5">
        <f t="shared" si="192"/>
        <v>4.5902054585511267E-3</v>
      </c>
      <c r="K1053" s="5" cm="1">
        <f t="array" ref="K1053">_xlfn.STDEV.S(IF($C:$C=C1053,$I:$I))</f>
        <v>7.1528610508022367E-2</v>
      </c>
      <c r="L1053" s="7">
        <f t="shared" si="195"/>
        <v>0.73465391734129892</v>
      </c>
      <c r="M1053">
        <f t="shared" si="193"/>
        <v>-1</v>
      </c>
      <c r="N1053" s="9">
        <f t="shared" si="196"/>
        <v>8.3647058823529338E-2</v>
      </c>
      <c r="O1053">
        <f>COUNTIFS($B$2:B1053,B1053,$C$2:C1053,C1053,$D$2:D1053,"&lt;"&amp;D1053,$F$2:F1053,1)</f>
        <v>6</v>
      </c>
      <c r="P1053">
        <f t="shared" si="194"/>
        <v>1</v>
      </c>
      <c r="Q1053" t="str">
        <f t="shared" si="197"/>
        <v>Monitor</v>
      </c>
      <c r="R1053">
        <v>1</v>
      </c>
      <c r="S1053">
        <f t="shared" si="198"/>
        <v>0</v>
      </c>
      <c r="T1053">
        <f t="shared" si="199"/>
        <v>0</v>
      </c>
      <c r="U1053" t="str">
        <f t="shared" si="200"/>
        <v>Improved Enough</v>
      </c>
      <c r="V1053" t="str">
        <f t="shared" si="201"/>
        <v>Far</v>
      </c>
      <c r="W1053" t="str">
        <f t="shared" si="202"/>
        <v>Normal</v>
      </c>
      <c r="X1053" t="str">
        <f t="shared" si="203"/>
        <v>Maxed Out</v>
      </c>
    </row>
    <row r="1054" spans="1:24" x14ac:dyDescent="0.3">
      <c r="A1054" t="s">
        <v>23</v>
      </c>
      <c r="B1054" t="s">
        <v>32</v>
      </c>
      <c r="C1054" t="s">
        <v>24</v>
      </c>
      <c r="D1054" s="3">
        <v>45838</v>
      </c>
      <c r="E1054" s="6">
        <v>0.73599999999999999</v>
      </c>
      <c r="F1054">
        <v>0</v>
      </c>
      <c r="G1054" t="s">
        <v>17</v>
      </c>
      <c r="H1054" s="6">
        <v>0.85</v>
      </c>
      <c r="I1054" s="8">
        <v>-5.5077673642316152E-2</v>
      </c>
      <c r="J1054" s="5">
        <f t="shared" si="192"/>
        <v>4.5902054585511267E-3</v>
      </c>
      <c r="K1054" s="5" cm="1">
        <f t="array" ref="K1054">_xlfn.STDEV.S(IF($C:$C=C1054,$I:$I))</f>
        <v>7.1528610508022367E-2</v>
      </c>
      <c r="L1054" s="7">
        <f t="shared" si="195"/>
        <v>-0.83418199622618372</v>
      </c>
      <c r="M1054">
        <f t="shared" si="193"/>
        <v>1</v>
      </c>
      <c r="N1054" s="9">
        <f t="shared" si="196"/>
        <v>0.13411764705882351</v>
      </c>
      <c r="O1054">
        <f>COUNTIFS($B$2:B1054,B1054,$C$2:C1054,C1054,$D$2:D1054,"&lt;"&amp;D1054,$F$2:F1054,1)</f>
        <v>6</v>
      </c>
      <c r="P1054">
        <f t="shared" si="194"/>
        <v>0</v>
      </c>
      <c r="Q1054" t="str">
        <f t="shared" si="197"/>
        <v>Escalate / Bigger Fix</v>
      </c>
      <c r="R1054">
        <v>0</v>
      </c>
      <c r="S1054">
        <f t="shared" si="198"/>
        <v>-1</v>
      </c>
      <c r="T1054">
        <f t="shared" si="199"/>
        <v>0</v>
      </c>
      <c r="U1054" t="str">
        <f t="shared" si="200"/>
        <v>Not Improved Enough</v>
      </c>
      <c r="V1054" t="str">
        <f t="shared" si="201"/>
        <v>Far</v>
      </c>
      <c r="W1054" t="str">
        <f t="shared" si="202"/>
        <v>Abnormal</v>
      </c>
      <c r="X1054" t="str">
        <f t="shared" si="203"/>
        <v>Maxed Out</v>
      </c>
    </row>
    <row r="1055" spans="1:24" x14ac:dyDescent="0.3">
      <c r="A1055" t="s">
        <v>23</v>
      </c>
      <c r="B1055" t="s">
        <v>32</v>
      </c>
      <c r="C1055" t="s">
        <v>24</v>
      </c>
      <c r="D1055" s="3">
        <v>45869</v>
      </c>
      <c r="E1055" s="6">
        <v>0.79</v>
      </c>
      <c r="F1055">
        <v>0</v>
      </c>
      <c r="G1055" t="s">
        <v>17</v>
      </c>
      <c r="H1055" s="6">
        <v>0.85</v>
      </c>
      <c r="I1055" s="8">
        <v>7.3369565217391366E-2</v>
      </c>
      <c r="J1055" s="5">
        <f t="shared" si="192"/>
        <v>4.5902054585511267E-3</v>
      </c>
      <c r="K1055" s="5" cm="1">
        <f t="array" ref="K1055">_xlfn.STDEV.S(IF($C:$C=C1055,$I:$I))</f>
        <v>7.1528610508022367E-2</v>
      </c>
      <c r="L1055" s="7">
        <f t="shared" si="195"/>
        <v>0.96156432049139573</v>
      </c>
      <c r="M1055">
        <f t="shared" si="193"/>
        <v>-1</v>
      </c>
      <c r="N1055" s="9">
        <f t="shared" si="196"/>
        <v>7.0588235294117577E-2</v>
      </c>
      <c r="O1055">
        <f>COUNTIFS($B$2:B1055,B1055,$C$2:C1055,C1055,$D$2:D1055,"&lt;"&amp;D1055,$F$2:F1055,1)</f>
        <v>6</v>
      </c>
      <c r="P1055">
        <f t="shared" si="194"/>
        <v>0</v>
      </c>
      <c r="Q1055" t="str">
        <f t="shared" si="197"/>
        <v>Monitor</v>
      </c>
      <c r="R1055">
        <v>0</v>
      </c>
      <c r="S1055">
        <f t="shared" si="198"/>
        <v>0</v>
      </c>
      <c r="T1055">
        <f t="shared" si="199"/>
        <v>0</v>
      </c>
      <c r="U1055" t="str">
        <f t="shared" si="200"/>
        <v>Improved Enough</v>
      </c>
      <c r="V1055" t="str">
        <f t="shared" si="201"/>
        <v>Far</v>
      </c>
      <c r="W1055" t="str">
        <f t="shared" si="202"/>
        <v>Normal</v>
      </c>
      <c r="X1055" t="str">
        <f t="shared" si="203"/>
        <v>Maxed Out</v>
      </c>
    </row>
    <row r="1056" spans="1:24" x14ac:dyDescent="0.3">
      <c r="A1056" t="s">
        <v>23</v>
      </c>
      <c r="B1056" t="s">
        <v>32</v>
      </c>
      <c r="C1056" t="s">
        <v>24</v>
      </c>
      <c r="D1056" s="3">
        <v>45900</v>
      </c>
      <c r="E1056" s="6">
        <v>0.76400000000000001</v>
      </c>
      <c r="F1056">
        <v>0</v>
      </c>
      <c r="G1056" t="s">
        <v>17</v>
      </c>
      <c r="H1056" s="6">
        <v>0.85</v>
      </c>
      <c r="I1056" s="8">
        <v>-3.2911392405063321E-2</v>
      </c>
      <c r="J1056" s="5">
        <f t="shared" si="192"/>
        <v>4.5902054585511267E-3</v>
      </c>
      <c r="K1056" s="5" cm="1">
        <f t="array" ref="K1056">_xlfn.STDEV.S(IF($C:$C=C1056,$I:$I))</f>
        <v>7.1528610508022367E-2</v>
      </c>
      <c r="L1056" s="7">
        <f t="shared" si="195"/>
        <v>-0.52428807993423021</v>
      </c>
      <c r="M1056">
        <f t="shared" si="193"/>
        <v>1</v>
      </c>
      <c r="N1056" s="9">
        <f t="shared" si="196"/>
        <v>0.10117647058823526</v>
      </c>
      <c r="O1056">
        <f>COUNTIFS($B$2:B1056,B1056,$C$2:C1056,C1056,$D$2:D1056,"&lt;"&amp;D1056,$F$2:F1056,1)</f>
        <v>6</v>
      </c>
      <c r="P1056">
        <f t="shared" si="194"/>
        <v>0</v>
      </c>
      <c r="Q1056" t="str">
        <f t="shared" si="197"/>
        <v>Escalate / Bigger Fix</v>
      </c>
      <c r="R1056">
        <v>0</v>
      </c>
      <c r="S1056">
        <f t="shared" si="198"/>
        <v>-1</v>
      </c>
      <c r="T1056">
        <f t="shared" si="199"/>
        <v>0</v>
      </c>
      <c r="U1056" t="str">
        <f t="shared" si="200"/>
        <v>Not Improved Enough</v>
      </c>
      <c r="V1056" t="str">
        <f t="shared" si="201"/>
        <v>Far</v>
      </c>
      <c r="W1056" t="str">
        <f t="shared" si="202"/>
        <v>Abnormal</v>
      </c>
      <c r="X1056" t="str">
        <f t="shared" si="203"/>
        <v>Maxed Out</v>
      </c>
    </row>
    <row r="1057" spans="1:24" x14ac:dyDescent="0.3">
      <c r="A1057" t="s">
        <v>23</v>
      </c>
      <c r="B1057" t="s">
        <v>32</v>
      </c>
      <c r="C1057" t="s">
        <v>24</v>
      </c>
      <c r="D1057" s="3">
        <v>45930</v>
      </c>
      <c r="E1057" s="6">
        <v>0.73799999999999999</v>
      </c>
      <c r="F1057">
        <v>0</v>
      </c>
      <c r="G1057" t="s">
        <v>17</v>
      </c>
      <c r="H1057" s="6">
        <v>0.85</v>
      </c>
      <c r="I1057" s="8">
        <v>-3.4031413612565467E-2</v>
      </c>
      <c r="J1057" s="5">
        <f t="shared" si="192"/>
        <v>4.5902054585511267E-3</v>
      </c>
      <c r="K1057" s="5" cm="1">
        <f t="array" ref="K1057">_xlfn.STDEV.S(IF($C:$C=C1057,$I:$I))</f>
        <v>7.1528610508022367E-2</v>
      </c>
      <c r="L1057" s="7">
        <f t="shared" si="195"/>
        <v>-0.53994644655910029</v>
      </c>
      <c r="M1057">
        <f t="shared" si="193"/>
        <v>1</v>
      </c>
      <c r="N1057" s="9">
        <f t="shared" si="196"/>
        <v>0.13176470588235292</v>
      </c>
      <c r="O1057">
        <f>COUNTIFS($B$2:B1057,B1057,$C$2:C1057,C1057,$D$2:D1057,"&lt;"&amp;D1057,$F$2:F1057,1)</f>
        <v>6</v>
      </c>
      <c r="P1057">
        <f t="shared" si="194"/>
        <v>0</v>
      </c>
      <c r="Q1057" t="str">
        <f t="shared" si="197"/>
        <v>Escalate / Bigger Fix</v>
      </c>
      <c r="R1057">
        <v>0</v>
      </c>
      <c r="S1057">
        <f t="shared" si="198"/>
        <v>-1</v>
      </c>
      <c r="T1057">
        <f t="shared" si="199"/>
        <v>0</v>
      </c>
      <c r="U1057" t="str">
        <f t="shared" si="200"/>
        <v>Not Improved Enough</v>
      </c>
      <c r="V1057" t="str">
        <f t="shared" si="201"/>
        <v>Far</v>
      </c>
      <c r="W1057" t="str">
        <f t="shared" si="202"/>
        <v>Abnormal</v>
      </c>
      <c r="X1057" t="str">
        <f t="shared" si="203"/>
        <v>Maxed Out</v>
      </c>
    </row>
    <row r="1058" spans="1:24" x14ac:dyDescent="0.3">
      <c r="A1058" t="s">
        <v>23</v>
      </c>
      <c r="B1058" t="s">
        <v>32</v>
      </c>
      <c r="C1058" t="s">
        <v>24</v>
      </c>
      <c r="D1058" s="3">
        <v>45961</v>
      </c>
      <c r="E1058" s="6">
        <v>0.74399999999999999</v>
      </c>
      <c r="F1058">
        <v>0</v>
      </c>
      <c r="G1058" t="s">
        <v>17</v>
      </c>
      <c r="H1058" s="6">
        <v>0.85</v>
      </c>
      <c r="I1058" s="8">
        <v>8.1300813008130159E-3</v>
      </c>
      <c r="J1058" s="5">
        <f t="shared" si="192"/>
        <v>4.5902054585511267E-3</v>
      </c>
      <c r="K1058" s="5" cm="1">
        <f t="array" ref="K1058">_xlfn.STDEV.S(IF($C:$C=C1058,$I:$I))</f>
        <v>7.1528610508022367E-2</v>
      </c>
      <c r="L1058" s="7">
        <f t="shared" si="195"/>
        <v>4.9488950185392885E-2</v>
      </c>
      <c r="M1058">
        <f t="shared" si="193"/>
        <v>0</v>
      </c>
      <c r="N1058" s="9">
        <f t="shared" si="196"/>
        <v>0.12470588235294117</v>
      </c>
      <c r="O1058">
        <f>COUNTIFS($B$2:B1058,B1058,$C$2:C1058,C1058,$D$2:D1058,"&lt;"&amp;D1058,$F$2:F1058,1)</f>
        <v>6</v>
      </c>
      <c r="P1058">
        <f t="shared" si="194"/>
        <v>0</v>
      </c>
      <c r="Q1058" t="str">
        <f t="shared" si="197"/>
        <v>Monitor</v>
      </c>
      <c r="R1058">
        <v>0</v>
      </c>
      <c r="S1058">
        <f t="shared" si="198"/>
        <v>0</v>
      </c>
      <c r="T1058">
        <f t="shared" si="199"/>
        <v>0</v>
      </c>
      <c r="U1058" t="str">
        <f t="shared" si="200"/>
        <v>Not Improved Enough</v>
      </c>
      <c r="V1058" t="str">
        <f t="shared" si="201"/>
        <v>Far</v>
      </c>
      <c r="W1058" t="str">
        <f t="shared" si="202"/>
        <v>Normal</v>
      </c>
      <c r="X1058" t="str">
        <f t="shared" si="203"/>
        <v>Maxed Out</v>
      </c>
    </row>
    <row r="1059" spans="1:24" x14ac:dyDescent="0.3">
      <c r="A1059" t="s">
        <v>23</v>
      </c>
      <c r="B1059" t="s">
        <v>32</v>
      </c>
      <c r="C1059" t="s">
        <v>24</v>
      </c>
      <c r="D1059" s="3">
        <v>45991</v>
      </c>
      <c r="E1059" s="6">
        <v>0.78200000000000003</v>
      </c>
      <c r="F1059">
        <v>0</v>
      </c>
      <c r="G1059" t="s">
        <v>17</v>
      </c>
      <c r="H1059" s="6">
        <v>0.85</v>
      </c>
      <c r="I1059" s="8">
        <v>5.1075268817204353E-2</v>
      </c>
      <c r="J1059" s="5">
        <f t="shared" si="192"/>
        <v>4.5902054585511267E-3</v>
      </c>
      <c r="K1059" s="5" cm="1">
        <f t="array" ref="K1059">_xlfn.STDEV.S(IF($C:$C=C1059,$I:$I))</f>
        <v>7.1528610508022367E-2</v>
      </c>
      <c r="L1059" s="7">
        <f t="shared" si="195"/>
        <v>0.6498806984855332</v>
      </c>
      <c r="M1059">
        <f t="shared" si="193"/>
        <v>-1</v>
      </c>
      <c r="N1059" s="9">
        <f t="shared" si="196"/>
        <v>7.9999999999999946E-2</v>
      </c>
      <c r="O1059">
        <f>COUNTIFS($B$2:B1059,B1059,$C$2:C1059,C1059,$D$2:D1059,"&lt;"&amp;D1059,$F$2:F1059,1)</f>
        <v>6</v>
      </c>
      <c r="P1059">
        <f t="shared" si="194"/>
        <v>0</v>
      </c>
      <c r="Q1059" t="str">
        <f t="shared" si="197"/>
        <v>Monitor</v>
      </c>
      <c r="R1059">
        <v>0</v>
      </c>
      <c r="S1059">
        <f t="shared" si="198"/>
        <v>0</v>
      </c>
      <c r="T1059">
        <f t="shared" si="199"/>
        <v>0</v>
      </c>
      <c r="U1059" t="str">
        <f t="shared" si="200"/>
        <v>Improved Enough</v>
      </c>
      <c r="V1059" t="str">
        <f t="shared" si="201"/>
        <v>Far</v>
      </c>
      <c r="W1059" t="str">
        <f t="shared" si="202"/>
        <v>Normal</v>
      </c>
      <c r="X1059" t="str">
        <f t="shared" si="203"/>
        <v>Maxed Out</v>
      </c>
    </row>
    <row r="1060" spans="1:24" x14ac:dyDescent="0.3">
      <c r="A1060" t="s">
        <v>23</v>
      </c>
      <c r="B1060" t="s">
        <v>32</v>
      </c>
      <c r="C1060" t="s">
        <v>25</v>
      </c>
      <c r="D1060" s="3">
        <v>45535</v>
      </c>
      <c r="E1060" s="6">
        <v>0.68869999999999998</v>
      </c>
      <c r="F1060">
        <v>0</v>
      </c>
      <c r="G1060" t="s">
        <v>17</v>
      </c>
      <c r="H1060" s="6">
        <v>0.65</v>
      </c>
      <c r="I1060" s="8">
        <v>-8.2085253456221745E-3</v>
      </c>
      <c r="J1060" s="5">
        <f t="shared" si="192"/>
        <v>1.2057533289701232E-2</v>
      </c>
      <c r="K1060" s="5" cm="1">
        <f t="array" ref="K1060">_xlfn.STDEV.S(IF($C:$C=C1060,$I:$I))</f>
        <v>0.17981498891186962</v>
      </c>
      <c r="L1060" s="7">
        <f t="shared" si="195"/>
        <v>-0.11270505733677268</v>
      </c>
      <c r="M1060">
        <f t="shared" si="193"/>
        <v>0</v>
      </c>
      <c r="N1060" s="9">
        <f t="shared" si="196"/>
        <v>-5.9538461538461471E-2</v>
      </c>
      <c r="O1060">
        <f>COUNTIFS($B$2:B1060,B1060,$C$2:C1060,C1060,$D$2:D1060,"&lt;"&amp;D1060,$F$2:F1060,1)</f>
        <v>0</v>
      </c>
      <c r="P1060">
        <f t="shared" si="194"/>
        <v>0</v>
      </c>
      <c r="Q1060" t="str">
        <f t="shared" si="197"/>
        <v>Monitor</v>
      </c>
      <c r="R1060">
        <v>0</v>
      </c>
      <c r="S1060">
        <f t="shared" si="198"/>
        <v>0</v>
      </c>
      <c r="T1060">
        <f t="shared" si="199"/>
        <v>0</v>
      </c>
      <c r="U1060" t="str">
        <f t="shared" si="200"/>
        <v>Not Improved Enough</v>
      </c>
      <c r="V1060" t="str">
        <f t="shared" si="201"/>
        <v>Close</v>
      </c>
      <c r="W1060" t="str">
        <f t="shared" si="202"/>
        <v>Normal</v>
      </c>
      <c r="X1060" t="str">
        <f t="shared" si="203"/>
        <v>Allowed</v>
      </c>
    </row>
    <row r="1061" spans="1:24" x14ac:dyDescent="0.3">
      <c r="A1061" t="s">
        <v>23</v>
      </c>
      <c r="B1061" t="s">
        <v>32</v>
      </c>
      <c r="C1061" t="s">
        <v>25</v>
      </c>
      <c r="D1061" s="3">
        <v>45565</v>
      </c>
      <c r="E1061" s="6">
        <v>0.65049999999999997</v>
      </c>
      <c r="F1061">
        <v>0</v>
      </c>
      <c r="G1061" t="s">
        <v>17</v>
      </c>
      <c r="H1061" s="6">
        <v>0.65</v>
      </c>
      <c r="I1061" s="8">
        <v>-5.5466821547843777E-2</v>
      </c>
      <c r="J1061" s="5">
        <f t="shared" si="192"/>
        <v>1.2057533289701232E-2</v>
      </c>
      <c r="K1061" s="5" cm="1">
        <f t="array" ref="K1061">_xlfn.STDEV.S(IF($C:$C=C1061,$I:$I))</f>
        <v>0.17981498891186962</v>
      </c>
      <c r="L1061" s="7">
        <f t="shared" si="195"/>
        <v>-0.37552128021229558</v>
      </c>
      <c r="M1061">
        <f t="shared" si="193"/>
        <v>0</v>
      </c>
      <c r="N1061" s="9">
        <f t="shared" si="196"/>
        <v>-7.6923076923068445E-4</v>
      </c>
      <c r="O1061">
        <f>COUNTIFS($B$2:B1061,B1061,$C$2:C1061,C1061,$D$2:D1061,"&lt;"&amp;D1061,$F$2:F1061,1)</f>
        <v>0</v>
      </c>
      <c r="P1061">
        <f t="shared" si="194"/>
        <v>0</v>
      </c>
      <c r="Q1061" t="str">
        <f t="shared" si="197"/>
        <v>Monitor</v>
      </c>
      <c r="R1061">
        <v>0</v>
      </c>
      <c r="S1061">
        <f t="shared" si="198"/>
        <v>0</v>
      </c>
      <c r="T1061">
        <f t="shared" si="199"/>
        <v>0</v>
      </c>
      <c r="U1061" t="str">
        <f t="shared" si="200"/>
        <v>Not Improved Enough</v>
      </c>
      <c r="V1061" t="str">
        <f t="shared" si="201"/>
        <v>Close</v>
      </c>
      <c r="W1061" t="str">
        <f t="shared" si="202"/>
        <v>Normal</v>
      </c>
      <c r="X1061" t="str">
        <f t="shared" si="203"/>
        <v>Allowed</v>
      </c>
    </row>
    <row r="1062" spans="1:24" x14ac:dyDescent="0.3">
      <c r="A1062" t="s">
        <v>23</v>
      </c>
      <c r="B1062" t="s">
        <v>32</v>
      </c>
      <c r="C1062" t="s">
        <v>25</v>
      </c>
      <c r="D1062" s="3">
        <v>45596</v>
      </c>
      <c r="E1062" s="6">
        <v>0.73809999999999998</v>
      </c>
      <c r="F1062">
        <v>0</v>
      </c>
      <c r="G1062" t="s">
        <v>17</v>
      </c>
      <c r="H1062" s="6">
        <v>0.65</v>
      </c>
      <c r="I1062" s="8">
        <v>0.1346656418139893</v>
      </c>
      <c r="J1062" s="5">
        <f t="shared" si="192"/>
        <v>1.2057533289701232E-2</v>
      </c>
      <c r="K1062" s="5" cm="1">
        <f t="array" ref="K1062">_xlfn.STDEV.S(IF($C:$C=C1062,$I:$I))</f>
        <v>0.17981498891186962</v>
      </c>
      <c r="L1062" s="7">
        <f t="shared" si="195"/>
        <v>0.68185699794125831</v>
      </c>
      <c r="M1062">
        <f t="shared" si="193"/>
        <v>-1</v>
      </c>
      <c r="N1062" s="9">
        <f t="shared" si="196"/>
        <v>-0.13553846153846147</v>
      </c>
      <c r="O1062">
        <f>COUNTIFS($B$2:B1062,B1062,$C$2:C1062,C1062,$D$2:D1062,"&lt;"&amp;D1062,$F$2:F1062,1)</f>
        <v>0</v>
      </c>
      <c r="P1062">
        <f t="shared" si="194"/>
        <v>0</v>
      </c>
      <c r="Q1062" t="str">
        <f t="shared" si="197"/>
        <v>Monitor</v>
      </c>
      <c r="R1062">
        <v>0</v>
      </c>
      <c r="S1062">
        <f t="shared" si="198"/>
        <v>0</v>
      </c>
      <c r="T1062">
        <f t="shared" si="199"/>
        <v>0</v>
      </c>
      <c r="U1062" t="str">
        <f t="shared" si="200"/>
        <v>Improved Enough</v>
      </c>
      <c r="V1062" t="str">
        <f t="shared" si="201"/>
        <v>Close</v>
      </c>
      <c r="W1062" t="str">
        <f t="shared" si="202"/>
        <v>Normal</v>
      </c>
      <c r="X1062" t="str">
        <f t="shared" si="203"/>
        <v>Allowed</v>
      </c>
    </row>
    <row r="1063" spans="1:24" x14ac:dyDescent="0.3">
      <c r="A1063" t="s">
        <v>23</v>
      </c>
      <c r="B1063" t="s">
        <v>32</v>
      </c>
      <c r="C1063" t="s">
        <v>25</v>
      </c>
      <c r="D1063" s="3">
        <v>45626</v>
      </c>
      <c r="E1063" s="6">
        <v>0.70299999999999996</v>
      </c>
      <c r="F1063">
        <v>0</v>
      </c>
      <c r="G1063" t="s">
        <v>17</v>
      </c>
      <c r="H1063" s="6">
        <v>0.65</v>
      </c>
      <c r="I1063" s="8">
        <v>-4.7554531906245798E-2</v>
      </c>
      <c r="J1063" s="5">
        <f t="shared" si="192"/>
        <v>1.2057533289701232E-2</v>
      </c>
      <c r="K1063" s="5" cm="1">
        <f t="array" ref="K1063">_xlfn.STDEV.S(IF($C:$C=C1063,$I:$I))</f>
        <v>0.17981498891186962</v>
      </c>
      <c r="L1063" s="7">
        <f t="shared" si="195"/>
        <v>-0.33151888814543662</v>
      </c>
      <c r="M1063">
        <f t="shared" si="193"/>
        <v>0</v>
      </c>
      <c r="N1063" s="9">
        <f t="shared" si="196"/>
        <v>-8.1538461538461435E-2</v>
      </c>
      <c r="O1063">
        <f>COUNTIFS($B$2:B1063,B1063,$C$2:C1063,C1063,$D$2:D1063,"&lt;"&amp;D1063,$F$2:F1063,1)</f>
        <v>0</v>
      </c>
      <c r="P1063">
        <f t="shared" si="194"/>
        <v>0</v>
      </c>
      <c r="Q1063" t="str">
        <f t="shared" si="197"/>
        <v>Monitor</v>
      </c>
      <c r="R1063">
        <v>0</v>
      </c>
      <c r="S1063">
        <f t="shared" si="198"/>
        <v>0</v>
      </c>
      <c r="T1063">
        <f t="shared" si="199"/>
        <v>0</v>
      </c>
      <c r="U1063" t="str">
        <f t="shared" si="200"/>
        <v>Not Improved Enough</v>
      </c>
      <c r="V1063" t="str">
        <f t="shared" si="201"/>
        <v>Close</v>
      </c>
      <c r="W1063" t="str">
        <f t="shared" si="202"/>
        <v>Normal</v>
      </c>
      <c r="X1063" t="str">
        <f t="shared" si="203"/>
        <v>Allowed</v>
      </c>
    </row>
    <row r="1064" spans="1:24" x14ac:dyDescent="0.3">
      <c r="A1064" t="s">
        <v>23</v>
      </c>
      <c r="B1064" t="s">
        <v>32</v>
      </c>
      <c r="C1064" t="s">
        <v>25</v>
      </c>
      <c r="D1064" s="3">
        <v>45657</v>
      </c>
      <c r="E1064" s="6">
        <v>0.62670000000000003</v>
      </c>
      <c r="F1064">
        <v>0</v>
      </c>
      <c r="G1064" t="s">
        <v>17</v>
      </c>
      <c r="H1064" s="6">
        <v>0.65</v>
      </c>
      <c r="I1064" s="8">
        <v>-0.1085348506401137</v>
      </c>
      <c r="J1064" s="5">
        <f t="shared" si="192"/>
        <v>1.2057533289701232E-2</v>
      </c>
      <c r="K1064" s="5" cm="1">
        <f t="array" ref="K1064">_xlfn.STDEV.S(IF($C:$C=C1064,$I:$I))</f>
        <v>0.17981498891186962</v>
      </c>
      <c r="L1064" s="7">
        <f t="shared" si="195"/>
        <v>-0.67064700590071114</v>
      </c>
      <c r="M1064">
        <f t="shared" si="193"/>
        <v>1</v>
      </c>
      <c r="N1064" s="9">
        <f t="shared" si="196"/>
        <v>3.5846153846153826E-2</v>
      </c>
      <c r="O1064">
        <f>COUNTIFS($B$2:B1064,B1064,$C$2:C1064,C1064,$D$2:D1064,"&lt;"&amp;D1064,$F$2:F1064,1)</f>
        <v>0</v>
      </c>
      <c r="P1064">
        <f t="shared" si="194"/>
        <v>0</v>
      </c>
      <c r="Q1064" t="str">
        <f t="shared" si="197"/>
        <v>Intervene</v>
      </c>
      <c r="R1064">
        <v>0</v>
      </c>
      <c r="S1064">
        <f t="shared" si="198"/>
        <v>1</v>
      </c>
      <c r="T1064">
        <f t="shared" si="199"/>
        <v>1</v>
      </c>
      <c r="U1064" t="str">
        <f t="shared" si="200"/>
        <v>Not Improved Enough</v>
      </c>
      <c r="V1064" t="str">
        <f t="shared" si="201"/>
        <v>Far</v>
      </c>
      <c r="W1064" t="str">
        <f t="shared" si="202"/>
        <v>Abnormal</v>
      </c>
      <c r="X1064" t="str">
        <f t="shared" si="203"/>
        <v>Allowed</v>
      </c>
    </row>
    <row r="1065" spans="1:24" x14ac:dyDescent="0.3">
      <c r="A1065" t="s">
        <v>23</v>
      </c>
      <c r="B1065" t="s">
        <v>32</v>
      </c>
      <c r="C1065" t="s">
        <v>25</v>
      </c>
      <c r="D1065" s="3">
        <v>45688</v>
      </c>
      <c r="E1065" s="6">
        <v>0.72729999999999995</v>
      </c>
      <c r="F1065">
        <v>0</v>
      </c>
      <c r="G1065" t="s">
        <v>17</v>
      </c>
      <c r="H1065" s="6">
        <v>0.65</v>
      </c>
      <c r="I1065" s="8">
        <v>0.16052337641614789</v>
      </c>
      <c r="J1065" s="5">
        <f t="shared" si="192"/>
        <v>1.2057533289701232E-2</v>
      </c>
      <c r="K1065" s="5" cm="1">
        <f t="array" ref="K1065">_xlfn.STDEV.S(IF($C:$C=C1065,$I:$I))</f>
        <v>0.17981498891186962</v>
      </c>
      <c r="L1065" s="7">
        <f t="shared" si="195"/>
        <v>0.82565888430586998</v>
      </c>
      <c r="M1065">
        <f t="shared" si="193"/>
        <v>-1</v>
      </c>
      <c r="N1065" s="9">
        <f t="shared" si="196"/>
        <v>-0.1189230769230768</v>
      </c>
      <c r="O1065">
        <f>COUNTIFS($B$2:B1065,B1065,$C$2:C1065,C1065,$D$2:D1065,"&lt;"&amp;D1065,$F$2:F1065,1)</f>
        <v>0</v>
      </c>
      <c r="P1065">
        <f t="shared" si="194"/>
        <v>0</v>
      </c>
      <c r="Q1065" t="str">
        <f t="shared" si="197"/>
        <v>Monitor</v>
      </c>
      <c r="R1065">
        <v>0</v>
      </c>
      <c r="S1065">
        <f t="shared" si="198"/>
        <v>0</v>
      </c>
      <c r="T1065">
        <f t="shared" si="199"/>
        <v>0</v>
      </c>
      <c r="U1065" t="str">
        <f t="shared" si="200"/>
        <v>Improved Enough</v>
      </c>
      <c r="V1065" t="str">
        <f t="shared" si="201"/>
        <v>Close</v>
      </c>
      <c r="W1065" t="str">
        <f t="shared" si="202"/>
        <v>Normal</v>
      </c>
      <c r="X1065" t="str">
        <f t="shared" si="203"/>
        <v>Allowed</v>
      </c>
    </row>
    <row r="1066" spans="1:24" x14ac:dyDescent="0.3">
      <c r="A1066" t="s">
        <v>23</v>
      </c>
      <c r="B1066" t="s">
        <v>32</v>
      </c>
      <c r="C1066" t="s">
        <v>25</v>
      </c>
      <c r="D1066" s="3">
        <v>45716</v>
      </c>
      <c r="E1066" s="6">
        <v>0.70209999999999995</v>
      </c>
      <c r="F1066">
        <v>0</v>
      </c>
      <c r="G1066" t="s">
        <v>17</v>
      </c>
      <c r="H1066" s="6">
        <v>0.65</v>
      </c>
      <c r="I1066" s="8">
        <v>-3.464870067372474E-2</v>
      </c>
      <c r="J1066" s="5">
        <f t="shared" si="192"/>
        <v>1.2057533289701232E-2</v>
      </c>
      <c r="K1066" s="5" cm="1">
        <f t="array" ref="K1066">_xlfn.STDEV.S(IF($C:$C=C1066,$I:$I))</f>
        <v>0.17981498891186962</v>
      </c>
      <c r="L1066" s="7">
        <f t="shared" si="195"/>
        <v>-0.2597460547981208</v>
      </c>
      <c r="M1066">
        <f t="shared" si="193"/>
        <v>0</v>
      </c>
      <c r="N1066" s="9">
        <f t="shared" si="196"/>
        <v>-8.0153846153846034E-2</v>
      </c>
      <c r="O1066">
        <f>COUNTIFS($B$2:B1066,B1066,$C$2:C1066,C1066,$D$2:D1066,"&lt;"&amp;D1066,$F$2:F1066,1)</f>
        <v>0</v>
      </c>
      <c r="P1066">
        <f t="shared" si="194"/>
        <v>0</v>
      </c>
      <c r="Q1066" t="str">
        <f t="shared" si="197"/>
        <v>Monitor</v>
      </c>
      <c r="R1066">
        <v>0</v>
      </c>
      <c r="S1066">
        <f t="shared" si="198"/>
        <v>0</v>
      </c>
      <c r="T1066">
        <f t="shared" si="199"/>
        <v>0</v>
      </c>
      <c r="U1066" t="str">
        <f t="shared" si="200"/>
        <v>Not Improved Enough</v>
      </c>
      <c r="V1066" t="str">
        <f t="shared" si="201"/>
        <v>Close</v>
      </c>
      <c r="W1066" t="str">
        <f t="shared" si="202"/>
        <v>Normal</v>
      </c>
      <c r="X1066" t="str">
        <f t="shared" si="203"/>
        <v>Allowed</v>
      </c>
    </row>
    <row r="1067" spans="1:24" x14ac:dyDescent="0.3">
      <c r="A1067" t="s">
        <v>23</v>
      </c>
      <c r="B1067" t="s">
        <v>32</v>
      </c>
      <c r="C1067" t="s">
        <v>25</v>
      </c>
      <c r="D1067" s="3">
        <v>45747</v>
      </c>
      <c r="E1067" s="6">
        <v>0.77780000000000005</v>
      </c>
      <c r="F1067">
        <v>0</v>
      </c>
      <c r="G1067" t="s">
        <v>17</v>
      </c>
      <c r="H1067" s="6">
        <v>0.65</v>
      </c>
      <c r="I1067" s="8">
        <v>0.1078193989460192</v>
      </c>
      <c r="J1067" s="5">
        <f t="shared" si="192"/>
        <v>1.2057533289701232E-2</v>
      </c>
      <c r="K1067" s="5" cm="1">
        <f t="array" ref="K1067">_xlfn.STDEV.S(IF($C:$C=C1067,$I:$I))</f>
        <v>0.17981498891186962</v>
      </c>
      <c r="L1067" s="7">
        <f t="shared" si="195"/>
        <v>0.53255774858264171</v>
      </c>
      <c r="M1067">
        <f t="shared" si="193"/>
        <v>-1</v>
      </c>
      <c r="N1067" s="9">
        <f t="shared" si="196"/>
        <v>-0.19661538461538464</v>
      </c>
      <c r="O1067">
        <f>COUNTIFS($B$2:B1067,B1067,$C$2:C1067,C1067,$D$2:D1067,"&lt;"&amp;D1067,$F$2:F1067,1)</f>
        <v>0</v>
      </c>
      <c r="P1067">
        <f t="shared" si="194"/>
        <v>0</v>
      </c>
      <c r="Q1067" t="str">
        <f t="shared" si="197"/>
        <v>Monitor</v>
      </c>
      <c r="R1067">
        <v>0</v>
      </c>
      <c r="S1067">
        <f t="shared" si="198"/>
        <v>0</v>
      </c>
      <c r="T1067">
        <f t="shared" si="199"/>
        <v>0</v>
      </c>
      <c r="U1067" t="str">
        <f t="shared" si="200"/>
        <v>Improved Enough</v>
      </c>
      <c r="V1067" t="str">
        <f t="shared" si="201"/>
        <v>Close</v>
      </c>
      <c r="W1067" t="str">
        <f t="shared" si="202"/>
        <v>Normal</v>
      </c>
      <c r="X1067" t="str">
        <f t="shared" si="203"/>
        <v>Allowed</v>
      </c>
    </row>
    <row r="1068" spans="1:24" x14ac:dyDescent="0.3">
      <c r="A1068" t="s">
        <v>23</v>
      </c>
      <c r="B1068" t="s">
        <v>32</v>
      </c>
      <c r="C1068" t="s">
        <v>25</v>
      </c>
      <c r="D1068" s="3">
        <v>45777</v>
      </c>
      <c r="E1068" s="6">
        <v>0.58950000000000002</v>
      </c>
      <c r="F1068">
        <v>0</v>
      </c>
      <c r="G1068" t="s">
        <v>17</v>
      </c>
      <c r="H1068" s="6">
        <v>0.65</v>
      </c>
      <c r="I1068" s="8">
        <v>-0.2420930830547699</v>
      </c>
      <c r="J1068" s="5">
        <f t="shared" si="192"/>
        <v>1.2057533289701232E-2</v>
      </c>
      <c r="K1068" s="5" cm="1">
        <f t="array" ref="K1068">_xlfn.STDEV.S(IF($C:$C=C1068,$I:$I))</f>
        <v>0.17981498891186962</v>
      </c>
      <c r="L1068" s="7">
        <f t="shared" si="195"/>
        <v>-1.4134006173925504</v>
      </c>
      <c r="M1068">
        <f t="shared" si="193"/>
        <v>1</v>
      </c>
      <c r="N1068" s="9">
        <f t="shared" si="196"/>
        <v>9.3076923076923071E-2</v>
      </c>
      <c r="O1068">
        <f>COUNTIFS($B$2:B1068,B1068,$C$2:C1068,C1068,$D$2:D1068,"&lt;"&amp;D1068,$F$2:F1068,1)</f>
        <v>0</v>
      </c>
      <c r="P1068">
        <f t="shared" si="194"/>
        <v>0</v>
      </c>
      <c r="Q1068" t="str">
        <f t="shared" si="197"/>
        <v>Intervene</v>
      </c>
      <c r="R1068">
        <v>0</v>
      </c>
      <c r="S1068">
        <f t="shared" si="198"/>
        <v>1</v>
      </c>
      <c r="T1068">
        <f t="shared" si="199"/>
        <v>1</v>
      </c>
      <c r="U1068" t="str">
        <f t="shared" si="200"/>
        <v>Not Improved Enough</v>
      </c>
      <c r="V1068" t="str">
        <f t="shared" si="201"/>
        <v>Far</v>
      </c>
      <c r="W1068" t="str">
        <f t="shared" si="202"/>
        <v>Abnormal</v>
      </c>
      <c r="X1068" t="str">
        <f t="shared" si="203"/>
        <v>Allowed</v>
      </c>
    </row>
    <row r="1069" spans="1:24" x14ac:dyDescent="0.3">
      <c r="A1069" t="s">
        <v>23</v>
      </c>
      <c r="B1069" t="s">
        <v>32</v>
      </c>
      <c r="C1069" t="s">
        <v>25</v>
      </c>
      <c r="D1069" s="3">
        <v>45808</v>
      </c>
      <c r="E1069" s="6">
        <v>0.68889999999999996</v>
      </c>
      <c r="F1069">
        <v>0</v>
      </c>
      <c r="G1069" t="s">
        <v>17</v>
      </c>
      <c r="H1069" s="6">
        <v>0.65</v>
      </c>
      <c r="I1069" s="8">
        <v>0.1686174724342662</v>
      </c>
      <c r="J1069" s="5">
        <f t="shared" si="192"/>
        <v>1.2057533289701232E-2</v>
      </c>
      <c r="K1069" s="5" cm="1">
        <f t="array" ref="K1069">_xlfn.STDEV.S(IF($C:$C=C1069,$I:$I))</f>
        <v>0.17981498891186962</v>
      </c>
      <c r="L1069" s="7">
        <f t="shared" si="195"/>
        <v>0.87067235102017904</v>
      </c>
      <c r="M1069">
        <f t="shared" si="193"/>
        <v>-1</v>
      </c>
      <c r="N1069" s="9">
        <f t="shared" si="196"/>
        <v>-5.9846153846153743E-2</v>
      </c>
      <c r="O1069">
        <f>COUNTIFS($B$2:B1069,B1069,$C$2:C1069,C1069,$D$2:D1069,"&lt;"&amp;D1069,$F$2:F1069,1)</f>
        <v>0</v>
      </c>
      <c r="P1069">
        <f t="shared" si="194"/>
        <v>0</v>
      </c>
      <c r="Q1069" t="str">
        <f t="shared" si="197"/>
        <v>Monitor</v>
      </c>
      <c r="R1069">
        <v>0</v>
      </c>
      <c r="S1069">
        <f t="shared" si="198"/>
        <v>0</v>
      </c>
      <c r="T1069">
        <f t="shared" si="199"/>
        <v>0</v>
      </c>
      <c r="U1069" t="str">
        <f t="shared" si="200"/>
        <v>Improved Enough</v>
      </c>
      <c r="V1069" t="str">
        <f t="shared" si="201"/>
        <v>Close</v>
      </c>
      <c r="W1069" t="str">
        <f t="shared" si="202"/>
        <v>Normal</v>
      </c>
      <c r="X1069" t="str">
        <f t="shared" si="203"/>
        <v>Allowed</v>
      </c>
    </row>
    <row r="1070" spans="1:24" x14ac:dyDescent="0.3">
      <c r="A1070" t="s">
        <v>23</v>
      </c>
      <c r="B1070" t="s">
        <v>32</v>
      </c>
      <c r="C1070" t="s">
        <v>25</v>
      </c>
      <c r="D1070" s="3">
        <v>45838</v>
      </c>
      <c r="E1070" s="6">
        <v>0.66959999999999997</v>
      </c>
      <c r="F1070">
        <v>0</v>
      </c>
      <c r="G1070" t="s">
        <v>17</v>
      </c>
      <c r="H1070" s="6">
        <v>0.65</v>
      </c>
      <c r="I1070" s="8">
        <v>-2.8015677166497291E-2</v>
      </c>
      <c r="J1070" s="5">
        <f t="shared" si="192"/>
        <v>1.2057533289701232E-2</v>
      </c>
      <c r="K1070" s="5" cm="1">
        <f t="array" ref="K1070">_xlfn.STDEV.S(IF($C:$C=C1070,$I:$I))</f>
        <v>0.17981498891186962</v>
      </c>
      <c r="L1070" s="7">
        <f t="shared" si="195"/>
        <v>-0.22285800921656806</v>
      </c>
      <c r="M1070">
        <f t="shared" si="193"/>
        <v>0</v>
      </c>
      <c r="N1070" s="9">
        <f t="shared" si="196"/>
        <v>-3.0153846153846076E-2</v>
      </c>
      <c r="O1070">
        <f>COUNTIFS($B$2:B1070,B1070,$C$2:C1070,C1070,$D$2:D1070,"&lt;"&amp;D1070,$F$2:F1070,1)</f>
        <v>0</v>
      </c>
      <c r="P1070">
        <f t="shared" si="194"/>
        <v>0</v>
      </c>
      <c r="Q1070" t="str">
        <f t="shared" si="197"/>
        <v>Monitor</v>
      </c>
      <c r="R1070">
        <v>0</v>
      </c>
      <c r="S1070">
        <f t="shared" si="198"/>
        <v>0</v>
      </c>
      <c r="T1070">
        <f t="shared" si="199"/>
        <v>0</v>
      </c>
      <c r="U1070" t="str">
        <f t="shared" si="200"/>
        <v>Not Improved Enough</v>
      </c>
      <c r="V1070" t="str">
        <f t="shared" si="201"/>
        <v>Close</v>
      </c>
      <c r="W1070" t="str">
        <f t="shared" si="202"/>
        <v>Normal</v>
      </c>
      <c r="X1070" t="str">
        <f t="shared" si="203"/>
        <v>Allowed</v>
      </c>
    </row>
    <row r="1071" spans="1:24" x14ac:dyDescent="0.3">
      <c r="A1071" t="s">
        <v>23</v>
      </c>
      <c r="B1071" t="s">
        <v>32</v>
      </c>
      <c r="C1071" t="s">
        <v>25</v>
      </c>
      <c r="D1071" s="3">
        <v>45869</v>
      </c>
      <c r="E1071" s="6">
        <v>0.83799999999999997</v>
      </c>
      <c r="F1071">
        <v>0</v>
      </c>
      <c r="G1071" t="s">
        <v>17</v>
      </c>
      <c r="H1071" s="6">
        <v>0.65</v>
      </c>
      <c r="I1071" s="8">
        <v>0.25149342891278381</v>
      </c>
      <c r="J1071" s="5">
        <f t="shared" si="192"/>
        <v>1.2057533289701232E-2</v>
      </c>
      <c r="K1071" s="5" cm="1">
        <f t="array" ref="K1071">_xlfn.STDEV.S(IF($C:$C=C1071,$I:$I))</f>
        <v>0.17981498891186962</v>
      </c>
      <c r="L1071" s="7">
        <f t="shared" si="195"/>
        <v>1.331568058213624</v>
      </c>
      <c r="M1071">
        <f t="shared" si="193"/>
        <v>-1</v>
      </c>
      <c r="N1071" s="9">
        <f t="shared" si="196"/>
        <v>-0.28923076923076912</v>
      </c>
      <c r="O1071">
        <f>COUNTIFS($B$2:B1071,B1071,$C$2:C1071,C1071,$D$2:D1071,"&lt;"&amp;D1071,$F$2:F1071,1)</f>
        <v>0</v>
      </c>
      <c r="P1071">
        <f t="shared" si="194"/>
        <v>0</v>
      </c>
      <c r="Q1071" t="str">
        <f t="shared" si="197"/>
        <v>Monitor</v>
      </c>
      <c r="R1071">
        <v>0</v>
      </c>
      <c r="S1071">
        <f t="shared" si="198"/>
        <v>0</v>
      </c>
      <c r="T1071">
        <f t="shared" si="199"/>
        <v>0</v>
      </c>
      <c r="U1071" t="str">
        <f t="shared" si="200"/>
        <v>Improved Enough</v>
      </c>
      <c r="V1071" t="str">
        <f t="shared" si="201"/>
        <v>Close</v>
      </c>
      <c r="W1071" t="str">
        <f t="shared" si="202"/>
        <v>Normal</v>
      </c>
      <c r="X1071" t="str">
        <f t="shared" si="203"/>
        <v>Allowed</v>
      </c>
    </row>
    <row r="1072" spans="1:24" x14ac:dyDescent="0.3">
      <c r="A1072" t="s">
        <v>23</v>
      </c>
      <c r="B1072" t="s">
        <v>32</v>
      </c>
      <c r="C1072" t="s">
        <v>25</v>
      </c>
      <c r="D1072" s="3">
        <v>45900</v>
      </c>
      <c r="E1072" s="6">
        <v>0.83799999999999997</v>
      </c>
      <c r="F1072">
        <v>0</v>
      </c>
      <c r="G1072" t="s">
        <v>17</v>
      </c>
      <c r="H1072" s="6">
        <v>0.65</v>
      </c>
      <c r="I1072" s="8">
        <v>0</v>
      </c>
      <c r="J1072" s="5">
        <f t="shared" si="192"/>
        <v>1.2057533289701232E-2</v>
      </c>
      <c r="K1072" s="5" cm="1">
        <f t="array" ref="K1072">_xlfn.STDEV.S(IF($C:$C=C1072,$I:$I))</f>
        <v>0.17981498891186962</v>
      </c>
      <c r="L1072" s="7">
        <f t="shared" si="195"/>
        <v>-6.7055218047539042E-2</v>
      </c>
      <c r="M1072">
        <f t="shared" si="193"/>
        <v>0</v>
      </c>
      <c r="N1072" s="9">
        <f t="shared" si="196"/>
        <v>-0.28923076923076912</v>
      </c>
      <c r="O1072">
        <f>COUNTIFS($B$2:B1072,B1072,$C$2:C1072,C1072,$D$2:D1072,"&lt;"&amp;D1072,$F$2:F1072,1)</f>
        <v>0</v>
      </c>
      <c r="P1072">
        <f t="shared" si="194"/>
        <v>0</v>
      </c>
      <c r="Q1072" t="str">
        <f t="shared" si="197"/>
        <v>Monitor</v>
      </c>
      <c r="R1072">
        <v>0</v>
      </c>
      <c r="S1072">
        <f t="shared" si="198"/>
        <v>0</v>
      </c>
      <c r="T1072">
        <f t="shared" si="199"/>
        <v>0</v>
      </c>
      <c r="U1072" t="str">
        <f t="shared" si="200"/>
        <v>Not Improved Enough</v>
      </c>
      <c r="V1072" t="str">
        <f t="shared" si="201"/>
        <v>Close</v>
      </c>
      <c r="W1072" t="str">
        <f t="shared" si="202"/>
        <v>Normal</v>
      </c>
      <c r="X1072" t="str">
        <f t="shared" si="203"/>
        <v>Allowed</v>
      </c>
    </row>
    <row r="1073" spans="1:24" x14ac:dyDescent="0.3">
      <c r="A1073" t="s">
        <v>23</v>
      </c>
      <c r="B1073" t="s">
        <v>32</v>
      </c>
      <c r="C1073" t="s">
        <v>25</v>
      </c>
      <c r="D1073" s="3">
        <v>45930</v>
      </c>
      <c r="E1073" s="6">
        <v>0.75800000000000001</v>
      </c>
      <c r="F1073">
        <v>0</v>
      </c>
      <c r="G1073" t="s">
        <v>17</v>
      </c>
      <c r="H1073" s="6">
        <v>0.65</v>
      </c>
      <c r="I1073" s="8">
        <v>-9.5465393794749359E-2</v>
      </c>
      <c r="J1073" s="5">
        <f t="shared" si="192"/>
        <v>1.2057533289701232E-2</v>
      </c>
      <c r="K1073" s="5" cm="1">
        <f t="array" ref="K1073">_xlfn.STDEV.S(IF($C:$C=C1073,$I:$I))</f>
        <v>0.17981498891186962</v>
      </c>
      <c r="L1073" s="7">
        <f t="shared" si="195"/>
        <v>-0.59796420607154954</v>
      </c>
      <c r="M1073">
        <f t="shared" si="193"/>
        <v>1</v>
      </c>
      <c r="N1073" s="9">
        <f t="shared" si="196"/>
        <v>-0.16615384615384612</v>
      </c>
      <c r="O1073">
        <f>COUNTIFS($B$2:B1073,B1073,$C$2:C1073,C1073,$D$2:D1073,"&lt;"&amp;D1073,$F$2:F1073,1)</f>
        <v>0</v>
      </c>
      <c r="P1073">
        <f t="shared" si="194"/>
        <v>0</v>
      </c>
      <c r="Q1073" t="str">
        <f t="shared" si="197"/>
        <v>Monitor</v>
      </c>
      <c r="R1073">
        <v>0</v>
      </c>
      <c r="S1073">
        <f t="shared" si="198"/>
        <v>0</v>
      </c>
      <c r="T1073">
        <f t="shared" si="199"/>
        <v>0</v>
      </c>
      <c r="U1073" t="str">
        <f t="shared" si="200"/>
        <v>Not Improved Enough</v>
      </c>
      <c r="V1073" t="str">
        <f t="shared" si="201"/>
        <v>Close</v>
      </c>
      <c r="W1073" t="str">
        <f t="shared" si="202"/>
        <v>Abnormal</v>
      </c>
      <c r="X1073" t="str">
        <f t="shared" si="203"/>
        <v>Allowed</v>
      </c>
    </row>
    <row r="1074" spans="1:24" x14ac:dyDescent="0.3">
      <c r="A1074" t="s">
        <v>23</v>
      </c>
      <c r="B1074" t="s">
        <v>32</v>
      </c>
      <c r="C1074" t="s">
        <v>25</v>
      </c>
      <c r="D1074" s="3">
        <v>45961</v>
      </c>
      <c r="E1074" s="6">
        <v>0.77300000000000002</v>
      </c>
      <c r="F1074">
        <v>0</v>
      </c>
      <c r="G1074" t="s">
        <v>17</v>
      </c>
      <c r="H1074" s="6">
        <v>0.65</v>
      </c>
      <c r="I1074" s="8">
        <v>1.9788918205804772E-2</v>
      </c>
      <c r="J1074" s="5">
        <f t="shared" si="192"/>
        <v>1.2057533289701232E-2</v>
      </c>
      <c r="K1074" s="5" cm="1">
        <f t="array" ref="K1074">_xlfn.STDEV.S(IF($C:$C=C1074,$I:$I))</f>
        <v>0.17981498891186962</v>
      </c>
      <c r="L1074" s="7">
        <f t="shared" si="195"/>
        <v>4.2996331745696809E-2</v>
      </c>
      <c r="M1074">
        <f t="shared" si="193"/>
        <v>0</v>
      </c>
      <c r="N1074" s="9">
        <f t="shared" si="196"/>
        <v>-0.18923076923076923</v>
      </c>
      <c r="O1074">
        <f>COUNTIFS($B$2:B1074,B1074,$C$2:C1074,C1074,$D$2:D1074,"&lt;"&amp;D1074,$F$2:F1074,1)</f>
        <v>0</v>
      </c>
      <c r="P1074">
        <f t="shared" si="194"/>
        <v>0</v>
      </c>
      <c r="Q1074" t="str">
        <f t="shared" si="197"/>
        <v>Monitor</v>
      </c>
      <c r="R1074">
        <v>0</v>
      </c>
      <c r="S1074">
        <f t="shared" si="198"/>
        <v>0</v>
      </c>
      <c r="T1074">
        <f t="shared" si="199"/>
        <v>0</v>
      </c>
      <c r="U1074" t="str">
        <f t="shared" si="200"/>
        <v>Improved Enough</v>
      </c>
      <c r="V1074" t="str">
        <f t="shared" si="201"/>
        <v>Close</v>
      </c>
      <c r="W1074" t="str">
        <f t="shared" si="202"/>
        <v>Normal</v>
      </c>
      <c r="X1074" t="str">
        <f t="shared" si="203"/>
        <v>Allowed</v>
      </c>
    </row>
    <row r="1075" spans="1:24" x14ac:dyDescent="0.3">
      <c r="A1075" t="s">
        <v>23</v>
      </c>
      <c r="B1075" t="s">
        <v>32</v>
      </c>
      <c r="C1075" t="s">
        <v>25</v>
      </c>
      <c r="D1075" s="3">
        <v>45991</v>
      </c>
      <c r="E1075" s="6">
        <v>0.80200000000000005</v>
      </c>
      <c r="F1075">
        <v>0</v>
      </c>
      <c r="G1075" t="s">
        <v>17</v>
      </c>
      <c r="H1075" s="6">
        <v>0.65</v>
      </c>
      <c r="I1075" s="8">
        <v>3.7516170763260061E-2</v>
      </c>
      <c r="J1075" s="5">
        <f t="shared" si="192"/>
        <v>1.2057533289701232E-2</v>
      </c>
      <c r="K1075" s="5" cm="1">
        <f t="array" ref="K1075">_xlfn.STDEV.S(IF($C:$C=C1075,$I:$I))</f>
        <v>0.17981498891186962</v>
      </c>
      <c r="L1075" s="7">
        <f t="shared" si="195"/>
        <v>0.14158239881791246</v>
      </c>
      <c r="M1075">
        <f t="shared" si="193"/>
        <v>0</v>
      </c>
      <c r="N1075" s="9">
        <f t="shared" si="196"/>
        <v>-0.23384615384615387</v>
      </c>
      <c r="O1075">
        <f>COUNTIFS($B$2:B1075,B1075,$C$2:C1075,C1075,$D$2:D1075,"&lt;"&amp;D1075,$F$2:F1075,1)</f>
        <v>0</v>
      </c>
      <c r="P1075">
        <f t="shared" si="194"/>
        <v>0</v>
      </c>
      <c r="Q1075" t="str">
        <f t="shared" si="197"/>
        <v>Monitor</v>
      </c>
      <c r="R1075">
        <v>0</v>
      </c>
      <c r="S1075">
        <f t="shared" si="198"/>
        <v>0</v>
      </c>
      <c r="T1075">
        <f t="shared" si="199"/>
        <v>0</v>
      </c>
      <c r="U1075" t="str">
        <f t="shared" si="200"/>
        <v>Improved Enough</v>
      </c>
      <c r="V1075" t="str">
        <f t="shared" si="201"/>
        <v>Close</v>
      </c>
      <c r="W1075" t="str">
        <f t="shared" si="202"/>
        <v>Normal</v>
      </c>
      <c r="X1075" t="str">
        <f t="shared" si="203"/>
        <v>Allowed</v>
      </c>
    </row>
    <row r="1076" spans="1:24" x14ac:dyDescent="0.3">
      <c r="A1076" t="s">
        <v>23</v>
      </c>
      <c r="B1076" t="s">
        <v>32</v>
      </c>
      <c r="C1076" t="s">
        <v>26</v>
      </c>
      <c r="D1076" s="3">
        <v>45535</v>
      </c>
      <c r="E1076" s="6">
        <v>0.89319999999999999</v>
      </c>
      <c r="F1076">
        <v>0</v>
      </c>
      <c r="G1076" t="s">
        <v>17</v>
      </c>
      <c r="H1076" s="6">
        <v>0.85</v>
      </c>
      <c r="I1076" s="8">
        <v>7.4978938500421255E-2</v>
      </c>
      <c r="J1076" s="5">
        <f t="shared" si="192"/>
        <v>1.8209321594669165E-2</v>
      </c>
      <c r="K1076" s="5" cm="1">
        <f t="array" ref="K1076">_xlfn.STDEV.S(IF($C:$C=C1076,$I:$I))</f>
        <v>0.22834931756330515</v>
      </c>
      <c r="L1076" s="7">
        <f t="shared" si="195"/>
        <v>0.24860865585908259</v>
      </c>
      <c r="M1076">
        <f t="shared" si="193"/>
        <v>0</v>
      </c>
      <c r="N1076" s="9">
        <f t="shared" si="196"/>
        <v>-5.0823529411764726E-2</v>
      </c>
      <c r="O1076">
        <f>COUNTIFS($B$2:B1076,B1076,$C$2:C1076,C1076,$D$2:D1076,"&lt;"&amp;D1076,$F$2:F1076,1)</f>
        <v>0</v>
      </c>
      <c r="P1076">
        <f t="shared" si="194"/>
        <v>0</v>
      </c>
      <c r="Q1076" t="str">
        <f t="shared" si="197"/>
        <v>Monitor</v>
      </c>
      <c r="R1076">
        <v>0</v>
      </c>
      <c r="S1076">
        <f t="shared" si="198"/>
        <v>0</v>
      </c>
      <c r="T1076">
        <f t="shared" si="199"/>
        <v>0</v>
      </c>
      <c r="U1076" t="str">
        <f t="shared" si="200"/>
        <v>Improved Enough</v>
      </c>
      <c r="V1076" t="str">
        <f t="shared" si="201"/>
        <v>Close</v>
      </c>
      <c r="W1076" t="str">
        <f t="shared" si="202"/>
        <v>Normal</v>
      </c>
      <c r="X1076" t="str">
        <f t="shared" si="203"/>
        <v>Allowed</v>
      </c>
    </row>
    <row r="1077" spans="1:24" x14ac:dyDescent="0.3">
      <c r="A1077" t="s">
        <v>23</v>
      </c>
      <c r="B1077" t="s">
        <v>32</v>
      </c>
      <c r="C1077" t="s">
        <v>26</v>
      </c>
      <c r="D1077" s="3">
        <v>45565</v>
      </c>
      <c r="E1077" s="6">
        <v>0.84619999999999995</v>
      </c>
      <c r="F1077">
        <v>0</v>
      </c>
      <c r="G1077" t="s">
        <v>17</v>
      </c>
      <c r="H1077" s="6">
        <v>0.85</v>
      </c>
      <c r="I1077" s="8">
        <v>-5.2619793999104388E-2</v>
      </c>
      <c r="J1077" s="5">
        <f t="shared" si="192"/>
        <v>1.8209321594669165E-2</v>
      </c>
      <c r="K1077" s="5" cm="1">
        <f t="array" ref="K1077">_xlfn.STDEV.S(IF($C:$C=C1077,$I:$I))</f>
        <v>0.22834931756330515</v>
      </c>
      <c r="L1077" s="7">
        <f t="shared" si="195"/>
        <v>-0.31017879251659092</v>
      </c>
      <c r="M1077">
        <f t="shared" si="193"/>
        <v>0</v>
      </c>
      <c r="N1077" s="9">
        <f t="shared" si="196"/>
        <v>4.470588235294148E-3</v>
      </c>
      <c r="O1077">
        <f>COUNTIFS($B$2:B1077,B1077,$C$2:C1077,C1077,$D$2:D1077,"&lt;"&amp;D1077,$F$2:F1077,1)</f>
        <v>0</v>
      </c>
      <c r="P1077">
        <f t="shared" si="194"/>
        <v>0</v>
      </c>
      <c r="Q1077" t="str">
        <f t="shared" si="197"/>
        <v>Monitor</v>
      </c>
      <c r="R1077">
        <v>0</v>
      </c>
      <c r="S1077">
        <f t="shared" si="198"/>
        <v>0</v>
      </c>
      <c r="T1077">
        <f t="shared" si="199"/>
        <v>0</v>
      </c>
      <c r="U1077" t="str">
        <f t="shared" si="200"/>
        <v>Not Improved Enough</v>
      </c>
      <c r="V1077" t="str">
        <f t="shared" si="201"/>
        <v>Close</v>
      </c>
      <c r="W1077" t="str">
        <f t="shared" si="202"/>
        <v>Normal</v>
      </c>
      <c r="X1077" t="str">
        <f t="shared" si="203"/>
        <v>Allowed</v>
      </c>
    </row>
    <row r="1078" spans="1:24" x14ac:dyDescent="0.3">
      <c r="A1078" t="s">
        <v>23</v>
      </c>
      <c r="B1078" t="s">
        <v>32</v>
      </c>
      <c r="C1078" t="s">
        <v>26</v>
      </c>
      <c r="D1078" s="3">
        <v>45596</v>
      </c>
      <c r="E1078" s="6">
        <v>0.86739999999999995</v>
      </c>
      <c r="F1078">
        <v>0</v>
      </c>
      <c r="G1078" t="s">
        <v>17</v>
      </c>
      <c r="H1078" s="6">
        <v>0.85</v>
      </c>
      <c r="I1078" s="8">
        <v>2.5053178917513588E-2</v>
      </c>
      <c r="J1078" s="5">
        <f t="shared" si="192"/>
        <v>1.8209321594669165E-2</v>
      </c>
      <c r="K1078" s="5" cm="1">
        <f t="array" ref="K1078">_xlfn.STDEV.S(IF($C:$C=C1078,$I:$I))</f>
        <v>0.22834931756330515</v>
      </c>
      <c r="L1078" s="7">
        <f t="shared" si="195"/>
        <v>2.9970999676612146E-2</v>
      </c>
      <c r="M1078">
        <f t="shared" si="193"/>
        <v>0</v>
      </c>
      <c r="N1078" s="9">
        <f t="shared" si="196"/>
        <v>-2.0470588235294084E-2</v>
      </c>
      <c r="O1078">
        <f>COUNTIFS($B$2:B1078,B1078,$C$2:C1078,C1078,$D$2:D1078,"&lt;"&amp;D1078,$F$2:F1078,1)</f>
        <v>0</v>
      </c>
      <c r="P1078">
        <f t="shared" si="194"/>
        <v>0</v>
      </c>
      <c r="Q1078" t="str">
        <f t="shared" si="197"/>
        <v>Monitor</v>
      </c>
      <c r="R1078">
        <v>0</v>
      </c>
      <c r="S1078">
        <f t="shared" si="198"/>
        <v>0</v>
      </c>
      <c r="T1078">
        <f t="shared" si="199"/>
        <v>0</v>
      </c>
      <c r="U1078" t="str">
        <f t="shared" si="200"/>
        <v>Improved Enough</v>
      </c>
      <c r="V1078" t="str">
        <f t="shared" si="201"/>
        <v>Close</v>
      </c>
      <c r="W1078" t="str">
        <f t="shared" si="202"/>
        <v>Normal</v>
      </c>
      <c r="X1078" t="str">
        <f t="shared" si="203"/>
        <v>Allowed</v>
      </c>
    </row>
    <row r="1079" spans="1:24" x14ac:dyDescent="0.3">
      <c r="A1079" t="s">
        <v>23</v>
      </c>
      <c r="B1079" t="s">
        <v>32</v>
      </c>
      <c r="C1079" t="s">
        <v>26</v>
      </c>
      <c r="D1079" s="3">
        <v>45626</v>
      </c>
      <c r="E1079" s="6">
        <v>0.91180000000000005</v>
      </c>
      <c r="F1079">
        <v>0</v>
      </c>
      <c r="G1079" t="s">
        <v>17</v>
      </c>
      <c r="H1079" s="6">
        <v>0.85</v>
      </c>
      <c r="I1079" s="8">
        <v>5.1187456767350828E-2</v>
      </c>
      <c r="J1079" s="5">
        <f t="shared" si="192"/>
        <v>1.8209321594669165E-2</v>
      </c>
      <c r="K1079" s="5" cm="1">
        <f t="array" ref="K1079">_xlfn.STDEV.S(IF($C:$C=C1079,$I:$I))</f>
        <v>0.22834931756330515</v>
      </c>
      <c r="L1079" s="7">
        <f t="shared" si="195"/>
        <v>0.14441967913277937</v>
      </c>
      <c r="M1079">
        <f t="shared" si="193"/>
        <v>0</v>
      </c>
      <c r="N1079" s="9">
        <f t="shared" si="196"/>
        <v>-7.2705882352941273E-2</v>
      </c>
      <c r="O1079">
        <f>COUNTIFS($B$2:B1079,B1079,$C$2:C1079,C1079,$D$2:D1079,"&lt;"&amp;D1079,$F$2:F1079,1)</f>
        <v>0</v>
      </c>
      <c r="P1079">
        <f t="shared" si="194"/>
        <v>0</v>
      </c>
      <c r="Q1079" t="str">
        <f t="shared" si="197"/>
        <v>Monitor</v>
      </c>
      <c r="R1079">
        <v>0</v>
      </c>
      <c r="S1079">
        <f t="shared" si="198"/>
        <v>0</v>
      </c>
      <c r="T1079">
        <f t="shared" si="199"/>
        <v>0</v>
      </c>
      <c r="U1079" t="str">
        <f t="shared" si="200"/>
        <v>Improved Enough</v>
      </c>
      <c r="V1079" t="str">
        <f t="shared" si="201"/>
        <v>Close</v>
      </c>
      <c r="W1079" t="str">
        <f t="shared" si="202"/>
        <v>Normal</v>
      </c>
      <c r="X1079" t="str">
        <f t="shared" si="203"/>
        <v>Allowed</v>
      </c>
    </row>
    <row r="1080" spans="1:24" x14ac:dyDescent="0.3">
      <c r="A1080" t="s">
        <v>23</v>
      </c>
      <c r="B1080" t="s">
        <v>32</v>
      </c>
      <c r="C1080" t="s">
        <v>26</v>
      </c>
      <c r="D1080" s="3">
        <v>45657</v>
      </c>
      <c r="E1080" s="6">
        <v>0.85529999999999995</v>
      </c>
      <c r="F1080">
        <v>0</v>
      </c>
      <c r="G1080" t="s">
        <v>17</v>
      </c>
      <c r="H1080" s="6">
        <v>0.85</v>
      </c>
      <c r="I1080" s="8">
        <v>-6.1965343277034547E-2</v>
      </c>
      <c r="J1080" s="5">
        <f t="shared" si="192"/>
        <v>1.8209321594669165E-2</v>
      </c>
      <c r="K1080" s="5" cm="1">
        <f t="array" ref="K1080">_xlfn.STDEV.S(IF($C:$C=C1080,$I:$I))</f>
        <v>0.22834931756330515</v>
      </c>
      <c r="L1080" s="7">
        <f t="shared" si="195"/>
        <v>-0.35110534039357022</v>
      </c>
      <c r="M1080">
        <f t="shared" si="193"/>
        <v>0</v>
      </c>
      <c r="N1080" s="9">
        <f t="shared" si="196"/>
        <v>-6.2352941176470255E-3</v>
      </c>
      <c r="O1080">
        <f>COUNTIFS($B$2:B1080,B1080,$C$2:C1080,C1080,$D$2:D1080,"&lt;"&amp;D1080,$F$2:F1080,1)</f>
        <v>0</v>
      </c>
      <c r="P1080">
        <f t="shared" si="194"/>
        <v>0</v>
      </c>
      <c r="Q1080" t="str">
        <f t="shared" si="197"/>
        <v>Monitor</v>
      </c>
      <c r="R1080">
        <v>0</v>
      </c>
      <c r="S1080">
        <f t="shared" si="198"/>
        <v>0</v>
      </c>
      <c r="T1080">
        <f t="shared" si="199"/>
        <v>0</v>
      </c>
      <c r="U1080" t="str">
        <f t="shared" si="200"/>
        <v>Not Improved Enough</v>
      </c>
      <c r="V1080" t="str">
        <f t="shared" si="201"/>
        <v>Close</v>
      </c>
      <c r="W1080" t="str">
        <f t="shared" si="202"/>
        <v>Normal</v>
      </c>
      <c r="X1080" t="str">
        <f t="shared" si="203"/>
        <v>Allowed</v>
      </c>
    </row>
    <row r="1081" spans="1:24" x14ac:dyDescent="0.3">
      <c r="A1081" t="s">
        <v>23</v>
      </c>
      <c r="B1081" t="s">
        <v>32</v>
      </c>
      <c r="C1081" t="s">
        <v>26</v>
      </c>
      <c r="D1081" s="3">
        <v>45688</v>
      </c>
      <c r="E1081" s="6">
        <v>0.9</v>
      </c>
      <c r="F1081">
        <v>0</v>
      </c>
      <c r="G1081" t="s">
        <v>17</v>
      </c>
      <c r="H1081" s="6">
        <v>0.85</v>
      </c>
      <c r="I1081" s="8">
        <v>5.2262364082778061E-2</v>
      </c>
      <c r="J1081" s="5">
        <f t="shared" si="192"/>
        <v>1.8209321594669165E-2</v>
      </c>
      <c r="K1081" s="5" cm="1">
        <f t="array" ref="K1081">_xlfn.STDEV.S(IF($C:$C=C1081,$I:$I))</f>
        <v>0.22834931756330515</v>
      </c>
      <c r="L1081" s="7">
        <f t="shared" si="195"/>
        <v>0.14912697288297516</v>
      </c>
      <c r="M1081">
        <f t="shared" si="193"/>
        <v>0</v>
      </c>
      <c r="N1081" s="9">
        <f t="shared" si="196"/>
        <v>-5.8823529411764761E-2</v>
      </c>
      <c r="O1081">
        <f>COUNTIFS($B$2:B1081,B1081,$C$2:C1081,C1081,$D$2:D1081,"&lt;"&amp;D1081,$F$2:F1081,1)</f>
        <v>0</v>
      </c>
      <c r="P1081">
        <f t="shared" si="194"/>
        <v>0</v>
      </c>
      <c r="Q1081" t="str">
        <f t="shared" si="197"/>
        <v>Monitor</v>
      </c>
      <c r="R1081">
        <v>0</v>
      </c>
      <c r="S1081">
        <f t="shared" si="198"/>
        <v>0</v>
      </c>
      <c r="T1081">
        <f t="shared" si="199"/>
        <v>0</v>
      </c>
      <c r="U1081" t="str">
        <f t="shared" si="200"/>
        <v>Improved Enough</v>
      </c>
      <c r="V1081" t="str">
        <f t="shared" si="201"/>
        <v>Close</v>
      </c>
      <c r="W1081" t="str">
        <f t="shared" si="202"/>
        <v>Normal</v>
      </c>
      <c r="X1081" t="str">
        <f t="shared" si="203"/>
        <v>Allowed</v>
      </c>
    </row>
    <row r="1082" spans="1:24" x14ac:dyDescent="0.3">
      <c r="A1082" t="s">
        <v>23</v>
      </c>
      <c r="B1082" t="s">
        <v>32</v>
      </c>
      <c r="C1082" t="s">
        <v>26</v>
      </c>
      <c r="D1082" s="3">
        <v>45716</v>
      </c>
      <c r="E1082" s="6">
        <v>0.82289999999999996</v>
      </c>
      <c r="F1082">
        <v>0</v>
      </c>
      <c r="G1082" t="s">
        <v>17</v>
      </c>
      <c r="H1082" s="6">
        <v>0.85</v>
      </c>
      <c r="I1082" s="8">
        <v>-8.5666666666666724E-2</v>
      </c>
      <c r="J1082" s="5">
        <f t="shared" si="192"/>
        <v>1.8209321594669165E-2</v>
      </c>
      <c r="K1082" s="5" cm="1">
        <f t="array" ref="K1082">_xlfn.STDEV.S(IF($C:$C=C1082,$I:$I))</f>
        <v>0.22834931756330515</v>
      </c>
      <c r="L1082" s="7">
        <f t="shared" si="195"/>
        <v>-0.45489949070041957</v>
      </c>
      <c r="M1082">
        <f t="shared" si="193"/>
        <v>0</v>
      </c>
      <c r="N1082" s="9">
        <f t="shared" si="196"/>
        <v>3.1882352941176487E-2</v>
      </c>
      <c r="O1082">
        <f>COUNTIFS($B$2:B1082,B1082,$C$2:C1082,C1082,$D$2:D1082,"&lt;"&amp;D1082,$F$2:F1082,1)</f>
        <v>0</v>
      </c>
      <c r="P1082">
        <f t="shared" si="194"/>
        <v>0</v>
      </c>
      <c r="Q1082" t="str">
        <f t="shared" si="197"/>
        <v>Monitor</v>
      </c>
      <c r="R1082">
        <v>0</v>
      </c>
      <c r="S1082">
        <f t="shared" si="198"/>
        <v>0</v>
      </c>
      <c r="T1082">
        <f t="shared" si="199"/>
        <v>0</v>
      </c>
      <c r="U1082" t="str">
        <f t="shared" si="200"/>
        <v>Not Improved Enough</v>
      </c>
      <c r="V1082" t="str">
        <f t="shared" si="201"/>
        <v>Far</v>
      </c>
      <c r="W1082" t="str">
        <f t="shared" si="202"/>
        <v>Normal</v>
      </c>
      <c r="X1082" t="str">
        <f t="shared" si="203"/>
        <v>Allowed</v>
      </c>
    </row>
    <row r="1083" spans="1:24" x14ac:dyDescent="0.3">
      <c r="A1083" t="s">
        <v>23</v>
      </c>
      <c r="B1083" t="s">
        <v>32</v>
      </c>
      <c r="C1083" t="s">
        <v>26</v>
      </c>
      <c r="D1083" s="3">
        <v>45747</v>
      </c>
      <c r="E1083" s="6">
        <v>0.86919999999999997</v>
      </c>
      <c r="F1083">
        <v>0</v>
      </c>
      <c r="G1083" t="s">
        <v>17</v>
      </c>
      <c r="H1083" s="6">
        <v>0.85</v>
      </c>
      <c r="I1083" s="8">
        <v>5.6264430672013623E-2</v>
      </c>
      <c r="J1083" s="5">
        <f t="shared" si="192"/>
        <v>1.8209321594669165E-2</v>
      </c>
      <c r="K1083" s="5" cm="1">
        <f t="array" ref="K1083">_xlfn.STDEV.S(IF($C:$C=C1083,$I:$I))</f>
        <v>0.22834931756330515</v>
      </c>
      <c r="L1083" s="7">
        <f t="shared" si="195"/>
        <v>0.16665304492006838</v>
      </c>
      <c r="M1083">
        <f t="shared" si="193"/>
        <v>0</v>
      </c>
      <c r="N1083" s="9">
        <f t="shared" si="196"/>
        <v>-2.2588235294117642E-2</v>
      </c>
      <c r="O1083">
        <f>COUNTIFS($B$2:B1083,B1083,$C$2:C1083,C1083,$D$2:D1083,"&lt;"&amp;D1083,$F$2:F1083,1)</f>
        <v>0</v>
      </c>
      <c r="P1083">
        <f t="shared" si="194"/>
        <v>0</v>
      </c>
      <c r="Q1083" t="str">
        <f t="shared" si="197"/>
        <v>Monitor</v>
      </c>
      <c r="R1083">
        <v>0</v>
      </c>
      <c r="S1083">
        <f t="shared" si="198"/>
        <v>0</v>
      </c>
      <c r="T1083">
        <f t="shared" si="199"/>
        <v>0</v>
      </c>
      <c r="U1083" t="str">
        <f t="shared" si="200"/>
        <v>Improved Enough</v>
      </c>
      <c r="V1083" t="str">
        <f t="shared" si="201"/>
        <v>Close</v>
      </c>
      <c r="W1083" t="str">
        <f t="shared" si="202"/>
        <v>Normal</v>
      </c>
      <c r="X1083" t="str">
        <f t="shared" si="203"/>
        <v>Allowed</v>
      </c>
    </row>
    <row r="1084" spans="1:24" x14ac:dyDescent="0.3">
      <c r="A1084" t="s">
        <v>23</v>
      </c>
      <c r="B1084" t="s">
        <v>32</v>
      </c>
      <c r="C1084" t="s">
        <v>26</v>
      </c>
      <c r="D1084" s="3">
        <v>45777</v>
      </c>
      <c r="E1084" s="6">
        <v>0.77529999999999999</v>
      </c>
      <c r="F1084">
        <v>0</v>
      </c>
      <c r="G1084" t="s">
        <v>17</v>
      </c>
      <c r="H1084" s="6">
        <v>0.85</v>
      </c>
      <c r="I1084" s="8">
        <v>-0.1080303727565577</v>
      </c>
      <c r="J1084" s="5">
        <f t="shared" si="192"/>
        <v>1.8209321594669165E-2</v>
      </c>
      <c r="K1084" s="5" cm="1">
        <f t="array" ref="K1084">_xlfn.STDEV.S(IF($C:$C=C1084,$I:$I))</f>
        <v>0.22834931756330515</v>
      </c>
      <c r="L1084" s="7">
        <f t="shared" si="195"/>
        <v>-0.55283587311895299</v>
      </c>
      <c r="M1084">
        <f t="shared" si="193"/>
        <v>1</v>
      </c>
      <c r="N1084" s="9">
        <f t="shared" si="196"/>
        <v>8.7882352941176453E-2</v>
      </c>
      <c r="O1084">
        <f>COUNTIFS($B$2:B1084,B1084,$C$2:C1084,C1084,$D$2:D1084,"&lt;"&amp;D1084,$F$2:F1084,1)</f>
        <v>0</v>
      </c>
      <c r="P1084">
        <f t="shared" si="194"/>
        <v>0</v>
      </c>
      <c r="Q1084" t="str">
        <f t="shared" si="197"/>
        <v>Intervene</v>
      </c>
      <c r="R1084">
        <v>0</v>
      </c>
      <c r="S1084">
        <f t="shared" si="198"/>
        <v>1</v>
      </c>
      <c r="T1084">
        <f t="shared" si="199"/>
        <v>1</v>
      </c>
      <c r="U1084" t="str">
        <f t="shared" si="200"/>
        <v>Not Improved Enough</v>
      </c>
      <c r="V1084" t="str">
        <f t="shared" si="201"/>
        <v>Far</v>
      </c>
      <c r="W1084" t="str">
        <f t="shared" si="202"/>
        <v>Abnormal</v>
      </c>
      <c r="X1084" t="str">
        <f t="shared" si="203"/>
        <v>Allowed</v>
      </c>
    </row>
    <row r="1085" spans="1:24" x14ac:dyDescent="0.3">
      <c r="A1085" t="s">
        <v>23</v>
      </c>
      <c r="B1085" t="s">
        <v>32</v>
      </c>
      <c r="C1085" t="s">
        <v>26</v>
      </c>
      <c r="D1085" s="3">
        <v>45808</v>
      </c>
      <c r="E1085" s="6">
        <v>0.87239999999999995</v>
      </c>
      <c r="F1085">
        <v>0</v>
      </c>
      <c r="G1085" t="s">
        <v>17</v>
      </c>
      <c r="H1085" s="6">
        <v>0.85</v>
      </c>
      <c r="I1085" s="8">
        <v>0.1252418418676641</v>
      </c>
      <c r="J1085" s="5">
        <f t="shared" si="192"/>
        <v>1.8209321594669165E-2</v>
      </c>
      <c r="K1085" s="5" cm="1">
        <f t="array" ref="K1085">_xlfn.STDEV.S(IF($C:$C=C1085,$I:$I))</f>
        <v>0.22834931756330515</v>
      </c>
      <c r="L1085" s="7">
        <f t="shared" si="195"/>
        <v>0.46872275080621767</v>
      </c>
      <c r="M1085">
        <f t="shared" si="193"/>
        <v>0</v>
      </c>
      <c r="N1085" s="9">
        <f t="shared" si="196"/>
        <v>-2.6352941176470562E-2</v>
      </c>
      <c r="O1085">
        <f>COUNTIFS($B$2:B1085,B1085,$C$2:C1085,C1085,$D$2:D1085,"&lt;"&amp;D1085,$F$2:F1085,1)</f>
        <v>0</v>
      </c>
      <c r="P1085">
        <f t="shared" si="194"/>
        <v>0</v>
      </c>
      <c r="Q1085" t="str">
        <f t="shared" si="197"/>
        <v>Monitor</v>
      </c>
      <c r="R1085">
        <v>0</v>
      </c>
      <c r="S1085">
        <f t="shared" si="198"/>
        <v>0</v>
      </c>
      <c r="T1085">
        <f t="shared" si="199"/>
        <v>0</v>
      </c>
      <c r="U1085" t="str">
        <f t="shared" si="200"/>
        <v>Improved Enough</v>
      </c>
      <c r="V1085" t="str">
        <f t="shared" si="201"/>
        <v>Close</v>
      </c>
      <c r="W1085" t="str">
        <f t="shared" si="202"/>
        <v>Normal</v>
      </c>
      <c r="X1085" t="str">
        <f t="shared" si="203"/>
        <v>Allowed</v>
      </c>
    </row>
    <row r="1086" spans="1:24" x14ac:dyDescent="0.3">
      <c r="A1086" t="s">
        <v>23</v>
      </c>
      <c r="B1086" t="s">
        <v>32</v>
      </c>
      <c r="C1086" t="s">
        <v>26</v>
      </c>
      <c r="D1086" s="3">
        <v>45838</v>
      </c>
      <c r="E1086" s="6">
        <v>0.80169999999999997</v>
      </c>
      <c r="F1086">
        <v>0</v>
      </c>
      <c r="G1086" t="s">
        <v>17</v>
      </c>
      <c r="H1086" s="6">
        <v>0.85</v>
      </c>
      <c r="I1086" s="8">
        <v>-8.1040806969280135E-2</v>
      </c>
      <c r="J1086" s="5">
        <f t="shared" si="192"/>
        <v>1.8209321594669165E-2</v>
      </c>
      <c r="K1086" s="5" cm="1">
        <f t="array" ref="K1086">_xlfn.STDEV.S(IF($C:$C=C1086,$I:$I))</f>
        <v>0.22834931756330515</v>
      </c>
      <c r="L1086" s="7">
        <f t="shared" si="195"/>
        <v>-0.43464166927687115</v>
      </c>
      <c r="M1086">
        <f t="shared" si="193"/>
        <v>0</v>
      </c>
      <c r="N1086" s="9">
        <f t="shared" si="196"/>
        <v>5.6823529411764717E-2</v>
      </c>
      <c r="O1086">
        <f>COUNTIFS($B$2:B1086,B1086,$C$2:C1086,C1086,$D$2:D1086,"&lt;"&amp;D1086,$F$2:F1086,1)</f>
        <v>0</v>
      </c>
      <c r="P1086">
        <f t="shared" si="194"/>
        <v>0</v>
      </c>
      <c r="Q1086" t="str">
        <f t="shared" si="197"/>
        <v>Monitor</v>
      </c>
      <c r="R1086">
        <v>0</v>
      </c>
      <c r="S1086">
        <f t="shared" si="198"/>
        <v>0</v>
      </c>
      <c r="T1086">
        <f t="shared" si="199"/>
        <v>0</v>
      </c>
      <c r="U1086" t="str">
        <f t="shared" si="200"/>
        <v>Not Improved Enough</v>
      </c>
      <c r="V1086" t="str">
        <f t="shared" si="201"/>
        <v>Far</v>
      </c>
      <c r="W1086" t="str">
        <f t="shared" si="202"/>
        <v>Normal</v>
      </c>
      <c r="X1086" t="str">
        <f t="shared" si="203"/>
        <v>Allowed</v>
      </c>
    </row>
    <row r="1087" spans="1:24" x14ac:dyDescent="0.3">
      <c r="A1087" t="s">
        <v>23</v>
      </c>
      <c r="B1087" t="s">
        <v>32</v>
      </c>
      <c r="C1087" t="s">
        <v>26</v>
      </c>
      <c r="D1087" s="3">
        <v>45869</v>
      </c>
      <c r="E1087" s="6">
        <v>0.90500000000000003</v>
      </c>
      <c r="F1087">
        <v>0</v>
      </c>
      <c r="G1087" t="s">
        <v>17</v>
      </c>
      <c r="H1087" s="6">
        <v>0.85</v>
      </c>
      <c r="I1087" s="8">
        <v>0.1288511912186604</v>
      </c>
      <c r="J1087" s="5">
        <f t="shared" si="192"/>
        <v>1.8209321594669165E-2</v>
      </c>
      <c r="K1087" s="5" cm="1">
        <f t="array" ref="K1087">_xlfn.STDEV.S(IF($C:$C=C1087,$I:$I))</f>
        <v>0.22834931756330515</v>
      </c>
      <c r="L1087" s="7">
        <f t="shared" si="195"/>
        <v>0.48452901372616564</v>
      </c>
      <c r="M1087">
        <f t="shared" si="193"/>
        <v>0</v>
      </c>
      <c r="N1087" s="9">
        <f t="shared" si="196"/>
        <v>-6.4705882352941238E-2</v>
      </c>
      <c r="O1087">
        <f>COUNTIFS($B$2:B1087,B1087,$C$2:C1087,C1087,$D$2:D1087,"&lt;"&amp;D1087,$F$2:F1087,1)</f>
        <v>0</v>
      </c>
      <c r="P1087">
        <f t="shared" si="194"/>
        <v>0</v>
      </c>
      <c r="Q1087" t="str">
        <f t="shared" si="197"/>
        <v>Monitor</v>
      </c>
      <c r="R1087">
        <v>0</v>
      </c>
      <c r="S1087">
        <f t="shared" si="198"/>
        <v>0</v>
      </c>
      <c r="T1087">
        <f t="shared" si="199"/>
        <v>0</v>
      </c>
      <c r="U1087" t="str">
        <f t="shared" si="200"/>
        <v>Improved Enough</v>
      </c>
      <c r="V1087" t="str">
        <f t="shared" si="201"/>
        <v>Close</v>
      </c>
      <c r="W1087" t="str">
        <f t="shared" si="202"/>
        <v>Normal</v>
      </c>
      <c r="X1087" t="str">
        <f t="shared" si="203"/>
        <v>Allowed</v>
      </c>
    </row>
    <row r="1088" spans="1:24" x14ac:dyDescent="0.3">
      <c r="A1088" t="s">
        <v>23</v>
      </c>
      <c r="B1088" t="s">
        <v>32</v>
      </c>
      <c r="C1088" t="s">
        <v>26</v>
      </c>
      <c r="D1088" s="3">
        <v>45900</v>
      </c>
      <c r="E1088" s="6">
        <v>0.94</v>
      </c>
      <c r="F1088">
        <v>0</v>
      </c>
      <c r="G1088" t="s">
        <v>17</v>
      </c>
      <c r="H1088" s="6">
        <v>0.85</v>
      </c>
      <c r="I1088" s="8">
        <v>3.8674033149171179E-2</v>
      </c>
      <c r="J1088" s="5">
        <f t="shared" si="192"/>
        <v>1.8209321594669165E-2</v>
      </c>
      <c r="K1088" s="5" cm="1">
        <f t="array" ref="K1088">_xlfn.STDEV.S(IF($C:$C=C1088,$I:$I))</f>
        <v>0.22834931756330515</v>
      </c>
      <c r="L1088" s="7">
        <f t="shared" si="195"/>
        <v>8.9620200195380889E-2</v>
      </c>
      <c r="M1088">
        <f t="shared" si="193"/>
        <v>0</v>
      </c>
      <c r="N1088" s="9">
        <f t="shared" si="196"/>
        <v>-0.10588235294117644</v>
      </c>
      <c r="O1088">
        <f>COUNTIFS($B$2:B1088,B1088,$C$2:C1088,C1088,$D$2:D1088,"&lt;"&amp;D1088,$F$2:F1088,1)</f>
        <v>0</v>
      </c>
      <c r="P1088">
        <f t="shared" si="194"/>
        <v>0</v>
      </c>
      <c r="Q1088" t="str">
        <f t="shared" si="197"/>
        <v>Monitor</v>
      </c>
      <c r="R1088">
        <v>0</v>
      </c>
      <c r="S1088">
        <f t="shared" si="198"/>
        <v>0</v>
      </c>
      <c r="T1088">
        <f t="shared" si="199"/>
        <v>0</v>
      </c>
      <c r="U1088" t="str">
        <f t="shared" si="200"/>
        <v>Improved Enough</v>
      </c>
      <c r="V1088" t="str">
        <f t="shared" si="201"/>
        <v>Close</v>
      </c>
      <c r="W1088" t="str">
        <f t="shared" si="202"/>
        <v>Normal</v>
      </c>
      <c r="X1088" t="str">
        <f t="shared" si="203"/>
        <v>Allowed</v>
      </c>
    </row>
    <row r="1089" spans="1:24" x14ac:dyDescent="0.3">
      <c r="A1089" t="s">
        <v>23</v>
      </c>
      <c r="B1089" t="s">
        <v>32</v>
      </c>
      <c r="C1089" t="s">
        <v>26</v>
      </c>
      <c r="D1089" s="3">
        <v>45930</v>
      </c>
      <c r="E1089" s="6">
        <v>0.86699999999999999</v>
      </c>
      <c r="F1089">
        <v>0</v>
      </c>
      <c r="G1089" t="s">
        <v>17</v>
      </c>
      <c r="H1089" s="6">
        <v>0.85</v>
      </c>
      <c r="I1089" s="8">
        <v>-7.7659574468085066E-2</v>
      </c>
      <c r="J1089" s="5">
        <f t="shared" si="192"/>
        <v>1.8209321594669165E-2</v>
      </c>
      <c r="K1089" s="5" cm="1">
        <f t="array" ref="K1089">_xlfn.STDEV.S(IF($C:$C=C1089,$I:$I))</f>
        <v>0.22834931756330515</v>
      </c>
      <c r="L1089" s="7">
        <f t="shared" si="195"/>
        <v>-0.41983438832120246</v>
      </c>
      <c r="M1089">
        <f t="shared" si="193"/>
        <v>0</v>
      </c>
      <c r="N1089" s="9">
        <f t="shared" si="196"/>
        <v>-2.0000000000000018E-2</v>
      </c>
      <c r="O1089">
        <f>COUNTIFS($B$2:B1089,B1089,$C$2:C1089,C1089,$D$2:D1089,"&lt;"&amp;D1089,$F$2:F1089,1)</f>
        <v>0</v>
      </c>
      <c r="P1089">
        <f t="shared" si="194"/>
        <v>0</v>
      </c>
      <c r="Q1089" t="str">
        <f t="shared" si="197"/>
        <v>Monitor</v>
      </c>
      <c r="R1089">
        <v>0</v>
      </c>
      <c r="S1089">
        <f t="shared" si="198"/>
        <v>0</v>
      </c>
      <c r="T1089">
        <f t="shared" si="199"/>
        <v>0</v>
      </c>
      <c r="U1089" t="str">
        <f t="shared" si="200"/>
        <v>Not Improved Enough</v>
      </c>
      <c r="V1089" t="str">
        <f t="shared" si="201"/>
        <v>Close</v>
      </c>
      <c r="W1089" t="str">
        <f t="shared" si="202"/>
        <v>Normal</v>
      </c>
      <c r="X1089" t="str">
        <f t="shared" si="203"/>
        <v>Allowed</v>
      </c>
    </row>
    <row r="1090" spans="1:24" x14ac:dyDescent="0.3">
      <c r="A1090" t="s">
        <v>23</v>
      </c>
      <c r="B1090" t="s">
        <v>32</v>
      </c>
      <c r="C1090" t="s">
        <v>26</v>
      </c>
      <c r="D1090" s="3">
        <v>45961</v>
      </c>
      <c r="E1090" s="6">
        <v>0.86099999999999999</v>
      </c>
      <c r="F1090">
        <v>0</v>
      </c>
      <c r="G1090" t="s">
        <v>17</v>
      </c>
      <c r="H1090" s="6">
        <v>0.85</v>
      </c>
      <c r="I1090" s="8">
        <v>-6.9204152249135011E-3</v>
      </c>
      <c r="J1090" s="5">
        <f t="shared" ref="J1090:J1153" si="204">AVERAGEIF($C:$C,C1090,$I:$I)</f>
        <v>1.8209321594669165E-2</v>
      </c>
      <c r="K1090" s="5" cm="1">
        <f t="array" ref="K1090">_xlfn.STDEV.S(IF($C:$C=C1090,$I:$I))</f>
        <v>0.22834931756330515</v>
      </c>
      <c r="L1090" s="7">
        <f t="shared" si="195"/>
        <v>-0.11004953764583054</v>
      </c>
      <c r="M1090">
        <f t="shared" ref="M1090:M1153" si="205">IF(L1090&lt;=-$Z$4,1,IF(L1090&gt;=$Z$4,-1,0))</f>
        <v>0</v>
      </c>
      <c r="N1090" s="9">
        <f t="shared" si="196"/>
        <v>-1.2941176470588248E-2</v>
      </c>
      <c r="O1090">
        <f>COUNTIFS($B$2:B1090,B1090,$C$2:C1090,C1090,$D$2:D1090,"&lt;"&amp;D1090,$F$2:F1090,1)</f>
        <v>0</v>
      </c>
      <c r="P1090">
        <f t="shared" ref="P1090:P1153" si="206">IF(AND(R1090=1,I1090&gt;0),1,IF(R1090=1,-1,0))</f>
        <v>0</v>
      </c>
      <c r="Q1090" t="str">
        <f t="shared" si="197"/>
        <v>Monitor</v>
      </c>
      <c r="R1090">
        <v>0</v>
      </c>
      <c r="S1090">
        <f t="shared" si="198"/>
        <v>0</v>
      </c>
      <c r="T1090">
        <f t="shared" si="199"/>
        <v>0</v>
      </c>
      <c r="U1090" t="str">
        <f t="shared" si="200"/>
        <v>Not Improved Enough</v>
      </c>
      <c r="V1090" t="str">
        <f t="shared" si="201"/>
        <v>Close</v>
      </c>
      <c r="W1090" t="str">
        <f t="shared" si="202"/>
        <v>Normal</v>
      </c>
      <c r="X1090" t="str">
        <f t="shared" si="203"/>
        <v>Allowed</v>
      </c>
    </row>
    <row r="1091" spans="1:24" x14ac:dyDescent="0.3">
      <c r="A1091" t="s">
        <v>23</v>
      </c>
      <c r="B1091" t="s">
        <v>32</v>
      </c>
      <c r="C1091" t="s">
        <v>26</v>
      </c>
      <c r="D1091" s="3">
        <v>45991</v>
      </c>
      <c r="E1091" s="6">
        <v>0.86499999999999999</v>
      </c>
      <c r="F1091">
        <v>0</v>
      </c>
      <c r="G1091" t="s">
        <v>17</v>
      </c>
      <c r="H1091" s="6">
        <v>0.85</v>
      </c>
      <c r="I1091" s="8">
        <v>4.6457607433217233E-3</v>
      </c>
      <c r="J1091" s="5">
        <f t="shared" si="204"/>
        <v>1.8209321594669165E-2</v>
      </c>
      <c r="K1091" s="5" cm="1">
        <f t="array" ref="K1091">_xlfn.STDEV.S(IF($C:$C=C1091,$I:$I))</f>
        <v>0.22834931756330515</v>
      </c>
      <c r="L1091" s="7">
        <f t="shared" ref="L1091:L1154" si="207">IFERROR((I1091-J1091)/K1091,0)</f>
        <v>-5.939829816915141E-2</v>
      </c>
      <c r="M1091">
        <f t="shared" si="205"/>
        <v>0</v>
      </c>
      <c r="N1091" s="9">
        <f t="shared" ref="N1091:N1154" si="208">IFERROR(IF(G1091="DOWN",(E1091-H1091)/H1091,(H1091-E1091)/H1091),0)</f>
        <v>-1.7647058823529429E-2</v>
      </c>
      <c r="O1091">
        <f>COUNTIFS($B$2:B1091,B1091,$C$2:C1091,C1091,$D$2:D1091,"&lt;"&amp;D1091,$F$2:F1091,1)</f>
        <v>0</v>
      </c>
      <c r="P1091">
        <f t="shared" si="206"/>
        <v>0</v>
      </c>
      <c r="Q1091" t="str">
        <f t="shared" ref="Q1091:Q1154" si="209">IF(I1091&gt;=$Z$1,"Monitor",IF(AND(N1091&gt;=$Z$2,L1091&lt;=-$Z$4),IF(O1091&lt;$Z$3,"Intervene","Escalate / Bigger Fix"),"Monitor"))</f>
        <v>Monitor</v>
      </c>
      <c r="R1091">
        <v>0</v>
      </c>
      <c r="S1091">
        <f t="shared" ref="S1091:S1154" si="210">IF(Q1091="Intervene",1,IF(Q1091="Escalate / Bigger Fix",-1,0))</f>
        <v>0</v>
      </c>
      <c r="T1091">
        <f t="shared" ref="T1091:T1154" si="211">IF(Q1091="Intervene",1,0)</f>
        <v>0</v>
      </c>
      <c r="U1091" t="str">
        <f t="shared" ref="U1091:U1154" si="212">IF(I1091&gt;=$Z$1,"Improved Enough","Not Improved Enough")</f>
        <v>Not Improved Enough</v>
      </c>
      <c r="V1091" t="str">
        <f t="shared" ref="V1091:V1154" si="213">IF(N1091&gt;=$Z$2,"Far","Close")</f>
        <v>Close</v>
      </c>
      <c r="W1091" t="str">
        <f t="shared" ref="W1091:W1154" si="214">IF(L1091&lt;=-$Z$4,"Abnormal","Normal")</f>
        <v>Normal</v>
      </c>
      <c r="X1091" t="str">
        <f t="shared" ref="X1091:X1154" si="215">IF(O1091&lt;$Z$3,"Allowed","Maxed Out")</f>
        <v>Allowed</v>
      </c>
    </row>
    <row r="1092" spans="1:24" x14ac:dyDescent="0.3">
      <c r="A1092" t="s">
        <v>23</v>
      </c>
      <c r="B1092" t="s">
        <v>32</v>
      </c>
      <c r="C1092" t="s">
        <v>27</v>
      </c>
      <c r="D1092" s="3">
        <v>45535</v>
      </c>
      <c r="E1092" s="6">
        <v>0.72</v>
      </c>
      <c r="F1092">
        <v>0</v>
      </c>
      <c r="G1092" t="s">
        <v>17</v>
      </c>
      <c r="H1092" s="6">
        <v>0.7</v>
      </c>
      <c r="I1092" s="8">
        <v>6.4931223191835433E-2</v>
      </c>
      <c r="J1092" s="5">
        <f t="shared" si="204"/>
        <v>1.9288787744816144E-2</v>
      </c>
      <c r="K1092" s="5" cm="1">
        <f t="array" ref="K1092">_xlfn.STDEV.S(IF($C:$C=C1092,$I:$I))</f>
        <v>0.27585788879837708</v>
      </c>
      <c r="L1092" s="7">
        <f t="shared" si="207"/>
        <v>0.16545633567281842</v>
      </c>
      <c r="M1092">
        <f t="shared" si="205"/>
        <v>0</v>
      </c>
      <c r="N1092" s="9">
        <f t="shared" si="208"/>
        <v>-2.8571428571428598E-2</v>
      </c>
      <c r="O1092">
        <f>COUNTIFS($B$2:B1092,B1092,$C$2:C1092,C1092,$D$2:D1092,"&lt;"&amp;D1092,$F$2:F1092,1)</f>
        <v>0</v>
      </c>
      <c r="P1092">
        <f t="shared" si="206"/>
        <v>0</v>
      </c>
      <c r="Q1092" t="str">
        <f t="shared" si="209"/>
        <v>Monitor</v>
      </c>
      <c r="R1092">
        <v>0</v>
      </c>
      <c r="S1092">
        <f t="shared" si="210"/>
        <v>0</v>
      </c>
      <c r="T1092">
        <f t="shared" si="211"/>
        <v>0</v>
      </c>
      <c r="U1092" t="str">
        <f t="shared" si="212"/>
        <v>Improved Enough</v>
      </c>
      <c r="V1092" t="str">
        <f t="shared" si="213"/>
        <v>Close</v>
      </c>
      <c r="W1092" t="str">
        <f t="shared" si="214"/>
        <v>Normal</v>
      </c>
      <c r="X1092" t="str">
        <f t="shared" si="215"/>
        <v>Allowed</v>
      </c>
    </row>
    <row r="1093" spans="1:24" x14ac:dyDescent="0.3">
      <c r="A1093" t="s">
        <v>23</v>
      </c>
      <c r="B1093" t="s">
        <v>32</v>
      </c>
      <c r="C1093" t="s">
        <v>27</v>
      </c>
      <c r="D1093" s="3">
        <v>45565</v>
      </c>
      <c r="E1093" s="6">
        <v>0.7157</v>
      </c>
      <c r="F1093">
        <v>0</v>
      </c>
      <c r="G1093" t="s">
        <v>17</v>
      </c>
      <c r="H1093" s="6">
        <v>0.7</v>
      </c>
      <c r="I1093" s="8">
        <v>-5.9722222222221817E-3</v>
      </c>
      <c r="J1093" s="5">
        <f t="shared" si="204"/>
        <v>1.9288787744816144E-2</v>
      </c>
      <c r="K1093" s="5" cm="1">
        <f t="array" ref="K1093">_xlfn.STDEV.S(IF($C:$C=C1093,$I:$I))</f>
        <v>0.27585788879837708</v>
      </c>
      <c r="L1093" s="7">
        <f t="shared" si="207"/>
        <v>-9.1572548739040957E-2</v>
      </c>
      <c r="M1093">
        <f t="shared" si="205"/>
        <v>0</v>
      </c>
      <c r="N1093" s="9">
        <f t="shared" si="208"/>
        <v>-2.2428571428571499E-2</v>
      </c>
      <c r="O1093">
        <f>COUNTIFS($B$2:B1093,B1093,$C$2:C1093,C1093,$D$2:D1093,"&lt;"&amp;D1093,$F$2:F1093,1)</f>
        <v>0</v>
      </c>
      <c r="P1093">
        <f t="shared" si="206"/>
        <v>0</v>
      </c>
      <c r="Q1093" t="str">
        <f t="shared" si="209"/>
        <v>Monitor</v>
      </c>
      <c r="R1093">
        <v>0</v>
      </c>
      <c r="S1093">
        <f t="shared" si="210"/>
        <v>0</v>
      </c>
      <c r="T1093">
        <f t="shared" si="211"/>
        <v>0</v>
      </c>
      <c r="U1093" t="str">
        <f t="shared" si="212"/>
        <v>Not Improved Enough</v>
      </c>
      <c r="V1093" t="str">
        <f t="shared" si="213"/>
        <v>Close</v>
      </c>
      <c r="W1093" t="str">
        <f t="shared" si="214"/>
        <v>Normal</v>
      </c>
      <c r="X1093" t="str">
        <f t="shared" si="215"/>
        <v>Allowed</v>
      </c>
    </row>
    <row r="1094" spans="1:24" x14ac:dyDescent="0.3">
      <c r="A1094" t="s">
        <v>23</v>
      </c>
      <c r="B1094" t="s">
        <v>32</v>
      </c>
      <c r="C1094" t="s">
        <v>27</v>
      </c>
      <c r="D1094" s="3">
        <v>45596</v>
      </c>
      <c r="E1094" s="6">
        <v>0.63749999999999996</v>
      </c>
      <c r="F1094">
        <v>0</v>
      </c>
      <c r="G1094" t="s">
        <v>17</v>
      </c>
      <c r="H1094" s="6">
        <v>0.7</v>
      </c>
      <c r="I1094" s="8">
        <v>-0.1092636579572447</v>
      </c>
      <c r="J1094" s="5">
        <f t="shared" si="204"/>
        <v>1.9288787744816144E-2</v>
      </c>
      <c r="K1094" s="5" cm="1">
        <f t="array" ref="K1094">_xlfn.STDEV.S(IF($C:$C=C1094,$I:$I))</f>
        <v>0.27585788879837708</v>
      </c>
      <c r="L1094" s="7">
        <f t="shared" si="207"/>
        <v>-0.46600967716395114</v>
      </c>
      <c r="M1094">
        <f t="shared" si="205"/>
        <v>0</v>
      </c>
      <c r="N1094" s="9">
        <f t="shared" si="208"/>
        <v>8.9285714285714288E-2</v>
      </c>
      <c r="O1094">
        <f>COUNTIFS($B$2:B1094,B1094,$C$2:C1094,C1094,$D$2:D1094,"&lt;"&amp;D1094,$F$2:F1094,1)</f>
        <v>0</v>
      </c>
      <c r="P1094">
        <f t="shared" si="206"/>
        <v>0</v>
      </c>
      <c r="Q1094" t="str">
        <f t="shared" si="209"/>
        <v>Monitor</v>
      </c>
      <c r="R1094">
        <v>0</v>
      </c>
      <c r="S1094">
        <f t="shared" si="210"/>
        <v>0</v>
      </c>
      <c r="T1094">
        <f t="shared" si="211"/>
        <v>0</v>
      </c>
      <c r="U1094" t="str">
        <f t="shared" si="212"/>
        <v>Not Improved Enough</v>
      </c>
      <c r="V1094" t="str">
        <f t="shared" si="213"/>
        <v>Far</v>
      </c>
      <c r="W1094" t="str">
        <f t="shared" si="214"/>
        <v>Normal</v>
      </c>
      <c r="X1094" t="str">
        <f t="shared" si="215"/>
        <v>Allowed</v>
      </c>
    </row>
    <row r="1095" spans="1:24" x14ac:dyDescent="0.3">
      <c r="A1095" t="s">
        <v>23</v>
      </c>
      <c r="B1095" t="s">
        <v>32</v>
      </c>
      <c r="C1095" t="s">
        <v>27</v>
      </c>
      <c r="D1095" s="3">
        <v>45626</v>
      </c>
      <c r="E1095" s="6">
        <v>0.61460000000000004</v>
      </c>
      <c r="F1095">
        <v>0</v>
      </c>
      <c r="G1095" t="s">
        <v>17</v>
      </c>
      <c r="H1095" s="6">
        <v>0.7</v>
      </c>
      <c r="I1095" s="8">
        <v>-3.5921568627450863E-2</v>
      </c>
      <c r="J1095" s="5">
        <f t="shared" si="204"/>
        <v>1.9288787744816144E-2</v>
      </c>
      <c r="K1095" s="5" cm="1">
        <f t="array" ref="K1095">_xlfn.STDEV.S(IF($C:$C=C1095,$I:$I))</f>
        <v>0.27585788879837708</v>
      </c>
      <c r="L1095" s="7">
        <f t="shared" si="207"/>
        <v>-0.20014057460078635</v>
      </c>
      <c r="M1095">
        <f t="shared" si="205"/>
        <v>0</v>
      </c>
      <c r="N1095" s="9">
        <f t="shared" si="208"/>
        <v>0.1219999999999999</v>
      </c>
      <c r="O1095">
        <f>COUNTIFS($B$2:B1095,B1095,$C$2:C1095,C1095,$D$2:D1095,"&lt;"&amp;D1095,$F$2:F1095,1)</f>
        <v>0</v>
      </c>
      <c r="P1095">
        <f t="shared" si="206"/>
        <v>0</v>
      </c>
      <c r="Q1095" t="str">
        <f t="shared" si="209"/>
        <v>Monitor</v>
      </c>
      <c r="R1095">
        <v>0</v>
      </c>
      <c r="S1095">
        <f t="shared" si="210"/>
        <v>0</v>
      </c>
      <c r="T1095">
        <f t="shared" si="211"/>
        <v>0</v>
      </c>
      <c r="U1095" t="str">
        <f t="shared" si="212"/>
        <v>Not Improved Enough</v>
      </c>
      <c r="V1095" t="str">
        <f t="shared" si="213"/>
        <v>Far</v>
      </c>
      <c r="W1095" t="str">
        <f t="shared" si="214"/>
        <v>Normal</v>
      </c>
      <c r="X1095" t="str">
        <f t="shared" si="215"/>
        <v>Allowed</v>
      </c>
    </row>
    <row r="1096" spans="1:24" x14ac:dyDescent="0.3">
      <c r="A1096" t="s">
        <v>23</v>
      </c>
      <c r="B1096" t="s">
        <v>32</v>
      </c>
      <c r="C1096" t="s">
        <v>27</v>
      </c>
      <c r="D1096" s="3">
        <v>45657</v>
      </c>
      <c r="E1096" s="6">
        <v>0.66200000000000003</v>
      </c>
      <c r="F1096">
        <v>0</v>
      </c>
      <c r="G1096" t="s">
        <v>17</v>
      </c>
      <c r="H1096" s="6">
        <v>0.7</v>
      </c>
      <c r="I1096" s="8">
        <v>7.7123332248616977E-2</v>
      </c>
      <c r="J1096" s="5">
        <f t="shared" si="204"/>
        <v>1.9288787744816144E-2</v>
      </c>
      <c r="K1096" s="5" cm="1">
        <f t="array" ref="K1096">_xlfn.STDEV.S(IF($C:$C=C1096,$I:$I))</f>
        <v>0.27585788879837708</v>
      </c>
      <c r="L1096" s="7">
        <f t="shared" si="207"/>
        <v>0.20965340072645799</v>
      </c>
      <c r="M1096">
        <f t="shared" si="205"/>
        <v>0</v>
      </c>
      <c r="N1096" s="9">
        <f t="shared" si="208"/>
        <v>5.428571428571418E-2</v>
      </c>
      <c r="O1096">
        <f>COUNTIFS($B$2:B1096,B1096,$C$2:C1096,C1096,$D$2:D1096,"&lt;"&amp;D1096,$F$2:F1096,1)</f>
        <v>0</v>
      </c>
      <c r="P1096">
        <f t="shared" si="206"/>
        <v>0</v>
      </c>
      <c r="Q1096" t="str">
        <f t="shared" si="209"/>
        <v>Monitor</v>
      </c>
      <c r="R1096">
        <v>0</v>
      </c>
      <c r="S1096">
        <f t="shared" si="210"/>
        <v>0</v>
      </c>
      <c r="T1096">
        <f t="shared" si="211"/>
        <v>0</v>
      </c>
      <c r="U1096" t="str">
        <f t="shared" si="212"/>
        <v>Improved Enough</v>
      </c>
      <c r="V1096" t="str">
        <f t="shared" si="213"/>
        <v>Far</v>
      </c>
      <c r="W1096" t="str">
        <f t="shared" si="214"/>
        <v>Normal</v>
      </c>
      <c r="X1096" t="str">
        <f t="shared" si="215"/>
        <v>Allowed</v>
      </c>
    </row>
    <row r="1097" spans="1:24" x14ac:dyDescent="0.3">
      <c r="A1097" t="s">
        <v>23</v>
      </c>
      <c r="B1097" t="s">
        <v>32</v>
      </c>
      <c r="C1097" t="s">
        <v>27</v>
      </c>
      <c r="D1097" s="3">
        <v>45688</v>
      </c>
      <c r="E1097" s="6">
        <v>0.70369999999999999</v>
      </c>
      <c r="F1097">
        <v>0</v>
      </c>
      <c r="G1097" t="s">
        <v>17</v>
      </c>
      <c r="H1097" s="6">
        <v>0.7</v>
      </c>
      <c r="I1097" s="8">
        <v>6.2990936555891178E-2</v>
      </c>
      <c r="J1097" s="5">
        <f t="shared" si="204"/>
        <v>1.9288787744816144E-2</v>
      </c>
      <c r="K1097" s="5" cm="1">
        <f t="array" ref="K1097">_xlfn.STDEV.S(IF($C:$C=C1097,$I:$I))</f>
        <v>0.27585788879837708</v>
      </c>
      <c r="L1097" s="7">
        <f t="shared" si="207"/>
        <v>0.15842269003594339</v>
      </c>
      <c r="M1097">
        <f t="shared" si="205"/>
        <v>0</v>
      </c>
      <c r="N1097" s="9">
        <f t="shared" si="208"/>
        <v>-5.285714285714338E-3</v>
      </c>
      <c r="O1097">
        <f>COUNTIFS($B$2:B1097,B1097,$C$2:C1097,C1097,$D$2:D1097,"&lt;"&amp;D1097,$F$2:F1097,1)</f>
        <v>0</v>
      </c>
      <c r="P1097">
        <f t="shared" si="206"/>
        <v>0</v>
      </c>
      <c r="Q1097" t="str">
        <f t="shared" si="209"/>
        <v>Monitor</v>
      </c>
      <c r="R1097">
        <v>0</v>
      </c>
      <c r="S1097">
        <f t="shared" si="210"/>
        <v>0</v>
      </c>
      <c r="T1097">
        <f t="shared" si="211"/>
        <v>0</v>
      </c>
      <c r="U1097" t="str">
        <f t="shared" si="212"/>
        <v>Improved Enough</v>
      </c>
      <c r="V1097" t="str">
        <f t="shared" si="213"/>
        <v>Close</v>
      </c>
      <c r="W1097" t="str">
        <f t="shared" si="214"/>
        <v>Normal</v>
      </c>
      <c r="X1097" t="str">
        <f t="shared" si="215"/>
        <v>Allowed</v>
      </c>
    </row>
    <row r="1098" spans="1:24" x14ac:dyDescent="0.3">
      <c r="A1098" t="s">
        <v>23</v>
      </c>
      <c r="B1098" t="s">
        <v>32</v>
      </c>
      <c r="C1098" t="s">
        <v>27</v>
      </c>
      <c r="D1098" s="3">
        <v>45716</v>
      </c>
      <c r="E1098" s="6">
        <v>0.70830000000000004</v>
      </c>
      <c r="F1098">
        <v>0</v>
      </c>
      <c r="G1098" t="s">
        <v>17</v>
      </c>
      <c r="H1098" s="6">
        <v>0.7</v>
      </c>
      <c r="I1098" s="8">
        <v>6.5368765098764367E-3</v>
      </c>
      <c r="J1098" s="5">
        <f t="shared" si="204"/>
        <v>1.9288787744816144E-2</v>
      </c>
      <c r="K1098" s="5" cm="1">
        <f t="array" ref="K1098">_xlfn.STDEV.S(IF($C:$C=C1098,$I:$I))</f>
        <v>0.27585788879837708</v>
      </c>
      <c r="L1098" s="7">
        <f t="shared" si="207"/>
        <v>-4.6226378699867468E-2</v>
      </c>
      <c r="M1098">
        <f t="shared" si="205"/>
        <v>0</v>
      </c>
      <c r="N1098" s="9">
        <f t="shared" si="208"/>
        <v>-1.1857142857142979E-2</v>
      </c>
      <c r="O1098">
        <f>COUNTIFS($B$2:B1098,B1098,$C$2:C1098,C1098,$D$2:D1098,"&lt;"&amp;D1098,$F$2:F1098,1)</f>
        <v>0</v>
      </c>
      <c r="P1098">
        <f t="shared" si="206"/>
        <v>0</v>
      </c>
      <c r="Q1098" t="str">
        <f t="shared" si="209"/>
        <v>Monitor</v>
      </c>
      <c r="R1098">
        <v>0</v>
      </c>
      <c r="S1098">
        <f t="shared" si="210"/>
        <v>0</v>
      </c>
      <c r="T1098">
        <f t="shared" si="211"/>
        <v>0</v>
      </c>
      <c r="U1098" t="str">
        <f t="shared" si="212"/>
        <v>Not Improved Enough</v>
      </c>
      <c r="V1098" t="str">
        <f t="shared" si="213"/>
        <v>Close</v>
      </c>
      <c r="W1098" t="str">
        <f t="shared" si="214"/>
        <v>Normal</v>
      </c>
      <c r="X1098" t="str">
        <f t="shared" si="215"/>
        <v>Allowed</v>
      </c>
    </row>
    <row r="1099" spans="1:24" x14ac:dyDescent="0.3">
      <c r="A1099" t="s">
        <v>23</v>
      </c>
      <c r="B1099" t="s">
        <v>32</v>
      </c>
      <c r="C1099" t="s">
        <v>27</v>
      </c>
      <c r="D1099" s="3">
        <v>45747</v>
      </c>
      <c r="E1099" s="6">
        <v>0.70089999999999997</v>
      </c>
      <c r="F1099">
        <v>0</v>
      </c>
      <c r="G1099" t="s">
        <v>17</v>
      </c>
      <c r="H1099" s="6">
        <v>0.7</v>
      </c>
      <c r="I1099" s="8">
        <v>-1.044755047296354E-2</v>
      </c>
      <c r="J1099" s="5">
        <f t="shared" si="204"/>
        <v>1.9288787744816144E-2</v>
      </c>
      <c r="K1099" s="5" cm="1">
        <f t="array" ref="K1099">_xlfn.STDEV.S(IF($C:$C=C1099,$I:$I))</f>
        <v>0.27585788879837708</v>
      </c>
      <c r="L1099" s="7">
        <f t="shared" si="207"/>
        <v>-0.10779585948152384</v>
      </c>
      <c r="M1099">
        <f t="shared" si="205"/>
        <v>0</v>
      </c>
      <c r="N1099" s="9">
        <f t="shared" si="208"/>
        <v>-1.2857142857143028E-3</v>
      </c>
      <c r="O1099">
        <f>COUNTIFS($B$2:B1099,B1099,$C$2:C1099,C1099,$D$2:D1099,"&lt;"&amp;D1099,$F$2:F1099,1)</f>
        <v>0</v>
      </c>
      <c r="P1099">
        <f t="shared" si="206"/>
        <v>0</v>
      </c>
      <c r="Q1099" t="str">
        <f t="shared" si="209"/>
        <v>Monitor</v>
      </c>
      <c r="R1099">
        <v>0</v>
      </c>
      <c r="S1099">
        <f t="shared" si="210"/>
        <v>0</v>
      </c>
      <c r="T1099">
        <f t="shared" si="211"/>
        <v>0</v>
      </c>
      <c r="U1099" t="str">
        <f t="shared" si="212"/>
        <v>Not Improved Enough</v>
      </c>
      <c r="V1099" t="str">
        <f t="shared" si="213"/>
        <v>Close</v>
      </c>
      <c r="W1099" t="str">
        <f t="shared" si="214"/>
        <v>Normal</v>
      </c>
      <c r="X1099" t="str">
        <f t="shared" si="215"/>
        <v>Allowed</v>
      </c>
    </row>
    <row r="1100" spans="1:24" x14ac:dyDescent="0.3">
      <c r="A1100" t="s">
        <v>23</v>
      </c>
      <c r="B1100" t="s">
        <v>32</v>
      </c>
      <c r="C1100" t="s">
        <v>27</v>
      </c>
      <c r="D1100" s="3">
        <v>45777</v>
      </c>
      <c r="E1100" s="6">
        <v>0.69320000000000004</v>
      </c>
      <c r="F1100">
        <v>0</v>
      </c>
      <c r="G1100" t="s">
        <v>17</v>
      </c>
      <c r="H1100" s="6">
        <v>0.7</v>
      </c>
      <c r="I1100" s="8">
        <v>-1.0985875303181521E-2</v>
      </c>
      <c r="J1100" s="5">
        <f t="shared" si="204"/>
        <v>1.9288787744816144E-2</v>
      </c>
      <c r="K1100" s="5" cm="1">
        <f t="array" ref="K1100">_xlfn.STDEV.S(IF($C:$C=C1100,$I:$I))</f>
        <v>0.27585788879837708</v>
      </c>
      <c r="L1100" s="7">
        <f t="shared" si="207"/>
        <v>-0.10974731656169978</v>
      </c>
      <c r="M1100">
        <f t="shared" si="205"/>
        <v>0</v>
      </c>
      <c r="N1100" s="9">
        <f t="shared" si="208"/>
        <v>9.7142857142855973E-3</v>
      </c>
      <c r="O1100">
        <f>COUNTIFS($B$2:B1100,B1100,$C$2:C1100,C1100,$D$2:D1100,"&lt;"&amp;D1100,$F$2:F1100,1)</f>
        <v>0</v>
      </c>
      <c r="P1100">
        <f t="shared" si="206"/>
        <v>0</v>
      </c>
      <c r="Q1100" t="str">
        <f t="shared" si="209"/>
        <v>Monitor</v>
      </c>
      <c r="R1100">
        <v>0</v>
      </c>
      <c r="S1100">
        <f t="shared" si="210"/>
        <v>0</v>
      </c>
      <c r="T1100">
        <f t="shared" si="211"/>
        <v>0</v>
      </c>
      <c r="U1100" t="str">
        <f t="shared" si="212"/>
        <v>Not Improved Enough</v>
      </c>
      <c r="V1100" t="str">
        <f t="shared" si="213"/>
        <v>Close</v>
      </c>
      <c r="W1100" t="str">
        <f t="shared" si="214"/>
        <v>Normal</v>
      </c>
      <c r="X1100" t="str">
        <f t="shared" si="215"/>
        <v>Allowed</v>
      </c>
    </row>
    <row r="1101" spans="1:24" x14ac:dyDescent="0.3">
      <c r="A1101" t="s">
        <v>23</v>
      </c>
      <c r="B1101" t="s">
        <v>32</v>
      </c>
      <c r="C1101" t="s">
        <v>27</v>
      </c>
      <c r="D1101" s="3">
        <v>45808</v>
      </c>
      <c r="E1101" s="6">
        <v>0.70650000000000002</v>
      </c>
      <c r="F1101">
        <v>0</v>
      </c>
      <c r="G1101" t="s">
        <v>17</v>
      </c>
      <c r="H1101" s="6">
        <v>0.7</v>
      </c>
      <c r="I1101" s="8">
        <v>1.9186381996537761E-2</v>
      </c>
      <c r="J1101" s="5">
        <f t="shared" si="204"/>
        <v>1.9288787744816144E-2</v>
      </c>
      <c r="K1101" s="5" cm="1">
        <f t="array" ref="K1101">_xlfn.STDEV.S(IF($C:$C=C1101,$I:$I))</f>
        <v>0.27585788879837708</v>
      </c>
      <c r="L1101" s="7">
        <f t="shared" si="207"/>
        <v>-3.7122646274303692E-4</v>
      </c>
      <c r="M1101">
        <f t="shared" si="205"/>
        <v>0</v>
      </c>
      <c r="N1101" s="9">
        <f t="shared" si="208"/>
        <v>-9.2857142857143745E-3</v>
      </c>
      <c r="O1101">
        <f>COUNTIFS($B$2:B1101,B1101,$C$2:C1101,C1101,$D$2:D1101,"&lt;"&amp;D1101,$F$2:F1101,1)</f>
        <v>0</v>
      </c>
      <c r="P1101">
        <f t="shared" si="206"/>
        <v>0</v>
      </c>
      <c r="Q1101" t="str">
        <f t="shared" si="209"/>
        <v>Monitor</v>
      </c>
      <c r="R1101">
        <v>0</v>
      </c>
      <c r="S1101">
        <f t="shared" si="210"/>
        <v>0</v>
      </c>
      <c r="T1101">
        <f t="shared" si="211"/>
        <v>0</v>
      </c>
      <c r="U1101" t="str">
        <f t="shared" si="212"/>
        <v>Improved Enough</v>
      </c>
      <c r="V1101" t="str">
        <f t="shared" si="213"/>
        <v>Close</v>
      </c>
      <c r="W1101" t="str">
        <f t="shared" si="214"/>
        <v>Normal</v>
      </c>
      <c r="X1101" t="str">
        <f t="shared" si="215"/>
        <v>Allowed</v>
      </c>
    </row>
    <row r="1102" spans="1:24" x14ac:dyDescent="0.3">
      <c r="A1102" t="s">
        <v>23</v>
      </c>
      <c r="B1102" t="s">
        <v>32</v>
      </c>
      <c r="C1102" t="s">
        <v>27</v>
      </c>
      <c r="D1102" s="3">
        <v>45838</v>
      </c>
      <c r="E1102" s="6">
        <v>0.67259999999999998</v>
      </c>
      <c r="F1102">
        <v>0</v>
      </c>
      <c r="G1102" t="s">
        <v>17</v>
      </c>
      <c r="H1102" s="6">
        <v>0.7</v>
      </c>
      <c r="I1102" s="8">
        <v>-4.7983014861995812E-2</v>
      </c>
      <c r="J1102" s="5">
        <f t="shared" si="204"/>
        <v>1.9288787744816144E-2</v>
      </c>
      <c r="K1102" s="5" cm="1">
        <f t="array" ref="K1102">_xlfn.STDEV.S(IF($C:$C=C1102,$I:$I))</f>
        <v>0.27585788879837708</v>
      </c>
      <c r="L1102" s="7">
        <f t="shared" si="207"/>
        <v>-0.24386397974639951</v>
      </c>
      <c r="M1102">
        <f t="shared" si="205"/>
        <v>0</v>
      </c>
      <c r="N1102" s="9">
        <f t="shared" si="208"/>
        <v>3.9142857142857118E-2</v>
      </c>
      <c r="O1102">
        <f>COUNTIFS($B$2:B1102,B1102,$C$2:C1102,C1102,$D$2:D1102,"&lt;"&amp;D1102,$F$2:F1102,1)</f>
        <v>0</v>
      </c>
      <c r="P1102">
        <f t="shared" si="206"/>
        <v>0</v>
      </c>
      <c r="Q1102" t="str">
        <f t="shared" si="209"/>
        <v>Monitor</v>
      </c>
      <c r="R1102">
        <v>0</v>
      </c>
      <c r="S1102">
        <f t="shared" si="210"/>
        <v>0</v>
      </c>
      <c r="T1102">
        <f t="shared" si="211"/>
        <v>0</v>
      </c>
      <c r="U1102" t="str">
        <f t="shared" si="212"/>
        <v>Not Improved Enough</v>
      </c>
      <c r="V1102" t="str">
        <f t="shared" si="213"/>
        <v>Far</v>
      </c>
      <c r="W1102" t="str">
        <f t="shared" si="214"/>
        <v>Normal</v>
      </c>
      <c r="X1102" t="str">
        <f t="shared" si="215"/>
        <v>Allowed</v>
      </c>
    </row>
    <row r="1103" spans="1:24" x14ac:dyDescent="0.3">
      <c r="A1103" t="s">
        <v>23</v>
      </c>
      <c r="B1103" t="s">
        <v>32</v>
      </c>
      <c r="C1103" t="s">
        <v>27</v>
      </c>
      <c r="D1103" s="3">
        <v>45869</v>
      </c>
      <c r="E1103" s="6">
        <v>0.79100000000000004</v>
      </c>
      <c r="F1103">
        <v>0</v>
      </c>
      <c r="G1103" t="s">
        <v>17</v>
      </c>
      <c r="H1103" s="6">
        <v>0.7</v>
      </c>
      <c r="I1103" s="8">
        <v>0.17603330359797811</v>
      </c>
      <c r="J1103" s="5">
        <f t="shared" si="204"/>
        <v>1.9288787744816144E-2</v>
      </c>
      <c r="K1103" s="5" cm="1">
        <f t="array" ref="K1103">_xlfn.STDEV.S(IF($C:$C=C1103,$I:$I))</f>
        <v>0.27585788879837708</v>
      </c>
      <c r="L1103" s="7">
        <f t="shared" si="207"/>
        <v>0.56820748007582123</v>
      </c>
      <c r="M1103">
        <f t="shared" si="205"/>
        <v>-1</v>
      </c>
      <c r="N1103" s="9">
        <f t="shared" si="208"/>
        <v>-0.13000000000000012</v>
      </c>
      <c r="O1103">
        <f>COUNTIFS($B$2:B1103,B1103,$C$2:C1103,C1103,$D$2:D1103,"&lt;"&amp;D1103,$F$2:F1103,1)</f>
        <v>0</v>
      </c>
      <c r="P1103">
        <f t="shared" si="206"/>
        <v>0</v>
      </c>
      <c r="Q1103" t="str">
        <f t="shared" si="209"/>
        <v>Monitor</v>
      </c>
      <c r="R1103">
        <v>0</v>
      </c>
      <c r="S1103">
        <f t="shared" si="210"/>
        <v>0</v>
      </c>
      <c r="T1103">
        <f t="shared" si="211"/>
        <v>0</v>
      </c>
      <c r="U1103" t="str">
        <f t="shared" si="212"/>
        <v>Improved Enough</v>
      </c>
      <c r="V1103" t="str">
        <f t="shared" si="213"/>
        <v>Close</v>
      </c>
      <c r="W1103" t="str">
        <f t="shared" si="214"/>
        <v>Normal</v>
      </c>
      <c r="X1103" t="str">
        <f t="shared" si="215"/>
        <v>Allowed</v>
      </c>
    </row>
    <row r="1104" spans="1:24" x14ac:dyDescent="0.3">
      <c r="A1104" t="s">
        <v>23</v>
      </c>
      <c r="B1104" t="s">
        <v>32</v>
      </c>
      <c r="C1104" t="s">
        <v>27</v>
      </c>
      <c r="D1104" s="3">
        <v>45900</v>
      </c>
      <c r="E1104" s="6">
        <v>0.76700000000000002</v>
      </c>
      <c r="F1104">
        <v>0</v>
      </c>
      <c r="G1104" t="s">
        <v>17</v>
      </c>
      <c r="H1104" s="6">
        <v>0.7</v>
      </c>
      <c r="I1104" s="8">
        <v>-3.034134007585338E-2</v>
      </c>
      <c r="J1104" s="5">
        <f t="shared" si="204"/>
        <v>1.9288787744816144E-2</v>
      </c>
      <c r="K1104" s="5" cm="1">
        <f t="array" ref="K1104">_xlfn.STDEV.S(IF($C:$C=C1104,$I:$I))</f>
        <v>0.27585788879837708</v>
      </c>
      <c r="L1104" s="7">
        <f t="shared" si="207"/>
        <v>-0.17991193957459706</v>
      </c>
      <c r="M1104">
        <f t="shared" si="205"/>
        <v>0</v>
      </c>
      <c r="N1104" s="9">
        <f t="shared" si="208"/>
        <v>-9.5714285714285807E-2</v>
      </c>
      <c r="O1104">
        <f>COUNTIFS($B$2:B1104,B1104,$C$2:C1104,C1104,$D$2:D1104,"&lt;"&amp;D1104,$F$2:F1104,1)</f>
        <v>0</v>
      </c>
      <c r="P1104">
        <f t="shared" si="206"/>
        <v>0</v>
      </c>
      <c r="Q1104" t="str">
        <f t="shared" si="209"/>
        <v>Monitor</v>
      </c>
      <c r="R1104">
        <v>0</v>
      </c>
      <c r="S1104">
        <f t="shared" si="210"/>
        <v>0</v>
      </c>
      <c r="T1104">
        <f t="shared" si="211"/>
        <v>0</v>
      </c>
      <c r="U1104" t="str">
        <f t="shared" si="212"/>
        <v>Not Improved Enough</v>
      </c>
      <c r="V1104" t="str">
        <f t="shared" si="213"/>
        <v>Close</v>
      </c>
      <c r="W1104" t="str">
        <f t="shared" si="214"/>
        <v>Normal</v>
      </c>
      <c r="X1104" t="str">
        <f t="shared" si="215"/>
        <v>Allowed</v>
      </c>
    </row>
    <row r="1105" spans="1:24" x14ac:dyDescent="0.3">
      <c r="A1105" t="s">
        <v>23</v>
      </c>
      <c r="B1105" t="s">
        <v>32</v>
      </c>
      <c r="C1105" t="s">
        <v>27</v>
      </c>
      <c r="D1105" s="3">
        <v>45930</v>
      </c>
      <c r="E1105" s="6">
        <v>0.629</v>
      </c>
      <c r="F1105">
        <v>0</v>
      </c>
      <c r="G1105" t="s">
        <v>17</v>
      </c>
      <c r="H1105" s="6">
        <v>0.7</v>
      </c>
      <c r="I1105" s="8">
        <v>-0.17992177314211211</v>
      </c>
      <c r="J1105" s="5">
        <f t="shared" si="204"/>
        <v>1.9288787744816144E-2</v>
      </c>
      <c r="K1105" s="5" cm="1">
        <f t="array" ref="K1105">_xlfn.STDEV.S(IF($C:$C=C1105,$I:$I))</f>
        <v>0.27585788879837708</v>
      </c>
      <c r="L1105" s="7">
        <f t="shared" si="207"/>
        <v>-0.72214922601880016</v>
      </c>
      <c r="M1105">
        <f t="shared" si="205"/>
        <v>1</v>
      </c>
      <c r="N1105" s="9">
        <f t="shared" si="208"/>
        <v>0.10142857142857137</v>
      </c>
      <c r="O1105">
        <f>COUNTIFS($B$2:B1105,B1105,$C$2:C1105,C1105,$D$2:D1105,"&lt;"&amp;D1105,$F$2:F1105,1)</f>
        <v>0</v>
      </c>
      <c r="P1105">
        <f t="shared" si="206"/>
        <v>0</v>
      </c>
      <c r="Q1105" t="str">
        <f t="shared" si="209"/>
        <v>Intervene</v>
      </c>
      <c r="R1105">
        <v>0</v>
      </c>
      <c r="S1105">
        <f t="shared" si="210"/>
        <v>1</v>
      </c>
      <c r="T1105">
        <f t="shared" si="211"/>
        <v>1</v>
      </c>
      <c r="U1105" t="str">
        <f t="shared" si="212"/>
        <v>Not Improved Enough</v>
      </c>
      <c r="V1105" t="str">
        <f t="shared" si="213"/>
        <v>Far</v>
      </c>
      <c r="W1105" t="str">
        <f t="shared" si="214"/>
        <v>Abnormal</v>
      </c>
      <c r="X1105" t="str">
        <f t="shared" si="215"/>
        <v>Allowed</v>
      </c>
    </row>
    <row r="1106" spans="1:24" x14ac:dyDescent="0.3">
      <c r="A1106" t="s">
        <v>23</v>
      </c>
      <c r="B1106" t="s">
        <v>32</v>
      </c>
      <c r="C1106" t="s">
        <v>27</v>
      </c>
      <c r="D1106" s="3">
        <v>45961</v>
      </c>
      <c r="E1106" s="6">
        <v>0.63500000000000001</v>
      </c>
      <c r="F1106">
        <v>0</v>
      </c>
      <c r="G1106" t="s">
        <v>17</v>
      </c>
      <c r="H1106" s="6">
        <v>0.7</v>
      </c>
      <c r="I1106" s="8">
        <v>9.5389507154213116E-3</v>
      </c>
      <c r="J1106" s="5">
        <f t="shared" si="204"/>
        <v>1.9288787744816144E-2</v>
      </c>
      <c r="K1106" s="5" cm="1">
        <f t="array" ref="K1106">_xlfn.STDEV.S(IF($C:$C=C1106,$I:$I))</f>
        <v>0.27585788879837708</v>
      </c>
      <c r="L1106" s="7">
        <f t="shared" si="207"/>
        <v>-3.5343694798305847E-2</v>
      </c>
      <c r="M1106">
        <f t="shared" si="205"/>
        <v>0</v>
      </c>
      <c r="N1106" s="9">
        <f t="shared" si="208"/>
        <v>9.2857142857142791E-2</v>
      </c>
      <c r="O1106">
        <f>COUNTIFS($B$2:B1106,B1106,$C$2:C1106,C1106,$D$2:D1106,"&lt;"&amp;D1106,$F$2:F1106,1)</f>
        <v>0</v>
      </c>
      <c r="P1106">
        <f t="shared" si="206"/>
        <v>0</v>
      </c>
      <c r="Q1106" t="str">
        <f t="shared" si="209"/>
        <v>Monitor</v>
      </c>
      <c r="R1106">
        <v>0</v>
      </c>
      <c r="S1106">
        <f t="shared" si="210"/>
        <v>0</v>
      </c>
      <c r="T1106">
        <f t="shared" si="211"/>
        <v>0</v>
      </c>
      <c r="U1106" t="str">
        <f t="shared" si="212"/>
        <v>Not Improved Enough</v>
      </c>
      <c r="V1106" t="str">
        <f t="shared" si="213"/>
        <v>Far</v>
      </c>
      <c r="W1106" t="str">
        <f t="shared" si="214"/>
        <v>Normal</v>
      </c>
      <c r="X1106" t="str">
        <f t="shared" si="215"/>
        <v>Allowed</v>
      </c>
    </row>
    <row r="1107" spans="1:24" x14ac:dyDescent="0.3">
      <c r="A1107" t="s">
        <v>23</v>
      </c>
      <c r="B1107" t="s">
        <v>32</v>
      </c>
      <c r="C1107" t="s">
        <v>27</v>
      </c>
      <c r="D1107" s="3">
        <v>45991</v>
      </c>
      <c r="E1107" s="6">
        <v>0.73299999999999998</v>
      </c>
      <c r="F1107">
        <v>0</v>
      </c>
      <c r="G1107" t="s">
        <v>17</v>
      </c>
      <c r="H1107" s="6">
        <v>0.7</v>
      </c>
      <c r="I1107" s="8">
        <v>0.15433070866141729</v>
      </c>
      <c r="J1107" s="5">
        <f t="shared" si="204"/>
        <v>1.9288787744816144E-2</v>
      </c>
      <c r="K1107" s="5" cm="1">
        <f t="array" ref="K1107">_xlfn.STDEV.S(IF($C:$C=C1107,$I:$I))</f>
        <v>0.27585788879837708</v>
      </c>
      <c r="L1107" s="7">
        <f t="shared" si="207"/>
        <v>0.48953438128899218</v>
      </c>
      <c r="M1107">
        <f t="shared" si="205"/>
        <v>0</v>
      </c>
      <c r="N1107" s="9">
        <f t="shared" si="208"/>
        <v>-4.7142857142857188E-2</v>
      </c>
      <c r="O1107">
        <f>COUNTIFS($B$2:B1107,B1107,$C$2:C1107,C1107,$D$2:D1107,"&lt;"&amp;D1107,$F$2:F1107,1)</f>
        <v>0</v>
      </c>
      <c r="P1107">
        <f t="shared" si="206"/>
        <v>0</v>
      </c>
      <c r="Q1107" t="str">
        <f t="shared" si="209"/>
        <v>Monitor</v>
      </c>
      <c r="R1107">
        <v>0</v>
      </c>
      <c r="S1107">
        <f t="shared" si="210"/>
        <v>0</v>
      </c>
      <c r="T1107">
        <f t="shared" si="211"/>
        <v>0</v>
      </c>
      <c r="U1107" t="str">
        <f t="shared" si="212"/>
        <v>Improved Enough</v>
      </c>
      <c r="V1107" t="str">
        <f t="shared" si="213"/>
        <v>Close</v>
      </c>
      <c r="W1107" t="str">
        <f t="shared" si="214"/>
        <v>Normal</v>
      </c>
      <c r="X1107" t="str">
        <f t="shared" si="215"/>
        <v>Allowed</v>
      </c>
    </row>
    <row r="1108" spans="1:24" x14ac:dyDescent="0.3">
      <c r="A1108" t="s">
        <v>10</v>
      </c>
      <c r="B1108" t="s">
        <v>33</v>
      </c>
      <c r="C1108" t="s">
        <v>12</v>
      </c>
      <c r="D1108" s="3">
        <v>45535</v>
      </c>
      <c r="E1108" s="6">
        <v>0.32035410470986919</v>
      </c>
      <c r="F1108">
        <v>0</v>
      </c>
      <c r="G1108" t="s">
        <v>13</v>
      </c>
      <c r="H1108" s="6">
        <v>0.27</v>
      </c>
      <c r="I1108" s="8">
        <v>1.3492893699426359E-2</v>
      </c>
      <c r="J1108" s="5">
        <f t="shared" si="204"/>
        <v>1.2504550363164104E-2</v>
      </c>
      <c r="K1108" s="5" cm="1">
        <f t="array" ref="K1108">_xlfn.STDEV.S(IF($C:$C=C1108,$I:$I))</f>
        <v>5.3924507863027986E-2</v>
      </c>
      <c r="L1108" s="7">
        <f t="shared" si="207"/>
        <v>1.8328277353457097E-2</v>
      </c>
      <c r="M1108">
        <f t="shared" si="205"/>
        <v>0</v>
      </c>
      <c r="N1108" s="9">
        <f t="shared" si="208"/>
        <v>0.18649668411062656</v>
      </c>
      <c r="O1108">
        <f>COUNTIFS($B$2:B1108,B1108,$C$2:C1108,C1108,$D$2:D1108,"&lt;"&amp;D1108,$F$2:F1108,1)</f>
        <v>0</v>
      </c>
      <c r="P1108">
        <f t="shared" si="206"/>
        <v>0</v>
      </c>
      <c r="Q1108" t="str">
        <f t="shared" si="209"/>
        <v>Monitor</v>
      </c>
      <c r="R1108">
        <v>0</v>
      </c>
      <c r="S1108">
        <f t="shared" si="210"/>
        <v>0</v>
      </c>
      <c r="T1108">
        <f t="shared" si="211"/>
        <v>0</v>
      </c>
      <c r="U1108" t="str">
        <f t="shared" si="212"/>
        <v>Improved Enough</v>
      </c>
      <c r="V1108" t="str">
        <f t="shared" si="213"/>
        <v>Far</v>
      </c>
      <c r="W1108" t="str">
        <f t="shared" si="214"/>
        <v>Normal</v>
      </c>
      <c r="X1108" t="str">
        <f t="shared" si="215"/>
        <v>Allowed</v>
      </c>
    </row>
    <row r="1109" spans="1:24" x14ac:dyDescent="0.3">
      <c r="A1109" t="s">
        <v>10</v>
      </c>
      <c r="B1109" t="s">
        <v>33</v>
      </c>
      <c r="C1109" t="s">
        <v>12</v>
      </c>
      <c r="D1109" s="3">
        <v>45565</v>
      </c>
      <c r="E1109" s="6">
        <v>0.31469529179971473</v>
      </c>
      <c r="F1109">
        <v>0</v>
      </c>
      <c r="G1109" t="s">
        <v>13</v>
      </c>
      <c r="H1109" s="6">
        <v>0.27</v>
      </c>
      <c r="I1109" s="8">
        <v>1.7664243494802119E-2</v>
      </c>
      <c r="J1109" s="5">
        <f t="shared" si="204"/>
        <v>1.2504550363164104E-2</v>
      </c>
      <c r="K1109" s="5" cm="1">
        <f t="array" ref="K1109">_xlfn.STDEV.S(IF($C:$C=C1109,$I:$I))</f>
        <v>5.3924507863027986E-2</v>
      </c>
      <c r="L1109" s="7">
        <f t="shared" si="207"/>
        <v>9.5683638777826124E-2</v>
      </c>
      <c r="M1109">
        <f t="shared" si="205"/>
        <v>0</v>
      </c>
      <c r="N1109" s="9">
        <f t="shared" si="208"/>
        <v>0.16553811777672114</v>
      </c>
      <c r="O1109">
        <f>COUNTIFS($B$2:B1109,B1109,$C$2:C1109,C1109,$D$2:D1109,"&lt;"&amp;D1109,$F$2:F1109,1)</f>
        <v>0</v>
      </c>
      <c r="P1109">
        <f t="shared" si="206"/>
        <v>0</v>
      </c>
      <c r="Q1109" t="str">
        <f t="shared" si="209"/>
        <v>Monitor</v>
      </c>
      <c r="R1109">
        <v>0</v>
      </c>
      <c r="S1109">
        <f t="shared" si="210"/>
        <v>0</v>
      </c>
      <c r="T1109">
        <f t="shared" si="211"/>
        <v>0</v>
      </c>
      <c r="U1109" t="str">
        <f t="shared" si="212"/>
        <v>Improved Enough</v>
      </c>
      <c r="V1109" t="str">
        <f t="shared" si="213"/>
        <v>Far</v>
      </c>
      <c r="W1109" t="str">
        <f t="shared" si="214"/>
        <v>Normal</v>
      </c>
      <c r="X1109" t="str">
        <f t="shared" si="215"/>
        <v>Allowed</v>
      </c>
    </row>
    <row r="1110" spans="1:24" x14ac:dyDescent="0.3">
      <c r="A1110" t="s">
        <v>10</v>
      </c>
      <c r="B1110" t="s">
        <v>33</v>
      </c>
      <c r="C1110" t="s">
        <v>12</v>
      </c>
      <c r="D1110" s="3">
        <v>45596</v>
      </c>
      <c r="E1110" s="6">
        <v>0.31744326574459508</v>
      </c>
      <c r="F1110">
        <v>1</v>
      </c>
      <c r="G1110" t="s">
        <v>13</v>
      </c>
      <c r="H1110" s="6">
        <v>0.27</v>
      </c>
      <c r="I1110" s="8">
        <v>-8.7321736819287437E-3</v>
      </c>
      <c r="J1110" s="5">
        <f t="shared" si="204"/>
        <v>1.2504550363164104E-2</v>
      </c>
      <c r="K1110" s="5" cm="1">
        <f t="array" ref="K1110">_xlfn.STDEV.S(IF($C:$C=C1110,$I:$I))</f>
        <v>5.3924507863027986E-2</v>
      </c>
      <c r="L1110" s="7">
        <f t="shared" si="207"/>
        <v>-0.39382323338092595</v>
      </c>
      <c r="M1110">
        <f t="shared" si="205"/>
        <v>0</v>
      </c>
      <c r="N1110" s="9">
        <f t="shared" si="208"/>
        <v>0.17571579905405579</v>
      </c>
      <c r="O1110">
        <f>COUNTIFS($B$2:B1110,B1110,$C$2:C1110,C1110,$D$2:D1110,"&lt;"&amp;D1110,$F$2:F1110,1)</f>
        <v>0</v>
      </c>
      <c r="P1110">
        <f t="shared" si="206"/>
        <v>0</v>
      </c>
      <c r="Q1110" t="str">
        <f t="shared" si="209"/>
        <v>Monitor</v>
      </c>
      <c r="R1110">
        <v>0</v>
      </c>
      <c r="S1110">
        <f t="shared" si="210"/>
        <v>0</v>
      </c>
      <c r="T1110">
        <f t="shared" si="211"/>
        <v>0</v>
      </c>
      <c r="U1110" t="str">
        <f t="shared" si="212"/>
        <v>Not Improved Enough</v>
      </c>
      <c r="V1110" t="str">
        <f t="shared" si="213"/>
        <v>Far</v>
      </c>
      <c r="W1110" t="str">
        <f t="shared" si="214"/>
        <v>Normal</v>
      </c>
      <c r="X1110" t="str">
        <f t="shared" si="215"/>
        <v>Allowed</v>
      </c>
    </row>
    <row r="1111" spans="1:24" x14ac:dyDescent="0.3">
      <c r="A1111" t="s">
        <v>10</v>
      </c>
      <c r="B1111" t="s">
        <v>33</v>
      </c>
      <c r="C1111" t="s">
        <v>12</v>
      </c>
      <c r="D1111" s="3">
        <v>45626</v>
      </c>
      <c r="E1111" s="6">
        <v>0.31360553299999999</v>
      </c>
      <c r="F1111">
        <v>0</v>
      </c>
      <c r="G1111" t="s">
        <v>13</v>
      </c>
      <c r="H1111" s="6">
        <v>0.27</v>
      </c>
      <c r="I1111" s="8">
        <v>1.208950750803707E-2</v>
      </c>
      <c r="J1111" s="5">
        <f t="shared" si="204"/>
        <v>1.2504550363164104E-2</v>
      </c>
      <c r="K1111" s="5" cm="1">
        <f t="array" ref="K1111">_xlfn.STDEV.S(IF($C:$C=C1111,$I:$I))</f>
        <v>5.3924507863027986E-2</v>
      </c>
      <c r="L1111" s="7">
        <f t="shared" si="207"/>
        <v>-7.6967388590967233E-3</v>
      </c>
      <c r="M1111">
        <f t="shared" si="205"/>
        <v>0</v>
      </c>
      <c r="N1111" s="9">
        <f t="shared" si="208"/>
        <v>0.16150197407407396</v>
      </c>
      <c r="O1111">
        <f>COUNTIFS($B$2:B1111,B1111,$C$2:C1111,C1111,$D$2:D1111,"&lt;"&amp;D1111,$F$2:F1111,1)</f>
        <v>1</v>
      </c>
      <c r="P1111">
        <f t="shared" si="206"/>
        <v>1</v>
      </c>
      <c r="Q1111" t="str">
        <f t="shared" si="209"/>
        <v>Monitor</v>
      </c>
      <c r="R1111">
        <v>1</v>
      </c>
      <c r="S1111">
        <f t="shared" si="210"/>
        <v>0</v>
      </c>
      <c r="T1111">
        <f t="shared" si="211"/>
        <v>0</v>
      </c>
      <c r="U1111" t="str">
        <f t="shared" si="212"/>
        <v>Improved Enough</v>
      </c>
      <c r="V1111" t="str">
        <f t="shared" si="213"/>
        <v>Far</v>
      </c>
      <c r="W1111" t="str">
        <f t="shared" si="214"/>
        <v>Normal</v>
      </c>
      <c r="X1111" t="str">
        <f t="shared" si="215"/>
        <v>Allowed</v>
      </c>
    </row>
    <row r="1112" spans="1:24" x14ac:dyDescent="0.3">
      <c r="A1112" t="s">
        <v>10</v>
      </c>
      <c r="B1112" t="s">
        <v>33</v>
      </c>
      <c r="C1112" t="s">
        <v>12</v>
      </c>
      <c r="D1112" s="3">
        <v>45657</v>
      </c>
      <c r="E1112" s="6">
        <v>0.31303658697662129</v>
      </c>
      <c r="F1112">
        <v>0</v>
      </c>
      <c r="G1112" t="s">
        <v>13</v>
      </c>
      <c r="H1112" s="6">
        <v>0.27</v>
      </c>
      <c r="I1112" s="8">
        <v>1.814209136988353E-3</v>
      </c>
      <c r="J1112" s="5">
        <f t="shared" si="204"/>
        <v>1.2504550363164104E-2</v>
      </c>
      <c r="K1112" s="5" cm="1">
        <f t="array" ref="K1112">_xlfn.STDEV.S(IF($C:$C=C1112,$I:$I))</f>
        <v>5.3924507863027986E-2</v>
      </c>
      <c r="L1112" s="7">
        <f t="shared" si="207"/>
        <v>-0.19824643097958286</v>
      </c>
      <c r="M1112">
        <f t="shared" si="205"/>
        <v>0</v>
      </c>
      <c r="N1112" s="9">
        <f t="shared" si="208"/>
        <v>0.15939476658007878</v>
      </c>
      <c r="O1112">
        <f>COUNTIFS($B$2:B1112,B1112,$C$2:C1112,C1112,$D$2:D1112,"&lt;"&amp;D1112,$F$2:F1112,1)</f>
        <v>1</v>
      </c>
      <c r="P1112">
        <f t="shared" si="206"/>
        <v>0</v>
      </c>
      <c r="Q1112" t="str">
        <f t="shared" si="209"/>
        <v>Monitor</v>
      </c>
      <c r="R1112">
        <v>0</v>
      </c>
      <c r="S1112">
        <f t="shared" si="210"/>
        <v>0</v>
      </c>
      <c r="T1112">
        <f t="shared" si="211"/>
        <v>0</v>
      </c>
      <c r="U1112" t="str">
        <f t="shared" si="212"/>
        <v>Not Improved Enough</v>
      </c>
      <c r="V1112" t="str">
        <f t="shared" si="213"/>
        <v>Far</v>
      </c>
      <c r="W1112" t="str">
        <f t="shared" si="214"/>
        <v>Normal</v>
      </c>
      <c r="X1112" t="str">
        <f t="shared" si="215"/>
        <v>Allowed</v>
      </c>
    </row>
    <row r="1113" spans="1:24" x14ac:dyDescent="0.3">
      <c r="A1113" t="s">
        <v>10</v>
      </c>
      <c r="B1113" t="s">
        <v>33</v>
      </c>
      <c r="C1113" t="s">
        <v>12</v>
      </c>
      <c r="D1113" s="3">
        <v>45688</v>
      </c>
      <c r="E1113" s="6">
        <v>0.30964165511779851</v>
      </c>
      <c r="F1113">
        <v>0</v>
      </c>
      <c r="G1113" t="s">
        <v>13</v>
      </c>
      <c r="H1113" s="6">
        <v>0.27</v>
      </c>
      <c r="I1113" s="8">
        <v>1.084515995913387E-2</v>
      </c>
      <c r="J1113" s="5">
        <f t="shared" si="204"/>
        <v>1.2504550363164104E-2</v>
      </c>
      <c r="K1113" s="5" cm="1">
        <f t="array" ref="K1113">_xlfn.STDEV.S(IF($C:$C=C1113,$I:$I))</f>
        <v>5.3924507863027986E-2</v>
      </c>
      <c r="L1113" s="7">
        <f t="shared" si="207"/>
        <v>-3.077247192028534E-2</v>
      </c>
      <c r="M1113">
        <f t="shared" si="205"/>
        <v>0</v>
      </c>
      <c r="N1113" s="9">
        <f t="shared" si="208"/>
        <v>0.14682094488073513</v>
      </c>
      <c r="O1113">
        <f>COUNTIFS($B$2:B1113,B1113,$C$2:C1113,C1113,$D$2:D1113,"&lt;"&amp;D1113,$F$2:F1113,1)</f>
        <v>1</v>
      </c>
      <c r="P1113">
        <f t="shared" si="206"/>
        <v>0</v>
      </c>
      <c r="Q1113" t="str">
        <f t="shared" si="209"/>
        <v>Monitor</v>
      </c>
      <c r="R1113">
        <v>0</v>
      </c>
      <c r="S1113">
        <f t="shared" si="210"/>
        <v>0</v>
      </c>
      <c r="T1113">
        <f t="shared" si="211"/>
        <v>0</v>
      </c>
      <c r="U1113" t="str">
        <f t="shared" si="212"/>
        <v>Improved Enough</v>
      </c>
      <c r="V1113" t="str">
        <f t="shared" si="213"/>
        <v>Far</v>
      </c>
      <c r="W1113" t="str">
        <f t="shared" si="214"/>
        <v>Normal</v>
      </c>
      <c r="X1113" t="str">
        <f t="shared" si="215"/>
        <v>Allowed</v>
      </c>
    </row>
    <row r="1114" spans="1:24" x14ac:dyDescent="0.3">
      <c r="A1114" t="s">
        <v>10</v>
      </c>
      <c r="B1114" t="s">
        <v>33</v>
      </c>
      <c r="C1114" t="s">
        <v>12</v>
      </c>
      <c r="D1114" s="3">
        <v>45716</v>
      </c>
      <c r="E1114" s="6">
        <v>0.29650238473767893</v>
      </c>
      <c r="F1114">
        <v>0</v>
      </c>
      <c r="G1114" t="s">
        <v>13</v>
      </c>
      <c r="H1114" s="6">
        <v>0.27</v>
      </c>
      <c r="I1114" s="8">
        <v>4.2433794558813298E-2</v>
      </c>
      <c r="J1114" s="5">
        <f t="shared" si="204"/>
        <v>1.2504550363164104E-2</v>
      </c>
      <c r="K1114" s="5" cm="1">
        <f t="array" ref="K1114">_xlfn.STDEV.S(IF($C:$C=C1114,$I:$I))</f>
        <v>5.3924507863027986E-2</v>
      </c>
      <c r="L1114" s="7">
        <f t="shared" si="207"/>
        <v>0.55502118390531374</v>
      </c>
      <c r="M1114">
        <f t="shared" si="205"/>
        <v>-1</v>
      </c>
      <c r="N1114" s="9">
        <f t="shared" si="208"/>
        <v>9.8156980509921873E-2</v>
      </c>
      <c r="O1114">
        <f>COUNTIFS($B$2:B1114,B1114,$C$2:C1114,C1114,$D$2:D1114,"&lt;"&amp;D1114,$F$2:F1114,1)</f>
        <v>1</v>
      </c>
      <c r="P1114">
        <f t="shared" si="206"/>
        <v>0</v>
      </c>
      <c r="Q1114" t="str">
        <f t="shared" si="209"/>
        <v>Monitor</v>
      </c>
      <c r="R1114">
        <v>0</v>
      </c>
      <c r="S1114">
        <f t="shared" si="210"/>
        <v>0</v>
      </c>
      <c r="T1114">
        <f t="shared" si="211"/>
        <v>0</v>
      </c>
      <c r="U1114" t="str">
        <f t="shared" si="212"/>
        <v>Improved Enough</v>
      </c>
      <c r="V1114" t="str">
        <f t="shared" si="213"/>
        <v>Far</v>
      </c>
      <c r="W1114" t="str">
        <f t="shared" si="214"/>
        <v>Normal</v>
      </c>
      <c r="X1114" t="str">
        <f t="shared" si="215"/>
        <v>Allowed</v>
      </c>
    </row>
    <row r="1115" spans="1:24" x14ac:dyDescent="0.3">
      <c r="A1115" t="s">
        <v>10</v>
      </c>
      <c r="B1115" t="s">
        <v>33</v>
      </c>
      <c r="C1115" t="s">
        <v>12</v>
      </c>
      <c r="D1115" s="3">
        <v>45747</v>
      </c>
      <c r="E1115" s="6">
        <v>0.29007125258040878</v>
      </c>
      <c r="F1115">
        <v>0</v>
      </c>
      <c r="G1115" t="s">
        <v>13</v>
      </c>
      <c r="H1115" s="6">
        <v>0.27</v>
      </c>
      <c r="I1115" s="8">
        <v>2.1689984594760979E-2</v>
      </c>
      <c r="J1115" s="5">
        <f t="shared" si="204"/>
        <v>1.2504550363164104E-2</v>
      </c>
      <c r="K1115" s="5" cm="1">
        <f t="array" ref="K1115">_xlfn.STDEV.S(IF($C:$C=C1115,$I:$I))</f>
        <v>5.3924507863027986E-2</v>
      </c>
      <c r="L1115" s="7">
        <f t="shared" si="207"/>
        <v>0.17033876794811958</v>
      </c>
      <c r="M1115">
        <f t="shared" si="205"/>
        <v>0</v>
      </c>
      <c r="N1115" s="9">
        <f t="shared" si="208"/>
        <v>7.4337972520032436E-2</v>
      </c>
      <c r="O1115">
        <f>COUNTIFS($B$2:B1115,B1115,$C$2:C1115,C1115,$D$2:D1115,"&lt;"&amp;D1115,$F$2:F1115,1)</f>
        <v>1</v>
      </c>
      <c r="P1115">
        <f t="shared" si="206"/>
        <v>0</v>
      </c>
      <c r="Q1115" t="str">
        <f t="shared" si="209"/>
        <v>Monitor</v>
      </c>
      <c r="R1115">
        <v>0</v>
      </c>
      <c r="S1115">
        <f t="shared" si="210"/>
        <v>0</v>
      </c>
      <c r="T1115">
        <f t="shared" si="211"/>
        <v>0</v>
      </c>
      <c r="U1115" t="str">
        <f t="shared" si="212"/>
        <v>Improved Enough</v>
      </c>
      <c r="V1115" t="str">
        <f t="shared" si="213"/>
        <v>Far</v>
      </c>
      <c r="W1115" t="str">
        <f t="shared" si="214"/>
        <v>Normal</v>
      </c>
      <c r="X1115" t="str">
        <f t="shared" si="215"/>
        <v>Allowed</v>
      </c>
    </row>
    <row r="1116" spans="1:24" x14ac:dyDescent="0.3">
      <c r="A1116" t="s">
        <v>10</v>
      </c>
      <c r="B1116" t="s">
        <v>33</v>
      </c>
      <c r="C1116" t="s">
        <v>12</v>
      </c>
      <c r="D1116" s="3">
        <v>45777</v>
      </c>
      <c r="E1116" s="6">
        <v>0.28565664716562439</v>
      </c>
      <c r="F1116">
        <v>0</v>
      </c>
      <c r="G1116" t="s">
        <v>13</v>
      </c>
      <c r="H1116" s="6">
        <v>0.27</v>
      </c>
      <c r="I1116" s="8">
        <v>1.5219037996744081E-2</v>
      </c>
      <c r="J1116" s="5">
        <f t="shared" si="204"/>
        <v>1.2504550363164104E-2</v>
      </c>
      <c r="K1116" s="5" cm="1">
        <f t="array" ref="K1116">_xlfn.STDEV.S(IF($C:$C=C1116,$I:$I))</f>
        <v>5.3924507863027986E-2</v>
      </c>
      <c r="L1116" s="7">
        <f t="shared" si="207"/>
        <v>5.0338663089424286E-2</v>
      </c>
      <c r="M1116">
        <f t="shared" si="205"/>
        <v>0</v>
      </c>
      <c r="N1116" s="9">
        <f t="shared" si="208"/>
        <v>5.7987582094905073E-2</v>
      </c>
      <c r="O1116">
        <f>COUNTIFS($B$2:B1116,B1116,$C$2:C1116,C1116,$D$2:D1116,"&lt;"&amp;D1116,$F$2:F1116,1)</f>
        <v>1</v>
      </c>
      <c r="P1116">
        <f t="shared" si="206"/>
        <v>0</v>
      </c>
      <c r="Q1116" t="str">
        <f t="shared" si="209"/>
        <v>Monitor</v>
      </c>
      <c r="R1116">
        <v>0</v>
      </c>
      <c r="S1116">
        <f t="shared" si="210"/>
        <v>0</v>
      </c>
      <c r="T1116">
        <f t="shared" si="211"/>
        <v>0</v>
      </c>
      <c r="U1116" t="str">
        <f t="shared" si="212"/>
        <v>Improved Enough</v>
      </c>
      <c r="V1116" t="str">
        <f t="shared" si="213"/>
        <v>Far</v>
      </c>
      <c r="W1116" t="str">
        <f t="shared" si="214"/>
        <v>Normal</v>
      </c>
      <c r="X1116" t="str">
        <f t="shared" si="215"/>
        <v>Allowed</v>
      </c>
    </row>
    <row r="1117" spans="1:24" x14ac:dyDescent="0.3">
      <c r="A1117" t="s">
        <v>10</v>
      </c>
      <c r="B1117" t="s">
        <v>33</v>
      </c>
      <c r="C1117" t="s">
        <v>12</v>
      </c>
      <c r="D1117" s="3">
        <v>45808</v>
      </c>
      <c r="E1117" s="6">
        <v>0.290302907094938</v>
      </c>
      <c r="F1117">
        <v>1</v>
      </c>
      <c r="G1117" t="s">
        <v>13</v>
      </c>
      <c r="H1117" s="6">
        <v>0.27</v>
      </c>
      <c r="I1117" s="8">
        <v>-1.626519100960987E-2</v>
      </c>
      <c r="J1117" s="5">
        <f t="shared" si="204"/>
        <v>1.2504550363164104E-2</v>
      </c>
      <c r="K1117" s="5" cm="1">
        <f t="array" ref="K1117">_xlfn.STDEV.S(IF($C:$C=C1117,$I:$I))</f>
        <v>5.3924507863027986E-2</v>
      </c>
      <c r="L1117" s="7">
        <f t="shared" si="207"/>
        <v>-0.53351884908901026</v>
      </c>
      <c r="M1117">
        <f t="shared" si="205"/>
        <v>1</v>
      </c>
      <c r="N1117" s="9">
        <f t="shared" si="208"/>
        <v>7.5195952203474012E-2</v>
      </c>
      <c r="O1117">
        <f>COUNTIFS($B$2:B1117,B1117,$C$2:C1117,C1117,$D$2:D1117,"&lt;"&amp;D1117,$F$2:F1117,1)</f>
        <v>1</v>
      </c>
      <c r="P1117">
        <f t="shared" si="206"/>
        <v>0</v>
      </c>
      <c r="Q1117" t="str">
        <f t="shared" si="209"/>
        <v>Intervene</v>
      </c>
      <c r="R1117">
        <v>0</v>
      </c>
      <c r="S1117">
        <f t="shared" si="210"/>
        <v>1</v>
      </c>
      <c r="T1117">
        <f t="shared" si="211"/>
        <v>1</v>
      </c>
      <c r="U1117" t="str">
        <f t="shared" si="212"/>
        <v>Not Improved Enough</v>
      </c>
      <c r="V1117" t="str">
        <f t="shared" si="213"/>
        <v>Far</v>
      </c>
      <c r="W1117" t="str">
        <f t="shared" si="214"/>
        <v>Abnormal</v>
      </c>
      <c r="X1117" t="str">
        <f t="shared" si="215"/>
        <v>Allowed</v>
      </c>
    </row>
    <row r="1118" spans="1:24" x14ac:dyDescent="0.3">
      <c r="A1118" t="s">
        <v>10</v>
      </c>
      <c r="B1118" t="s">
        <v>33</v>
      </c>
      <c r="C1118" t="s">
        <v>12</v>
      </c>
      <c r="D1118" s="3">
        <v>45838</v>
      </c>
      <c r="E1118" s="6">
        <v>0.27922255680262797</v>
      </c>
      <c r="F1118">
        <v>1</v>
      </c>
      <c r="G1118" t="s">
        <v>13</v>
      </c>
      <c r="H1118" s="6">
        <v>0.27</v>
      </c>
      <c r="I1118" s="8">
        <v>3.8168237456493712E-2</v>
      </c>
      <c r="J1118" s="5">
        <f t="shared" si="204"/>
        <v>1.2504550363164104E-2</v>
      </c>
      <c r="K1118" s="5" cm="1">
        <f t="array" ref="K1118">_xlfn.STDEV.S(IF($C:$C=C1118,$I:$I))</f>
        <v>5.3924507863027986E-2</v>
      </c>
      <c r="L1118" s="7">
        <f t="shared" si="207"/>
        <v>0.47591880038139917</v>
      </c>
      <c r="M1118">
        <f t="shared" si="205"/>
        <v>0</v>
      </c>
      <c r="N1118" s="9">
        <f t="shared" si="208"/>
        <v>3.4157617787510947E-2</v>
      </c>
      <c r="O1118">
        <f>COUNTIFS($B$2:B1118,B1118,$C$2:C1118,C1118,$D$2:D1118,"&lt;"&amp;D1118,$F$2:F1118,1)</f>
        <v>2</v>
      </c>
      <c r="P1118">
        <f t="shared" si="206"/>
        <v>1</v>
      </c>
      <c r="Q1118" t="str">
        <f t="shared" si="209"/>
        <v>Monitor</v>
      </c>
      <c r="R1118">
        <v>1</v>
      </c>
      <c r="S1118">
        <f t="shared" si="210"/>
        <v>0</v>
      </c>
      <c r="T1118">
        <f t="shared" si="211"/>
        <v>0</v>
      </c>
      <c r="U1118" t="str">
        <f t="shared" si="212"/>
        <v>Improved Enough</v>
      </c>
      <c r="V1118" t="str">
        <f t="shared" si="213"/>
        <v>Far</v>
      </c>
      <c r="W1118" t="str">
        <f t="shared" si="214"/>
        <v>Normal</v>
      </c>
      <c r="X1118" t="str">
        <f t="shared" si="215"/>
        <v>Allowed</v>
      </c>
    </row>
    <row r="1119" spans="1:24" x14ac:dyDescent="0.3">
      <c r="A1119" t="s">
        <v>10</v>
      </c>
      <c r="B1119" t="s">
        <v>33</v>
      </c>
      <c r="C1119" t="s">
        <v>12</v>
      </c>
      <c r="D1119" s="3">
        <v>45869</v>
      </c>
      <c r="E1119" s="6">
        <v>0.27187694865932238</v>
      </c>
      <c r="F1119">
        <v>0</v>
      </c>
      <c r="G1119" t="s">
        <v>13</v>
      </c>
      <c r="H1119" s="6">
        <v>0.27</v>
      </c>
      <c r="I1119" s="8">
        <v>2.630735936028954E-2</v>
      </c>
      <c r="J1119" s="5">
        <f t="shared" si="204"/>
        <v>1.2504550363164104E-2</v>
      </c>
      <c r="K1119" s="5" cm="1">
        <f t="array" ref="K1119">_xlfn.STDEV.S(IF($C:$C=C1119,$I:$I))</f>
        <v>5.3924507863027986E-2</v>
      </c>
      <c r="L1119" s="7">
        <f t="shared" si="207"/>
        <v>0.25596541431932091</v>
      </c>
      <c r="M1119">
        <f t="shared" si="205"/>
        <v>0</v>
      </c>
      <c r="N1119" s="9">
        <f t="shared" si="208"/>
        <v>6.9516617011939402E-3</v>
      </c>
      <c r="O1119">
        <f>COUNTIFS($B$2:B1119,B1119,$C$2:C1119,C1119,$D$2:D1119,"&lt;"&amp;D1119,$F$2:F1119,1)</f>
        <v>3</v>
      </c>
      <c r="P1119">
        <f t="shared" si="206"/>
        <v>1</v>
      </c>
      <c r="Q1119" t="str">
        <f t="shared" si="209"/>
        <v>Monitor</v>
      </c>
      <c r="R1119">
        <v>1</v>
      </c>
      <c r="S1119">
        <f t="shared" si="210"/>
        <v>0</v>
      </c>
      <c r="T1119">
        <f t="shared" si="211"/>
        <v>0</v>
      </c>
      <c r="U1119" t="str">
        <f t="shared" si="212"/>
        <v>Improved Enough</v>
      </c>
      <c r="V1119" t="str">
        <f t="shared" si="213"/>
        <v>Close</v>
      </c>
      <c r="W1119" t="str">
        <f t="shared" si="214"/>
        <v>Normal</v>
      </c>
      <c r="X1119" t="str">
        <f t="shared" si="215"/>
        <v>Allowed</v>
      </c>
    </row>
    <row r="1120" spans="1:24" x14ac:dyDescent="0.3">
      <c r="A1120" t="s">
        <v>10</v>
      </c>
      <c r="B1120" t="s">
        <v>33</v>
      </c>
      <c r="C1120" t="s">
        <v>12</v>
      </c>
      <c r="D1120" s="3">
        <v>45900</v>
      </c>
      <c r="E1120" s="6">
        <v>0.2699196164151742</v>
      </c>
      <c r="F1120">
        <v>0</v>
      </c>
      <c r="G1120" t="s">
        <v>13</v>
      </c>
      <c r="H1120" s="6">
        <v>0.27</v>
      </c>
      <c r="I1120" s="8">
        <v>7.199331365899766E-3</v>
      </c>
      <c r="J1120" s="5">
        <f t="shared" si="204"/>
        <v>1.2504550363164104E-2</v>
      </c>
      <c r="K1120" s="5" cm="1">
        <f t="array" ref="K1120">_xlfn.STDEV.S(IF($C:$C=C1120,$I:$I))</f>
        <v>5.3924507863027986E-2</v>
      </c>
      <c r="L1120" s="7">
        <f t="shared" si="207"/>
        <v>-9.8382334999513862E-2</v>
      </c>
      <c r="M1120">
        <f t="shared" si="205"/>
        <v>0</v>
      </c>
      <c r="N1120" s="9">
        <f t="shared" si="208"/>
        <v>-2.9771698083635588E-4</v>
      </c>
      <c r="O1120">
        <f>COUNTIFS($B$2:B1120,B1120,$C$2:C1120,C1120,$D$2:D1120,"&lt;"&amp;D1120,$F$2:F1120,1)</f>
        <v>3</v>
      </c>
      <c r="P1120">
        <f t="shared" si="206"/>
        <v>0</v>
      </c>
      <c r="Q1120" t="str">
        <f t="shared" si="209"/>
        <v>Monitor</v>
      </c>
      <c r="R1120">
        <v>0</v>
      </c>
      <c r="S1120">
        <f t="shared" si="210"/>
        <v>0</v>
      </c>
      <c r="T1120">
        <f t="shared" si="211"/>
        <v>0</v>
      </c>
      <c r="U1120" t="str">
        <f t="shared" si="212"/>
        <v>Not Improved Enough</v>
      </c>
      <c r="V1120" t="str">
        <f t="shared" si="213"/>
        <v>Close</v>
      </c>
      <c r="W1120" t="str">
        <f t="shared" si="214"/>
        <v>Normal</v>
      </c>
      <c r="X1120" t="str">
        <f t="shared" si="215"/>
        <v>Allowed</v>
      </c>
    </row>
    <row r="1121" spans="1:24" x14ac:dyDescent="0.3">
      <c r="A1121" t="s">
        <v>10</v>
      </c>
      <c r="B1121" t="s">
        <v>33</v>
      </c>
      <c r="C1121" t="s">
        <v>12</v>
      </c>
      <c r="D1121" s="3">
        <v>45930</v>
      </c>
      <c r="E1121" s="6">
        <v>0.26729898685061437</v>
      </c>
      <c r="F1121">
        <v>0</v>
      </c>
      <c r="G1121" t="s">
        <v>13</v>
      </c>
      <c r="H1121" s="6">
        <v>0.27</v>
      </c>
      <c r="I1121" s="8">
        <v>9.7089259364126143E-3</v>
      </c>
      <c r="J1121" s="5">
        <f t="shared" si="204"/>
        <v>1.2504550363164104E-2</v>
      </c>
      <c r="K1121" s="5" cm="1">
        <f t="array" ref="K1121">_xlfn.STDEV.S(IF($C:$C=C1121,$I:$I))</f>
        <v>5.3924507863027986E-2</v>
      </c>
      <c r="L1121" s="7">
        <f t="shared" si="207"/>
        <v>-5.1843299782217231E-2</v>
      </c>
      <c r="M1121">
        <f t="shared" si="205"/>
        <v>0</v>
      </c>
      <c r="N1121" s="9">
        <f t="shared" si="208"/>
        <v>-1.0003752405132018E-2</v>
      </c>
      <c r="O1121">
        <f>COUNTIFS($B$2:B1121,B1121,$C$2:C1121,C1121,$D$2:D1121,"&lt;"&amp;D1121,$F$2:F1121,1)</f>
        <v>3</v>
      </c>
      <c r="P1121">
        <f t="shared" si="206"/>
        <v>0</v>
      </c>
      <c r="Q1121" t="str">
        <f t="shared" si="209"/>
        <v>Monitor</v>
      </c>
      <c r="R1121">
        <v>0</v>
      </c>
      <c r="S1121">
        <f t="shared" si="210"/>
        <v>0</v>
      </c>
      <c r="T1121">
        <f t="shared" si="211"/>
        <v>0</v>
      </c>
      <c r="U1121" t="str">
        <f t="shared" si="212"/>
        <v>Not Improved Enough</v>
      </c>
      <c r="V1121" t="str">
        <f t="shared" si="213"/>
        <v>Close</v>
      </c>
      <c r="W1121" t="str">
        <f t="shared" si="214"/>
        <v>Normal</v>
      </c>
      <c r="X1121" t="str">
        <f t="shared" si="215"/>
        <v>Allowed</v>
      </c>
    </row>
    <row r="1122" spans="1:24" x14ac:dyDescent="0.3">
      <c r="A1122" t="s">
        <v>10</v>
      </c>
      <c r="B1122" t="s">
        <v>33</v>
      </c>
      <c r="C1122" t="s">
        <v>12</v>
      </c>
      <c r="D1122" s="3">
        <v>45961</v>
      </c>
      <c r="E1122" s="6">
        <v>0.2591754834002189</v>
      </c>
      <c r="F1122">
        <v>0</v>
      </c>
      <c r="G1122" t="s">
        <v>13</v>
      </c>
      <c r="H1122" s="6">
        <v>0.27</v>
      </c>
      <c r="I1122" s="8">
        <v>3.0391074601923071E-2</v>
      </c>
      <c r="J1122" s="5">
        <f t="shared" si="204"/>
        <v>1.2504550363164104E-2</v>
      </c>
      <c r="K1122" s="5" cm="1">
        <f t="array" ref="K1122">_xlfn.STDEV.S(IF($C:$C=C1122,$I:$I))</f>
        <v>5.3924507863027986E-2</v>
      </c>
      <c r="L1122" s="7">
        <f t="shared" si="207"/>
        <v>0.33169564169583121</v>
      </c>
      <c r="M1122">
        <f t="shared" si="205"/>
        <v>0</v>
      </c>
      <c r="N1122" s="9">
        <f t="shared" si="208"/>
        <v>-4.0090802221411551E-2</v>
      </c>
      <c r="O1122">
        <f>COUNTIFS($B$2:B1122,B1122,$C$2:C1122,C1122,$D$2:D1122,"&lt;"&amp;D1122,$F$2:F1122,1)</f>
        <v>3</v>
      </c>
      <c r="P1122">
        <f t="shared" si="206"/>
        <v>0</v>
      </c>
      <c r="Q1122" t="str">
        <f t="shared" si="209"/>
        <v>Monitor</v>
      </c>
      <c r="R1122">
        <v>0</v>
      </c>
      <c r="S1122">
        <f t="shared" si="210"/>
        <v>0</v>
      </c>
      <c r="T1122">
        <f t="shared" si="211"/>
        <v>0</v>
      </c>
      <c r="U1122" t="str">
        <f t="shared" si="212"/>
        <v>Improved Enough</v>
      </c>
      <c r="V1122" t="str">
        <f t="shared" si="213"/>
        <v>Close</v>
      </c>
      <c r="W1122" t="str">
        <f t="shared" si="214"/>
        <v>Normal</v>
      </c>
      <c r="X1122" t="str">
        <f t="shared" si="215"/>
        <v>Allowed</v>
      </c>
    </row>
    <row r="1123" spans="1:24" x14ac:dyDescent="0.3">
      <c r="A1123" t="s">
        <v>10</v>
      </c>
      <c r="B1123" t="s">
        <v>33</v>
      </c>
      <c r="C1123" t="s">
        <v>12</v>
      </c>
      <c r="D1123" s="3">
        <v>45991</v>
      </c>
      <c r="E1123" s="6">
        <v>0.25331456929116358</v>
      </c>
      <c r="F1123">
        <v>0</v>
      </c>
      <c r="G1123" t="s">
        <v>13</v>
      </c>
      <c r="H1123" s="6">
        <v>0.27</v>
      </c>
      <c r="I1123" s="8">
        <v>2.261369027719682E-2</v>
      </c>
      <c r="J1123" s="5">
        <f t="shared" si="204"/>
        <v>1.2504550363164104E-2</v>
      </c>
      <c r="K1123" s="5" cm="1">
        <f t="array" ref="K1123">_xlfn.STDEV.S(IF($C:$C=C1123,$I:$I))</f>
        <v>5.3924507863027986E-2</v>
      </c>
      <c r="L1123" s="7">
        <f t="shared" si="207"/>
        <v>0.18746837596943186</v>
      </c>
      <c r="M1123">
        <f t="shared" si="205"/>
        <v>0</v>
      </c>
      <c r="N1123" s="9">
        <f t="shared" si="208"/>
        <v>-6.1797891514209016E-2</v>
      </c>
      <c r="O1123">
        <f>COUNTIFS($B$2:B1123,B1123,$C$2:C1123,C1123,$D$2:D1123,"&lt;"&amp;D1123,$F$2:F1123,1)</f>
        <v>3</v>
      </c>
      <c r="P1123">
        <f t="shared" si="206"/>
        <v>0</v>
      </c>
      <c r="Q1123" t="str">
        <f t="shared" si="209"/>
        <v>Monitor</v>
      </c>
      <c r="R1123">
        <v>0</v>
      </c>
      <c r="S1123">
        <f t="shared" si="210"/>
        <v>0</v>
      </c>
      <c r="T1123">
        <f t="shared" si="211"/>
        <v>0</v>
      </c>
      <c r="U1123" t="str">
        <f t="shared" si="212"/>
        <v>Improved Enough</v>
      </c>
      <c r="V1123" t="str">
        <f t="shared" si="213"/>
        <v>Close</v>
      </c>
      <c r="W1123" t="str">
        <f t="shared" si="214"/>
        <v>Normal</v>
      </c>
      <c r="X1123" t="str">
        <f t="shared" si="215"/>
        <v>Allowed</v>
      </c>
    </row>
    <row r="1124" spans="1:24" x14ac:dyDescent="0.3">
      <c r="A1124" t="s">
        <v>10</v>
      </c>
      <c r="B1124" t="s">
        <v>33</v>
      </c>
      <c r="C1124" t="s">
        <v>14</v>
      </c>
      <c r="D1124" s="3">
        <v>45535</v>
      </c>
      <c r="E1124" s="6">
        <v>8.2240592930444695E-2</v>
      </c>
      <c r="F1124">
        <v>0</v>
      </c>
      <c r="G1124" t="s">
        <v>13</v>
      </c>
      <c r="H1124" s="6">
        <v>5.3999999999999999E-2</v>
      </c>
      <c r="I1124" s="8">
        <v>1.6357367917682952E-2</v>
      </c>
      <c r="J1124" s="5">
        <f t="shared" si="204"/>
        <v>1.0109678696460058E-2</v>
      </c>
      <c r="K1124" s="5" cm="1">
        <f t="array" ref="K1124">_xlfn.STDEV.S(IF($C:$C=C1124,$I:$I))</f>
        <v>0.17556416633612926</v>
      </c>
      <c r="L1124" s="7">
        <f t="shared" si="207"/>
        <v>3.5586357692499036E-2</v>
      </c>
      <c r="M1124">
        <f t="shared" si="205"/>
        <v>0</v>
      </c>
      <c r="N1124" s="9">
        <f t="shared" si="208"/>
        <v>0.52297394315638324</v>
      </c>
      <c r="O1124">
        <f>COUNTIFS($B$2:B1124,B1124,$C$2:C1124,C1124,$D$2:D1124,"&lt;"&amp;D1124,$F$2:F1124,1)</f>
        <v>0</v>
      </c>
      <c r="P1124">
        <f t="shared" si="206"/>
        <v>0</v>
      </c>
      <c r="Q1124" t="str">
        <f t="shared" si="209"/>
        <v>Monitor</v>
      </c>
      <c r="R1124">
        <v>0</v>
      </c>
      <c r="S1124">
        <f t="shared" si="210"/>
        <v>0</v>
      </c>
      <c r="T1124">
        <f t="shared" si="211"/>
        <v>0</v>
      </c>
      <c r="U1124" t="str">
        <f t="shared" si="212"/>
        <v>Improved Enough</v>
      </c>
      <c r="V1124" t="str">
        <f t="shared" si="213"/>
        <v>Far</v>
      </c>
      <c r="W1124" t="str">
        <f t="shared" si="214"/>
        <v>Normal</v>
      </c>
      <c r="X1124" t="str">
        <f t="shared" si="215"/>
        <v>Allowed</v>
      </c>
    </row>
    <row r="1125" spans="1:24" x14ac:dyDescent="0.3">
      <c r="A1125" t="s">
        <v>10</v>
      </c>
      <c r="B1125" t="s">
        <v>33</v>
      </c>
      <c r="C1125" t="s">
        <v>14</v>
      </c>
      <c r="D1125" s="3">
        <v>45565</v>
      </c>
      <c r="E1125" s="6">
        <v>8.1365576102418208E-2</v>
      </c>
      <c r="F1125">
        <v>0</v>
      </c>
      <c r="G1125" t="s">
        <v>13</v>
      </c>
      <c r="H1125" s="6">
        <v>5.3999999999999999E-2</v>
      </c>
      <c r="I1125" s="8">
        <v>1.0639719350838531E-2</v>
      </c>
      <c r="J1125" s="5">
        <f t="shared" si="204"/>
        <v>1.0109678696460058E-2</v>
      </c>
      <c r="K1125" s="5" cm="1">
        <f t="array" ref="K1125">_xlfn.STDEV.S(IF($C:$C=C1125,$I:$I))</f>
        <v>0.17556416633612926</v>
      </c>
      <c r="L1125" s="7">
        <f t="shared" si="207"/>
        <v>3.0190708356947638E-3</v>
      </c>
      <c r="M1125">
        <f t="shared" si="205"/>
        <v>0</v>
      </c>
      <c r="N1125" s="9">
        <f t="shared" si="208"/>
        <v>0.50676992782255947</v>
      </c>
      <c r="O1125">
        <f>COUNTIFS($B$2:B1125,B1125,$C$2:C1125,C1125,$D$2:D1125,"&lt;"&amp;D1125,$F$2:F1125,1)</f>
        <v>0</v>
      </c>
      <c r="P1125">
        <f t="shared" si="206"/>
        <v>0</v>
      </c>
      <c r="Q1125" t="str">
        <f t="shared" si="209"/>
        <v>Monitor</v>
      </c>
      <c r="R1125">
        <v>0</v>
      </c>
      <c r="S1125">
        <f t="shared" si="210"/>
        <v>0</v>
      </c>
      <c r="T1125">
        <f t="shared" si="211"/>
        <v>0</v>
      </c>
      <c r="U1125" t="str">
        <f t="shared" si="212"/>
        <v>Improved Enough</v>
      </c>
      <c r="V1125" t="str">
        <f t="shared" si="213"/>
        <v>Far</v>
      </c>
      <c r="W1125" t="str">
        <f t="shared" si="214"/>
        <v>Normal</v>
      </c>
      <c r="X1125" t="str">
        <f t="shared" si="215"/>
        <v>Allowed</v>
      </c>
    </row>
    <row r="1126" spans="1:24" x14ac:dyDescent="0.3">
      <c r="A1126" t="s">
        <v>10</v>
      </c>
      <c r="B1126" t="s">
        <v>33</v>
      </c>
      <c r="C1126" t="s">
        <v>14</v>
      </c>
      <c r="D1126" s="3">
        <v>45596</v>
      </c>
      <c r="E1126" s="6">
        <v>7.3217442545668823E-2</v>
      </c>
      <c r="F1126">
        <v>0</v>
      </c>
      <c r="G1126" t="s">
        <v>13</v>
      </c>
      <c r="H1126" s="6">
        <v>5.3999999999999999E-2</v>
      </c>
      <c r="I1126" s="8">
        <v>0.10014227081109819</v>
      </c>
      <c r="J1126" s="5">
        <f t="shared" si="204"/>
        <v>1.0109678696460058E-2</v>
      </c>
      <c r="K1126" s="5" cm="1">
        <f t="array" ref="K1126">_xlfn.STDEV.S(IF($C:$C=C1126,$I:$I))</f>
        <v>0.17556416633612926</v>
      </c>
      <c r="L1126" s="7">
        <f t="shared" si="207"/>
        <v>0.51281872601647405</v>
      </c>
      <c r="M1126">
        <f t="shared" si="205"/>
        <v>-1</v>
      </c>
      <c r="N1126" s="9">
        <f t="shared" si="208"/>
        <v>0.35587856566053377</v>
      </c>
      <c r="O1126">
        <f>COUNTIFS($B$2:B1126,B1126,$C$2:C1126,C1126,$D$2:D1126,"&lt;"&amp;D1126,$F$2:F1126,1)</f>
        <v>0</v>
      </c>
      <c r="P1126">
        <f t="shared" si="206"/>
        <v>0</v>
      </c>
      <c r="Q1126" t="str">
        <f t="shared" si="209"/>
        <v>Monitor</v>
      </c>
      <c r="R1126">
        <v>0</v>
      </c>
      <c r="S1126">
        <f t="shared" si="210"/>
        <v>0</v>
      </c>
      <c r="T1126">
        <f t="shared" si="211"/>
        <v>0</v>
      </c>
      <c r="U1126" t="str">
        <f t="shared" si="212"/>
        <v>Improved Enough</v>
      </c>
      <c r="V1126" t="str">
        <f t="shared" si="213"/>
        <v>Far</v>
      </c>
      <c r="W1126" t="str">
        <f t="shared" si="214"/>
        <v>Normal</v>
      </c>
      <c r="X1126" t="str">
        <f t="shared" si="215"/>
        <v>Allowed</v>
      </c>
    </row>
    <row r="1127" spans="1:24" x14ac:dyDescent="0.3">
      <c r="A1127" t="s">
        <v>10</v>
      </c>
      <c r="B1127" t="s">
        <v>33</v>
      </c>
      <c r="C1127" t="s">
        <v>14</v>
      </c>
      <c r="D1127" s="3">
        <v>45626</v>
      </c>
      <c r="E1127" s="6">
        <v>7.4215874000000001E-2</v>
      </c>
      <c r="F1127">
        <v>0</v>
      </c>
      <c r="G1127" t="s">
        <v>13</v>
      </c>
      <c r="H1127" s="6">
        <v>5.3999999999999999E-2</v>
      </c>
      <c r="I1127" s="8">
        <v>-1.3636524571428639E-2</v>
      </c>
      <c r="J1127" s="5">
        <f t="shared" si="204"/>
        <v>1.0109678696460058E-2</v>
      </c>
      <c r="K1127" s="5" cm="1">
        <f t="array" ref="K1127">_xlfn.STDEV.S(IF($C:$C=C1127,$I:$I))</f>
        <v>0.17556416633612926</v>
      </c>
      <c r="L1127" s="7">
        <f t="shared" si="207"/>
        <v>-0.13525654900684581</v>
      </c>
      <c r="M1127">
        <f t="shared" si="205"/>
        <v>0</v>
      </c>
      <c r="N1127" s="9">
        <f t="shared" si="208"/>
        <v>0.37436803703703708</v>
      </c>
      <c r="O1127">
        <f>COUNTIFS($B$2:B1127,B1127,$C$2:C1127,C1127,$D$2:D1127,"&lt;"&amp;D1127,$F$2:F1127,1)</f>
        <v>0</v>
      </c>
      <c r="P1127">
        <f t="shared" si="206"/>
        <v>0</v>
      </c>
      <c r="Q1127" t="str">
        <f t="shared" si="209"/>
        <v>Monitor</v>
      </c>
      <c r="R1127">
        <v>0</v>
      </c>
      <c r="S1127">
        <f t="shared" si="210"/>
        <v>0</v>
      </c>
      <c r="T1127">
        <f t="shared" si="211"/>
        <v>0</v>
      </c>
      <c r="U1127" t="str">
        <f t="shared" si="212"/>
        <v>Not Improved Enough</v>
      </c>
      <c r="V1127" t="str">
        <f t="shared" si="213"/>
        <v>Far</v>
      </c>
      <c r="W1127" t="str">
        <f t="shared" si="214"/>
        <v>Normal</v>
      </c>
      <c r="X1127" t="str">
        <f t="shared" si="215"/>
        <v>Allowed</v>
      </c>
    </row>
    <row r="1128" spans="1:24" x14ac:dyDescent="0.3">
      <c r="A1128" t="s">
        <v>10</v>
      </c>
      <c r="B1128" t="s">
        <v>33</v>
      </c>
      <c r="C1128" t="s">
        <v>14</v>
      </c>
      <c r="D1128" s="3">
        <v>45657</v>
      </c>
      <c r="E1128" s="6">
        <v>7.6482677627715795E-2</v>
      </c>
      <c r="F1128">
        <v>1</v>
      </c>
      <c r="G1128" t="s">
        <v>13</v>
      </c>
      <c r="H1128" s="6">
        <v>5.3999999999999999E-2</v>
      </c>
      <c r="I1128" s="8">
        <v>-3.054337981273109E-2</v>
      </c>
      <c r="J1128" s="5">
        <f t="shared" si="204"/>
        <v>1.0109678696460058E-2</v>
      </c>
      <c r="K1128" s="5" cm="1">
        <f t="array" ref="K1128">_xlfn.STDEV.S(IF($C:$C=C1128,$I:$I))</f>
        <v>0.17556416633612926</v>
      </c>
      <c r="L1128" s="7">
        <f t="shared" si="207"/>
        <v>-0.23155669723261274</v>
      </c>
      <c r="M1128">
        <f t="shared" si="205"/>
        <v>0</v>
      </c>
      <c r="N1128" s="9">
        <f t="shared" si="208"/>
        <v>0.41634588199473693</v>
      </c>
      <c r="O1128">
        <f>COUNTIFS($B$2:B1128,B1128,$C$2:C1128,C1128,$D$2:D1128,"&lt;"&amp;D1128,$F$2:F1128,1)</f>
        <v>0</v>
      </c>
      <c r="P1128">
        <f t="shared" si="206"/>
        <v>0</v>
      </c>
      <c r="Q1128" t="str">
        <f t="shared" si="209"/>
        <v>Monitor</v>
      </c>
      <c r="R1128">
        <v>0</v>
      </c>
      <c r="S1128">
        <f t="shared" si="210"/>
        <v>0</v>
      </c>
      <c r="T1128">
        <f t="shared" si="211"/>
        <v>0</v>
      </c>
      <c r="U1128" t="str">
        <f t="shared" si="212"/>
        <v>Not Improved Enough</v>
      </c>
      <c r="V1128" t="str">
        <f t="shared" si="213"/>
        <v>Far</v>
      </c>
      <c r="W1128" t="str">
        <f t="shared" si="214"/>
        <v>Normal</v>
      </c>
      <c r="X1128" t="str">
        <f t="shared" si="215"/>
        <v>Allowed</v>
      </c>
    </row>
    <row r="1129" spans="1:24" x14ac:dyDescent="0.3">
      <c r="A1129" t="s">
        <v>10</v>
      </c>
      <c r="B1129" t="s">
        <v>33</v>
      </c>
      <c r="C1129" t="s">
        <v>14</v>
      </c>
      <c r="D1129" s="3">
        <v>45688</v>
      </c>
      <c r="E1129" s="6">
        <v>7.5369530220986386E-2</v>
      </c>
      <c r="F1129">
        <v>1</v>
      </c>
      <c r="G1129" t="s">
        <v>13</v>
      </c>
      <c r="H1129" s="6">
        <v>5.3999999999999999E-2</v>
      </c>
      <c r="I1129" s="8">
        <v>1.455424210103788E-2</v>
      </c>
      <c r="J1129" s="5">
        <f t="shared" si="204"/>
        <v>1.0109678696460058E-2</v>
      </c>
      <c r="K1129" s="5" cm="1">
        <f t="array" ref="K1129">_xlfn.STDEV.S(IF($C:$C=C1129,$I:$I))</f>
        <v>0.17556416633612926</v>
      </c>
      <c r="L1129" s="7">
        <f t="shared" si="207"/>
        <v>2.5315891604374492E-2</v>
      </c>
      <c r="M1129">
        <f t="shared" si="205"/>
        <v>0</v>
      </c>
      <c r="N1129" s="9">
        <f t="shared" si="208"/>
        <v>0.39573204112937754</v>
      </c>
      <c r="O1129">
        <f>COUNTIFS($B$2:B1129,B1129,$C$2:C1129,C1129,$D$2:D1129,"&lt;"&amp;D1129,$F$2:F1129,1)</f>
        <v>1</v>
      </c>
      <c r="P1129">
        <f t="shared" si="206"/>
        <v>1</v>
      </c>
      <c r="Q1129" t="str">
        <f t="shared" si="209"/>
        <v>Monitor</v>
      </c>
      <c r="R1129">
        <v>1</v>
      </c>
      <c r="S1129">
        <f t="shared" si="210"/>
        <v>0</v>
      </c>
      <c r="T1129">
        <f t="shared" si="211"/>
        <v>0</v>
      </c>
      <c r="U1129" t="str">
        <f t="shared" si="212"/>
        <v>Improved Enough</v>
      </c>
      <c r="V1129" t="str">
        <f t="shared" si="213"/>
        <v>Far</v>
      </c>
      <c r="W1129" t="str">
        <f t="shared" si="214"/>
        <v>Normal</v>
      </c>
      <c r="X1129" t="str">
        <f t="shared" si="215"/>
        <v>Allowed</v>
      </c>
    </row>
    <row r="1130" spans="1:24" x14ac:dyDescent="0.3">
      <c r="A1130" t="s">
        <v>10</v>
      </c>
      <c r="B1130" t="s">
        <v>33</v>
      </c>
      <c r="C1130" t="s">
        <v>14</v>
      </c>
      <c r="D1130" s="3">
        <v>45716</v>
      </c>
      <c r="E1130" s="6">
        <v>7.9418181818181818E-2</v>
      </c>
      <c r="F1130">
        <v>1</v>
      </c>
      <c r="G1130" t="s">
        <v>13</v>
      </c>
      <c r="H1130" s="6">
        <v>5.3999999999999999E-2</v>
      </c>
      <c r="I1130" s="8">
        <v>-5.3717352162400762E-2</v>
      </c>
      <c r="J1130" s="5">
        <f t="shared" si="204"/>
        <v>1.0109678696460058E-2</v>
      </c>
      <c r="K1130" s="5" cm="1">
        <f t="array" ref="K1130">_xlfn.STDEV.S(IF($C:$C=C1130,$I:$I))</f>
        <v>0.17556416633612926</v>
      </c>
      <c r="L1130" s="7">
        <f t="shared" si="207"/>
        <v>-0.36355386290309227</v>
      </c>
      <c r="M1130">
        <f t="shared" si="205"/>
        <v>0</v>
      </c>
      <c r="N1130" s="9">
        <f t="shared" si="208"/>
        <v>0.47070707070707074</v>
      </c>
      <c r="O1130">
        <f>COUNTIFS($B$2:B1130,B1130,$C$2:C1130,C1130,$D$2:D1130,"&lt;"&amp;D1130,$F$2:F1130,1)</f>
        <v>2</v>
      </c>
      <c r="P1130">
        <f t="shared" si="206"/>
        <v>-1</v>
      </c>
      <c r="Q1130" t="str">
        <f t="shared" si="209"/>
        <v>Monitor</v>
      </c>
      <c r="R1130">
        <v>1</v>
      </c>
      <c r="S1130">
        <f t="shared" si="210"/>
        <v>0</v>
      </c>
      <c r="T1130">
        <f t="shared" si="211"/>
        <v>0</v>
      </c>
      <c r="U1130" t="str">
        <f t="shared" si="212"/>
        <v>Not Improved Enough</v>
      </c>
      <c r="V1130" t="str">
        <f t="shared" si="213"/>
        <v>Far</v>
      </c>
      <c r="W1130" t="str">
        <f t="shared" si="214"/>
        <v>Normal</v>
      </c>
      <c r="X1130" t="str">
        <f t="shared" si="215"/>
        <v>Allowed</v>
      </c>
    </row>
    <row r="1131" spans="1:24" x14ac:dyDescent="0.3">
      <c r="A1131" t="s">
        <v>10</v>
      </c>
      <c r="B1131" t="s">
        <v>33</v>
      </c>
      <c r="C1131" t="s">
        <v>14</v>
      </c>
      <c r="D1131" s="3">
        <v>45747</v>
      </c>
      <c r="E1131" s="6">
        <v>7.9838009835117157E-2</v>
      </c>
      <c r="F1131">
        <v>1</v>
      </c>
      <c r="G1131" t="s">
        <v>13</v>
      </c>
      <c r="H1131" s="6">
        <v>5.3999999999999999E-2</v>
      </c>
      <c r="I1131" s="8">
        <v>-5.2862960007883817E-3</v>
      </c>
      <c r="J1131" s="5">
        <f t="shared" si="204"/>
        <v>1.0109678696460058E-2</v>
      </c>
      <c r="K1131" s="5" cm="1">
        <f t="array" ref="K1131">_xlfn.STDEV.S(IF($C:$C=C1131,$I:$I))</f>
        <v>0.17556416633612926</v>
      </c>
      <c r="L1131" s="7">
        <f t="shared" si="207"/>
        <v>-8.7694288752363181E-2</v>
      </c>
      <c r="M1131">
        <f t="shared" si="205"/>
        <v>0</v>
      </c>
      <c r="N1131" s="9">
        <f t="shared" si="208"/>
        <v>0.47848166361328071</v>
      </c>
      <c r="O1131">
        <f>COUNTIFS($B$2:B1131,B1131,$C$2:C1131,C1131,$D$2:D1131,"&lt;"&amp;D1131,$F$2:F1131,1)</f>
        <v>3</v>
      </c>
      <c r="P1131">
        <f t="shared" si="206"/>
        <v>-1</v>
      </c>
      <c r="Q1131" t="str">
        <f t="shared" si="209"/>
        <v>Monitor</v>
      </c>
      <c r="R1131">
        <v>1</v>
      </c>
      <c r="S1131">
        <f t="shared" si="210"/>
        <v>0</v>
      </c>
      <c r="T1131">
        <f t="shared" si="211"/>
        <v>0</v>
      </c>
      <c r="U1131" t="str">
        <f t="shared" si="212"/>
        <v>Not Improved Enough</v>
      </c>
      <c r="V1131" t="str">
        <f t="shared" si="213"/>
        <v>Far</v>
      </c>
      <c r="W1131" t="str">
        <f t="shared" si="214"/>
        <v>Normal</v>
      </c>
      <c r="X1131" t="str">
        <f t="shared" si="215"/>
        <v>Allowed</v>
      </c>
    </row>
    <row r="1132" spans="1:24" x14ac:dyDescent="0.3">
      <c r="A1132" t="s">
        <v>10</v>
      </c>
      <c r="B1132" t="s">
        <v>33</v>
      </c>
      <c r="C1132" t="s">
        <v>14</v>
      </c>
      <c r="D1132" s="3">
        <v>45777</v>
      </c>
      <c r="E1132" s="6">
        <v>7.0814512603817575E-2</v>
      </c>
      <c r="F1132">
        <v>1</v>
      </c>
      <c r="G1132" t="s">
        <v>13</v>
      </c>
      <c r="H1132" s="6">
        <v>5.3999999999999999E-2</v>
      </c>
      <c r="I1132" s="8">
        <v>0.11302257220508211</v>
      </c>
      <c r="J1132" s="5">
        <f t="shared" si="204"/>
        <v>1.0109678696460058E-2</v>
      </c>
      <c r="K1132" s="5" cm="1">
        <f t="array" ref="K1132">_xlfn.STDEV.S(IF($C:$C=C1132,$I:$I))</f>
        <v>0.17556416633612926</v>
      </c>
      <c r="L1132" s="7">
        <f t="shared" si="207"/>
        <v>0.58618393295354176</v>
      </c>
      <c r="M1132">
        <f t="shared" si="205"/>
        <v>-1</v>
      </c>
      <c r="N1132" s="9">
        <f t="shared" si="208"/>
        <v>0.31137986303365883</v>
      </c>
      <c r="O1132">
        <f>COUNTIFS($B$2:B1132,B1132,$C$2:C1132,C1132,$D$2:D1132,"&lt;"&amp;D1132,$F$2:F1132,1)</f>
        <v>4</v>
      </c>
      <c r="P1132">
        <f t="shared" si="206"/>
        <v>1</v>
      </c>
      <c r="Q1132" t="str">
        <f t="shared" si="209"/>
        <v>Monitor</v>
      </c>
      <c r="R1132">
        <v>1</v>
      </c>
      <c r="S1132">
        <f t="shared" si="210"/>
        <v>0</v>
      </c>
      <c r="T1132">
        <f t="shared" si="211"/>
        <v>0</v>
      </c>
      <c r="U1132" t="str">
        <f t="shared" si="212"/>
        <v>Improved Enough</v>
      </c>
      <c r="V1132" t="str">
        <f t="shared" si="213"/>
        <v>Far</v>
      </c>
      <c r="W1132" t="str">
        <f t="shared" si="214"/>
        <v>Normal</v>
      </c>
      <c r="X1132" t="str">
        <f t="shared" si="215"/>
        <v>Allowed</v>
      </c>
    </row>
    <row r="1133" spans="1:24" x14ac:dyDescent="0.3">
      <c r="A1133" t="s">
        <v>10</v>
      </c>
      <c r="B1133" t="s">
        <v>33</v>
      </c>
      <c r="C1133" t="s">
        <v>14</v>
      </c>
      <c r="D1133" s="3">
        <v>45808</v>
      </c>
      <c r="E1133" s="6">
        <v>6.2490831744168987E-2</v>
      </c>
      <c r="F1133">
        <v>1</v>
      </c>
      <c r="G1133" t="s">
        <v>13</v>
      </c>
      <c r="H1133" s="6">
        <v>5.3999999999999999E-2</v>
      </c>
      <c r="I1133" s="8">
        <v>0.1175420200406754</v>
      </c>
      <c r="J1133" s="5">
        <f t="shared" si="204"/>
        <v>1.0109678696460058E-2</v>
      </c>
      <c r="K1133" s="5" cm="1">
        <f t="array" ref="K1133">_xlfn.STDEV.S(IF($C:$C=C1133,$I:$I))</f>
        <v>0.17556416633612926</v>
      </c>
      <c r="L1133" s="7">
        <f t="shared" si="207"/>
        <v>0.61192636052239158</v>
      </c>
      <c r="M1133">
        <f t="shared" si="205"/>
        <v>-1</v>
      </c>
      <c r="N1133" s="9">
        <f t="shared" si="208"/>
        <v>0.15723762489201829</v>
      </c>
      <c r="O1133">
        <f>COUNTIFS($B$2:B1133,B1133,$C$2:C1133,C1133,$D$2:D1133,"&lt;"&amp;D1133,$F$2:F1133,1)</f>
        <v>5</v>
      </c>
      <c r="P1133">
        <f t="shared" si="206"/>
        <v>1</v>
      </c>
      <c r="Q1133" t="str">
        <f t="shared" si="209"/>
        <v>Monitor</v>
      </c>
      <c r="R1133">
        <v>1</v>
      </c>
      <c r="S1133">
        <f t="shared" si="210"/>
        <v>0</v>
      </c>
      <c r="T1133">
        <f t="shared" si="211"/>
        <v>0</v>
      </c>
      <c r="U1133" t="str">
        <f t="shared" si="212"/>
        <v>Improved Enough</v>
      </c>
      <c r="V1133" t="str">
        <f t="shared" si="213"/>
        <v>Far</v>
      </c>
      <c r="W1133" t="str">
        <f t="shared" si="214"/>
        <v>Normal</v>
      </c>
      <c r="X1133" t="str">
        <f t="shared" si="215"/>
        <v>Maxed Out</v>
      </c>
    </row>
    <row r="1134" spans="1:24" x14ac:dyDescent="0.3">
      <c r="A1134" t="s">
        <v>10</v>
      </c>
      <c r="B1134" t="s">
        <v>33</v>
      </c>
      <c r="C1134" t="s">
        <v>14</v>
      </c>
      <c r="D1134" s="3">
        <v>45838</v>
      </c>
      <c r="E1134" s="6">
        <v>5.0198733990872962E-2</v>
      </c>
      <c r="F1134">
        <v>0</v>
      </c>
      <c r="G1134" t="s">
        <v>13</v>
      </c>
      <c r="H1134" s="6">
        <v>5.3999999999999999E-2</v>
      </c>
      <c r="I1134" s="8">
        <v>0.1967024187422981</v>
      </c>
      <c r="J1134" s="5">
        <f t="shared" si="204"/>
        <v>1.0109678696460058E-2</v>
      </c>
      <c r="K1134" s="5" cm="1">
        <f t="array" ref="K1134">_xlfn.STDEV.S(IF($C:$C=C1134,$I:$I))</f>
        <v>0.17556416633612926</v>
      </c>
      <c r="L1134" s="7">
        <f t="shared" si="207"/>
        <v>1.0628179083457945</v>
      </c>
      <c r="M1134">
        <f t="shared" si="205"/>
        <v>-1</v>
      </c>
      <c r="N1134" s="9">
        <f t="shared" si="208"/>
        <v>-7.0393814983834013E-2</v>
      </c>
      <c r="O1134">
        <f>COUNTIFS($B$2:B1134,B1134,$C$2:C1134,C1134,$D$2:D1134,"&lt;"&amp;D1134,$F$2:F1134,1)</f>
        <v>6</v>
      </c>
      <c r="P1134">
        <f t="shared" si="206"/>
        <v>1</v>
      </c>
      <c r="Q1134" t="str">
        <f t="shared" si="209"/>
        <v>Monitor</v>
      </c>
      <c r="R1134">
        <v>1</v>
      </c>
      <c r="S1134">
        <f t="shared" si="210"/>
        <v>0</v>
      </c>
      <c r="T1134">
        <f t="shared" si="211"/>
        <v>0</v>
      </c>
      <c r="U1134" t="str">
        <f t="shared" si="212"/>
        <v>Improved Enough</v>
      </c>
      <c r="V1134" t="str">
        <f t="shared" si="213"/>
        <v>Close</v>
      </c>
      <c r="W1134" t="str">
        <f t="shared" si="214"/>
        <v>Normal</v>
      </c>
      <c r="X1134" t="str">
        <f t="shared" si="215"/>
        <v>Maxed Out</v>
      </c>
    </row>
    <row r="1135" spans="1:24" x14ac:dyDescent="0.3">
      <c r="A1135" t="s">
        <v>10</v>
      </c>
      <c r="B1135" t="s">
        <v>33</v>
      </c>
      <c r="C1135" t="s">
        <v>14</v>
      </c>
      <c r="D1135" s="3">
        <v>45869</v>
      </c>
      <c r="E1135" s="6">
        <v>4.7555752473785261E-2</v>
      </c>
      <c r="F1135">
        <v>0</v>
      </c>
      <c r="G1135" t="s">
        <v>13</v>
      </c>
      <c r="H1135" s="6">
        <v>5.3999999999999999E-2</v>
      </c>
      <c r="I1135" s="8">
        <v>5.2650362010489019E-2</v>
      </c>
      <c r="J1135" s="5">
        <f t="shared" si="204"/>
        <v>1.0109678696460058E-2</v>
      </c>
      <c r="K1135" s="5" cm="1">
        <f t="array" ref="K1135">_xlfn.STDEV.S(IF($C:$C=C1135,$I:$I))</f>
        <v>0.17556416633612926</v>
      </c>
      <c r="L1135" s="7">
        <f t="shared" si="207"/>
        <v>0.24230846306405143</v>
      </c>
      <c r="M1135">
        <f t="shared" si="205"/>
        <v>0</v>
      </c>
      <c r="N1135" s="9">
        <f t="shared" si="208"/>
        <v>-0.11933791715212479</v>
      </c>
      <c r="O1135">
        <f>COUNTIFS($B$2:B1135,B1135,$C$2:C1135,C1135,$D$2:D1135,"&lt;"&amp;D1135,$F$2:F1135,1)</f>
        <v>6</v>
      </c>
      <c r="P1135">
        <f t="shared" si="206"/>
        <v>0</v>
      </c>
      <c r="Q1135" t="str">
        <f t="shared" si="209"/>
        <v>Monitor</v>
      </c>
      <c r="R1135">
        <v>0</v>
      </c>
      <c r="S1135">
        <f t="shared" si="210"/>
        <v>0</v>
      </c>
      <c r="T1135">
        <f t="shared" si="211"/>
        <v>0</v>
      </c>
      <c r="U1135" t="str">
        <f t="shared" si="212"/>
        <v>Improved Enough</v>
      </c>
      <c r="V1135" t="str">
        <f t="shared" si="213"/>
        <v>Close</v>
      </c>
      <c r="W1135" t="str">
        <f t="shared" si="214"/>
        <v>Normal</v>
      </c>
      <c r="X1135" t="str">
        <f t="shared" si="215"/>
        <v>Maxed Out</v>
      </c>
    </row>
    <row r="1136" spans="1:24" x14ac:dyDescent="0.3">
      <c r="A1136" t="s">
        <v>10</v>
      </c>
      <c r="B1136" t="s">
        <v>33</v>
      </c>
      <c r="C1136" t="s">
        <v>14</v>
      </c>
      <c r="D1136" s="3">
        <v>45900</v>
      </c>
      <c r="E1136" s="6">
        <v>4.7844063792085063E-2</v>
      </c>
      <c r="F1136">
        <v>0</v>
      </c>
      <c r="G1136" t="s">
        <v>13</v>
      </c>
      <c r="H1136" s="6">
        <v>5.3999999999999999E-2</v>
      </c>
      <c r="I1136" s="8">
        <v>-6.0625960751800106E-3</v>
      </c>
      <c r="J1136" s="5">
        <f t="shared" si="204"/>
        <v>1.0109678696460058E-2</v>
      </c>
      <c r="K1136" s="5" cm="1">
        <f t="array" ref="K1136">_xlfn.STDEV.S(IF($C:$C=C1136,$I:$I))</f>
        <v>0.17556416633612926</v>
      </c>
      <c r="L1136" s="7">
        <f t="shared" si="207"/>
        <v>-9.2116034320336035E-2</v>
      </c>
      <c r="M1136">
        <f t="shared" si="205"/>
        <v>0</v>
      </c>
      <c r="N1136" s="9">
        <f t="shared" si="208"/>
        <v>-0.11399881866509141</v>
      </c>
      <c r="O1136">
        <f>COUNTIFS($B$2:B1136,B1136,$C$2:C1136,C1136,$D$2:D1136,"&lt;"&amp;D1136,$F$2:F1136,1)</f>
        <v>6</v>
      </c>
      <c r="P1136">
        <f t="shared" si="206"/>
        <v>0</v>
      </c>
      <c r="Q1136" t="str">
        <f t="shared" si="209"/>
        <v>Monitor</v>
      </c>
      <c r="R1136">
        <v>0</v>
      </c>
      <c r="S1136">
        <f t="shared" si="210"/>
        <v>0</v>
      </c>
      <c r="T1136">
        <f t="shared" si="211"/>
        <v>0</v>
      </c>
      <c r="U1136" t="str">
        <f t="shared" si="212"/>
        <v>Not Improved Enough</v>
      </c>
      <c r="V1136" t="str">
        <f t="shared" si="213"/>
        <v>Close</v>
      </c>
      <c r="W1136" t="str">
        <f t="shared" si="214"/>
        <v>Normal</v>
      </c>
      <c r="X1136" t="str">
        <f t="shared" si="215"/>
        <v>Maxed Out</v>
      </c>
    </row>
    <row r="1137" spans="1:24" x14ac:dyDescent="0.3">
      <c r="A1137" t="s">
        <v>10</v>
      </c>
      <c r="B1137" t="s">
        <v>33</v>
      </c>
      <c r="C1137" t="s">
        <v>14</v>
      </c>
      <c r="D1137" s="3">
        <v>45930</v>
      </c>
      <c r="E1137" s="6">
        <v>4.9587992937021777E-2</v>
      </c>
      <c r="F1137">
        <v>0</v>
      </c>
      <c r="G1137" t="s">
        <v>13</v>
      </c>
      <c r="H1137" s="6">
        <v>5.3999999999999999E-2</v>
      </c>
      <c r="I1137" s="8">
        <v>-3.6450272128121679E-2</v>
      </c>
      <c r="J1137" s="5">
        <f t="shared" si="204"/>
        <v>1.0109678696460058E-2</v>
      </c>
      <c r="K1137" s="5" cm="1">
        <f t="array" ref="K1137">_xlfn.STDEV.S(IF($C:$C=C1137,$I:$I))</f>
        <v>0.17556416633612926</v>
      </c>
      <c r="L1137" s="7">
        <f t="shared" si="207"/>
        <v>-0.2652019019384606</v>
      </c>
      <c r="M1137">
        <f t="shared" si="205"/>
        <v>0</v>
      </c>
      <c r="N1137" s="9">
        <f t="shared" si="208"/>
        <v>-8.1703834499596714E-2</v>
      </c>
      <c r="O1137">
        <f>COUNTIFS($B$2:B1137,B1137,$C$2:C1137,C1137,$D$2:D1137,"&lt;"&amp;D1137,$F$2:F1137,1)</f>
        <v>6</v>
      </c>
      <c r="P1137">
        <f t="shared" si="206"/>
        <v>0</v>
      </c>
      <c r="Q1137" t="str">
        <f t="shared" si="209"/>
        <v>Monitor</v>
      </c>
      <c r="R1137">
        <v>0</v>
      </c>
      <c r="S1137">
        <f t="shared" si="210"/>
        <v>0</v>
      </c>
      <c r="T1137">
        <f t="shared" si="211"/>
        <v>0</v>
      </c>
      <c r="U1137" t="str">
        <f t="shared" si="212"/>
        <v>Not Improved Enough</v>
      </c>
      <c r="V1137" t="str">
        <f t="shared" si="213"/>
        <v>Close</v>
      </c>
      <c r="W1137" t="str">
        <f t="shared" si="214"/>
        <v>Normal</v>
      </c>
      <c r="X1137" t="str">
        <f t="shared" si="215"/>
        <v>Maxed Out</v>
      </c>
    </row>
    <row r="1138" spans="1:24" x14ac:dyDescent="0.3">
      <c r="A1138" t="s">
        <v>10</v>
      </c>
      <c r="B1138" t="s">
        <v>33</v>
      </c>
      <c r="C1138" t="s">
        <v>14</v>
      </c>
      <c r="D1138" s="3">
        <v>45961</v>
      </c>
      <c r="E1138" s="6">
        <v>4.4058744993324427E-2</v>
      </c>
      <c r="F1138">
        <v>0</v>
      </c>
      <c r="G1138" t="s">
        <v>13</v>
      </c>
      <c r="H1138" s="6">
        <v>5.3999999999999999E-2</v>
      </c>
      <c r="I1138" s="8">
        <v>0.1115037656539086</v>
      </c>
      <c r="J1138" s="5">
        <f t="shared" si="204"/>
        <v>1.0109678696460058E-2</v>
      </c>
      <c r="K1138" s="5" cm="1">
        <f t="array" ref="K1138">_xlfn.STDEV.S(IF($C:$C=C1138,$I:$I))</f>
        <v>0.17556416633612926</v>
      </c>
      <c r="L1138" s="7">
        <f t="shared" si="207"/>
        <v>0.57753292755266949</v>
      </c>
      <c r="M1138">
        <f t="shared" si="205"/>
        <v>-1</v>
      </c>
      <c r="N1138" s="9">
        <f t="shared" si="208"/>
        <v>-0.18409731493843653</v>
      </c>
      <c r="O1138">
        <f>COUNTIFS($B$2:B1138,B1138,$C$2:C1138,C1138,$D$2:D1138,"&lt;"&amp;D1138,$F$2:F1138,1)</f>
        <v>6</v>
      </c>
      <c r="P1138">
        <f t="shared" si="206"/>
        <v>0</v>
      </c>
      <c r="Q1138" t="str">
        <f t="shared" si="209"/>
        <v>Monitor</v>
      </c>
      <c r="R1138">
        <v>0</v>
      </c>
      <c r="S1138">
        <f t="shared" si="210"/>
        <v>0</v>
      </c>
      <c r="T1138">
        <f t="shared" si="211"/>
        <v>0</v>
      </c>
      <c r="U1138" t="str">
        <f t="shared" si="212"/>
        <v>Improved Enough</v>
      </c>
      <c r="V1138" t="str">
        <f t="shared" si="213"/>
        <v>Close</v>
      </c>
      <c r="W1138" t="str">
        <f t="shared" si="214"/>
        <v>Normal</v>
      </c>
      <c r="X1138" t="str">
        <f t="shared" si="215"/>
        <v>Maxed Out</v>
      </c>
    </row>
    <row r="1139" spans="1:24" x14ac:dyDescent="0.3">
      <c r="A1139" t="s">
        <v>10</v>
      </c>
      <c r="B1139" t="s">
        <v>33</v>
      </c>
      <c r="C1139" t="s">
        <v>14</v>
      </c>
      <c r="D1139" s="3">
        <v>45991</v>
      </c>
      <c r="E1139" s="6">
        <v>4.5966785290628698E-2</v>
      </c>
      <c r="F1139">
        <v>0</v>
      </c>
      <c r="G1139" t="s">
        <v>13</v>
      </c>
      <c r="H1139" s="6">
        <v>5.3999999999999999E-2</v>
      </c>
      <c r="I1139" s="8">
        <v>-4.3306732808512098E-2</v>
      </c>
      <c r="J1139" s="5">
        <f t="shared" si="204"/>
        <v>1.0109678696460058E-2</v>
      </c>
      <c r="K1139" s="5" cm="1">
        <f t="array" ref="K1139">_xlfn.STDEV.S(IF($C:$C=C1139,$I:$I))</f>
        <v>0.17556416633612926</v>
      </c>
      <c r="L1139" s="7">
        <f t="shared" si="207"/>
        <v>-0.30425577508056451</v>
      </c>
      <c r="M1139">
        <f t="shared" si="205"/>
        <v>0</v>
      </c>
      <c r="N1139" s="9">
        <f t="shared" si="208"/>
        <v>-0.14876323535872782</v>
      </c>
      <c r="O1139">
        <f>COUNTIFS($B$2:B1139,B1139,$C$2:C1139,C1139,$D$2:D1139,"&lt;"&amp;D1139,$F$2:F1139,1)</f>
        <v>6</v>
      </c>
      <c r="P1139">
        <f t="shared" si="206"/>
        <v>0</v>
      </c>
      <c r="Q1139" t="str">
        <f t="shared" si="209"/>
        <v>Monitor</v>
      </c>
      <c r="R1139">
        <v>0</v>
      </c>
      <c r="S1139">
        <f t="shared" si="210"/>
        <v>0</v>
      </c>
      <c r="T1139">
        <f t="shared" si="211"/>
        <v>0</v>
      </c>
      <c r="U1139" t="str">
        <f t="shared" si="212"/>
        <v>Not Improved Enough</v>
      </c>
      <c r="V1139" t="str">
        <f t="shared" si="213"/>
        <v>Close</v>
      </c>
      <c r="W1139" t="str">
        <f t="shared" si="214"/>
        <v>Normal</v>
      </c>
      <c r="X1139" t="str">
        <f t="shared" si="215"/>
        <v>Maxed Out</v>
      </c>
    </row>
    <row r="1140" spans="1:24" x14ac:dyDescent="0.3">
      <c r="A1140" t="s">
        <v>10</v>
      </c>
      <c r="B1140" t="s">
        <v>33</v>
      </c>
      <c r="C1140" t="s">
        <v>15</v>
      </c>
      <c r="D1140" s="3">
        <v>45535</v>
      </c>
      <c r="E1140" s="6">
        <v>0.12626058894715611</v>
      </c>
      <c r="F1140">
        <v>0</v>
      </c>
      <c r="G1140" t="s">
        <v>13</v>
      </c>
      <c r="H1140" s="6">
        <v>6.6000000000000003E-2</v>
      </c>
      <c r="I1140" s="8">
        <v>1.905234741055619E-2</v>
      </c>
      <c r="J1140" s="5">
        <f t="shared" si="204"/>
        <v>-2.475667272801203E-2</v>
      </c>
      <c r="K1140" s="5" cm="1">
        <f t="array" ref="K1140">_xlfn.STDEV.S(IF($C:$C=C1140,$I:$I))</f>
        <v>0.42334565134305008</v>
      </c>
      <c r="L1140" s="7">
        <f t="shared" si="207"/>
        <v>0.1034828632338269</v>
      </c>
      <c r="M1140">
        <f t="shared" si="205"/>
        <v>0</v>
      </c>
      <c r="N1140" s="9">
        <f t="shared" si="208"/>
        <v>0.91303922647206215</v>
      </c>
      <c r="O1140">
        <f>COUNTIFS($B$2:B1140,B1140,$C$2:C1140,C1140,$D$2:D1140,"&lt;"&amp;D1140,$F$2:F1140,1)</f>
        <v>0</v>
      </c>
      <c r="P1140">
        <f t="shared" si="206"/>
        <v>0</v>
      </c>
      <c r="Q1140" t="str">
        <f t="shared" si="209"/>
        <v>Monitor</v>
      </c>
      <c r="R1140">
        <v>0</v>
      </c>
      <c r="S1140">
        <f t="shared" si="210"/>
        <v>0</v>
      </c>
      <c r="T1140">
        <f t="shared" si="211"/>
        <v>0</v>
      </c>
      <c r="U1140" t="str">
        <f t="shared" si="212"/>
        <v>Improved Enough</v>
      </c>
      <c r="V1140" t="str">
        <f t="shared" si="213"/>
        <v>Far</v>
      </c>
      <c r="W1140" t="str">
        <f t="shared" si="214"/>
        <v>Normal</v>
      </c>
      <c r="X1140" t="str">
        <f t="shared" si="215"/>
        <v>Allowed</v>
      </c>
    </row>
    <row r="1141" spans="1:24" x14ac:dyDescent="0.3">
      <c r="A1141" t="s">
        <v>10</v>
      </c>
      <c r="B1141" t="s">
        <v>33</v>
      </c>
      <c r="C1141" t="s">
        <v>15</v>
      </c>
      <c r="D1141" s="3">
        <v>45565</v>
      </c>
      <c r="E1141" s="6">
        <v>0.1242983159582999</v>
      </c>
      <c r="F1141">
        <v>0</v>
      </c>
      <c r="G1141" t="s">
        <v>13</v>
      </c>
      <c r="H1141" s="6">
        <v>6.6000000000000003E-2</v>
      </c>
      <c r="I1141" s="8">
        <v>1.554145284145219E-2</v>
      </c>
      <c r="J1141" s="5">
        <f t="shared" si="204"/>
        <v>-2.475667272801203E-2</v>
      </c>
      <c r="K1141" s="5" cm="1">
        <f t="array" ref="K1141">_xlfn.STDEV.S(IF($C:$C=C1141,$I:$I))</f>
        <v>0.42334565134305008</v>
      </c>
      <c r="L1141" s="7">
        <f t="shared" si="207"/>
        <v>9.5189652808809408E-2</v>
      </c>
      <c r="M1141">
        <f t="shared" si="205"/>
        <v>0</v>
      </c>
      <c r="N1141" s="9">
        <f t="shared" si="208"/>
        <v>0.88330781754999843</v>
      </c>
      <c r="O1141">
        <f>COUNTIFS($B$2:B1141,B1141,$C$2:C1141,C1141,$D$2:D1141,"&lt;"&amp;D1141,$F$2:F1141,1)</f>
        <v>0</v>
      </c>
      <c r="P1141">
        <f t="shared" si="206"/>
        <v>0</v>
      </c>
      <c r="Q1141" t="str">
        <f t="shared" si="209"/>
        <v>Monitor</v>
      </c>
      <c r="R1141">
        <v>0</v>
      </c>
      <c r="S1141">
        <f t="shared" si="210"/>
        <v>0</v>
      </c>
      <c r="T1141">
        <f t="shared" si="211"/>
        <v>0</v>
      </c>
      <c r="U1141" t="str">
        <f t="shared" si="212"/>
        <v>Improved Enough</v>
      </c>
      <c r="V1141" t="str">
        <f t="shared" si="213"/>
        <v>Far</v>
      </c>
      <c r="W1141" t="str">
        <f t="shared" si="214"/>
        <v>Normal</v>
      </c>
      <c r="X1141" t="str">
        <f t="shared" si="215"/>
        <v>Allowed</v>
      </c>
    </row>
    <row r="1142" spans="1:24" x14ac:dyDescent="0.3">
      <c r="A1142" t="s">
        <v>10</v>
      </c>
      <c r="B1142" t="s">
        <v>33</v>
      </c>
      <c r="C1142" t="s">
        <v>15</v>
      </c>
      <c r="D1142" s="3">
        <v>45596</v>
      </c>
      <c r="E1142" s="6">
        <v>0.11648528819024589</v>
      </c>
      <c r="F1142">
        <v>0</v>
      </c>
      <c r="G1142" t="s">
        <v>13</v>
      </c>
      <c r="H1142" s="6">
        <v>6.6000000000000003E-2</v>
      </c>
      <c r="I1142" s="8">
        <v>6.2857068559763557E-2</v>
      </c>
      <c r="J1142" s="5">
        <f t="shared" si="204"/>
        <v>-2.475667272801203E-2</v>
      </c>
      <c r="K1142" s="5" cm="1">
        <f t="array" ref="K1142">_xlfn.STDEV.S(IF($C:$C=C1142,$I:$I))</f>
        <v>0.42334565134305008</v>
      </c>
      <c r="L1142" s="7">
        <f t="shared" si="207"/>
        <v>0.20695557167015627</v>
      </c>
      <c r="M1142">
        <f t="shared" si="205"/>
        <v>0</v>
      </c>
      <c r="N1142" s="9">
        <f t="shared" si="208"/>
        <v>0.76492860894311954</v>
      </c>
      <c r="O1142">
        <f>COUNTIFS($B$2:B1142,B1142,$C$2:C1142,C1142,$D$2:D1142,"&lt;"&amp;D1142,$F$2:F1142,1)</f>
        <v>0</v>
      </c>
      <c r="P1142">
        <f t="shared" si="206"/>
        <v>0</v>
      </c>
      <c r="Q1142" t="str">
        <f t="shared" si="209"/>
        <v>Monitor</v>
      </c>
      <c r="R1142">
        <v>0</v>
      </c>
      <c r="S1142">
        <f t="shared" si="210"/>
        <v>0</v>
      </c>
      <c r="T1142">
        <f t="shared" si="211"/>
        <v>0</v>
      </c>
      <c r="U1142" t="str">
        <f t="shared" si="212"/>
        <v>Improved Enough</v>
      </c>
      <c r="V1142" t="str">
        <f t="shared" si="213"/>
        <v>Far</v>
      </c>
      <c r="W1142" t="str">
        <f t="shared" si="214"/>
        <v>Normal</v>
      </c>
      <c r="X1142" t="str">
        <f t="shared" si="215"/>
        <v>Allowed</v>
      </c>
    </row>
    <row r="1143" spans="1:24" x14ac:dyDescent="0.3">
      <c r="A1143" t="s">
        <v>10</v>
      </c>
      <c r="B1143" t="s">
        <v>33</v>
      </c>
      <c r="C1143" t="s">
        <v>15</v>
      </c>
      <c r="D1143" s="3">
        <v>45626</v>
      </c>
      <c r="E1143" s="6">
        <v>0.11714975800000001</v>
      </c>
      <c r="F1143">
        <v>0</v>
      </c>
      <c r="G1143" t="s">
        <v>13</v>
      </c>
      <c r="H1143" s="6">
        <v>6.6000000000000003E-2</v>
      </c>
      <c r="I1143" s="8">
        <v>-5.7043238685119419E-3</v>
      </c>
      <c r="J1143" s="5">
        <f t="shared" si="204"/>
        <v>-2.475667272801203E-2</v>
      </c>
      <c r="K1143" s="5" cm="1">
        <f t="array" ref="K1143">_xlfn.STDEV.S(IF($C:$C=C1143,$I:$I))</f>
        <v>0.42334565134305008</v>
      </c>
      <c r="L1143" s="7">
        <f t="shared" si="207"/>
        <v>4.5004238968930327E-2</v>
      </c>
      <c r="M1143">
        <f t="shared" si="205"/>
        <v>0</v>
      </c>
      <c r="N1143" s="9">
        <f t="shared" si="208"/>
        <v>0.7749963333333334</v>
      </c>
      <c r="O1143">
        <f>COUNTIFS($B$2:B1143,B1143,$C$2:C1143,C1143,$D$2:D1143,"&lt;"&amp;D1143,$F$2:F1143,1)</f>
        <v>0</v>
      </c>
      <c r="P1143">
        <f t="shared" si="206"/>
        <v>0</v>
      </c>
      <c r="Q1143" t="str">
        <f t="shared" si="209"/>
        <v>Monitor</v>
      </c>
      <c r="R1143">
        <v>0</v>
      </c>
      <c r="S1143">
        <f t="shared" si="210"/>
        <v>0</v>
      </c>
      <c r="T1143">
        <f t="shared" si="211"/>
        <v>0</v>
      </c>
      <c r="U1143" t="str">
        <f t="shared" si="212"/>
        <v>Not Improved Enough</v>
      </c>
      <c r="V1143" t="str">
        <f t="shared" si="213"/>
        <v>Far</v>
      </c>
      <c r="W1143" t="str">
        <f t="shared" si="214"/>
        <v>Normal</v>
      </c>
      <c r="X1143" t="str">
        <f t="shared" si="215"/>
        <v>Allowed</v>
      </c>
    </row>
    <row r="1144" spans="1:24" x14ac:dyDescent="0.3">
      <c r="A1144" t="s">
        <v>10</v>
      </c>
      <c r="B1144" t="s">
        <v>33</v>
      </c>
      <c r="C1144" t="s">
        <v>15</v>
      </c>
      <c r="D1144" s="3">
        <v>45657</v>
      </c>
      <c r="E1144" s="6">
        <v>0.1235552012754085</v>
      </c>
      <c r="F1144">
        <v>1</v>
      </c>
      <c r="G1144" t="s">
        <v>13</v>
      </c>
      <c r="H1144" s="6">
        <v>6.6000000000000003E-2</v>
      </c>
      <c r="I1144" s="8">
        <v>-5.4677392294813769E-2</v>
      </c>
      <c r="J1144" s="5">
        <f t="shared" si="204"/>
        <v>-2.475667272801203E-2</v>
      </c>
      <c r="K1144" s="5" cm="1">
        <f t="array" ref="K1144">_xlfn.STDEV.S(IF($C:$C=C1144,$I:$I))</f>
        <v>0.42334565134305008</v>
      </c>
      <c r="L1144" s="7">
        <f t="shared" si="207"/>
        <v>-7.0676808588630222E-2</v>
      </c>
      <c r="M1144">
        <f t="shared" si="205"/>
        <v>0</v>
      </c>
      <c r="N1144" s="9">
        <f t="shared" si="208"/>
        <v>0.87204850417285606</v>
      </c>
      <c r="O1144">
        <f>COUNTIFS($B$2:B1144,B1144,$C$2:C1144,C1144,$D$2:D1144,"&lt;"&amp;D1144,$F$2:F1144,1)</f>
        <v>0</v>
      </c>
      <c r="P1144">
        <f t="shared" si="206"/>
        <v>0</v>
      </c>
      <c r="Q1144" t="str">
        <f t="shared" si="209"/>
        <v>Monitor</v>
      </c>
      <c r="R1144">
        <v>0</v>
      </c>
      <c r="S1144">
        <f t="shared" si="210"/>
        <v>0</v>
      </c>
      <c r="T1144">
        <f t="shared" si="211"/>
        <v>0</v>
      </c>
      <c r="U1144" t="str">
        <f t="shared" si="212"/>
        <v>Not Improved Enough</v>
      </c>
      <c r="V1144" t="str">
        <f t="shared" si="213"/>
        <v>Far</v>
      </c>
      <c r="W1144" t="str">
        <f t="shared" si="214"/>
        <v>Normal</v>
      </c>
      <c r="X1144" t="str">
        <f t="shared" si="215"/>
        <v>Allowed</v>
      </c>
    </row>
    <row r="1145" spans="1:24" x14ac:dyDescent="0.3">
      <c r="A1145" t="s">
        <v>10</v>
      </c>
      <c r="B1145" t="s">
        <v>33</v>
      </c>
      <c r="C1145" t="s">
        <v>15</v>
      </c>
      <c r="D1145" s="3">
        <v>45688</v>
      </c>
      <c r="E1145" s="6">
        <v>0.12470308788598571</v>
      </c>
      <c r="F1145">
        <v>1</v>
      </c>
      <c r="G1145" t="s">
        <v>13</v>
      </c>
      <c r="H1145" s="6">
        <v>6.6000000000000003E-2</v>
      </c>
      <c r="I1145" s="8">
        <v>-9.2904758256070873E-3</v>
      </c>
      <c r="J1145" s="5">
        <f t="shared" si="204"/>
        <v>-2.475667272801203E-2</v>
      </c>
      <c r="K1145" s="5" cm="1">
        <f t="array" ref="K1145">_xlfn.STDEV.S(IF($C:$C=C1145,$I:$I))</f>
        <v>0.42334565134305008</v>
      </c>
      <c r="L1145" s="7">
        <f t="shared" si="207"/>
        <v>3.6533260359091782E-2</v>
      </c>
      <c r="M1145">
        <f t="shared" si="205"/>
        <v>0</v>
      </c>
      <c r="N1145" s="9">
        <f t="shared" si="208"/>
        <v>0.8894407255452379</v>
      </c>
      <c r="O1145">
        <f>COUNTIFS($B$2:B1145,B1145,$C$2:C1145,C1145,$D$2:D1145,"&lt;"&amp;D1145,$F$2:F1145,1)</f>
        <v>1</v>
      </c>
      <c r="P1145">
        <f t="shared" si="206"/>
        <v>-1</v>
      </c>
      <c r="Q1145" t="str">
        <f t="shared" si="209"/>
        <v>Monitor</v>
      </c>
      <c r="R1145">
        <v>1</v>
      </c>
      <c r="S1145">
        <f t="shared" si="210"/>
        <v>0</v>
      </c>
      <c r="T1145">
        <f t="shared" si="211"/>
        <v>0</v>
      </c>
      <c r="U1145" t="str">
        <f t="shared" si="212"/>
        <v>Not Improved Enough</v>
      </c>
      <c r="V1145" t="str">
        <f t="shared" si="213"/>
        <v>Far</v>
      </c>
      <c r="W1145" t="str">
        <f t="shared" si="214"/>
        <v>Normal</v>
      </c>
      <c r="X1145" t="str">
        <f t="shared" si="215"/>
        <v>Allowed</v>
      </c>
    </row>
    <row r="1146" spans="1:24" x14ac:dyDescent="0.3">
      <c r="A1146" t="s">
        <v>10</v>
      </c>
      <c r="B1146" t="s">
        <v>33</v>
      </c>
      <c r="C1146" t="s">
        <v>15</v>
      </c>
      <c r="D1146" s="3">
        <v>45716</v>
      </c>
      <c r="E1146" s="6">
        <v>0.13302397525135351</v>
      </c>
      <c r="F1146">
        <v>1</v>
      </c>
      <c r="G1146" t="s">
        <v>13</v>
      </c>
      <c r="H1146" s="6">
        <v>6.6000000000000003E-2</v>
      </c>
      <c r="I1146" s="8">
        <v>-6.6725592015616134E-2</v>
      </c>
      <c r="J1146" s="5">
        <f t="shared" si="204"/>
        <v>-2.475667272801203E-2</v>
      </c>
      <c r="K1146" s="5" cm="1">
        <f t="array" ref="K1146">_xlfn.STDEV.S(IF($C:$C=C1146,$I:$I))</f>
        <v>0.42334565134305008</v>
      </c>
      <c r="L1146" s="7">
        <f t="shared" si="207"/>
        <v>-9.9136294785263743E-2</v>
      </c>
      <c r="M1146">
        <f t="shared" si="205"/>
        <v>0</v>
      </c>
      <c r="N1146" s="9">
        <f t="shared" si="208"/>
        <v>1.0155147765356591</v>
      </c>
      <c r="O1146">
        <f>COUNTIFS($B$2:B1146,B1146,$C$2:C1146,C1146,$D$2:D1146,"&lt;"&amp;D1146,$F$2:F1146,1)</f>
        <v>2</v>
      </c>
      <c r="P1146">
        <f t="shared" si="206"/>
        <v>-1</v>
      </c>
      <c r="Q1146" t="str">
        <f t="shared" si="209"/>
        <v>Monitor</v>
      </c>
      <c r="R1146">
        <v>1</v>
      </c>
      <c r="S1146">
        <f t="shared" si="210"/>
        <v>0</v>
      </c>
      <c r="T1146">
        <f t="shared" si="211"/>
        <v>0</v>
      </c>
      <c r="U1146" t="str">
        <f t="shared" si="212"/>
        <v>Not Improved Enough</v>
      </c>
      <c r="V1146" t="str">
        <f t="shared" si="213"/>
        <v>Far</v>
      </c>
      <c r="W1146" t="str">
        <f t="shared" si="214"/>
        <v>Normal</v>
      </c>
      <c r="X1146" t="str">
        <f t="shared" si="215"/>
        <v>Allowed</v>
      </c>
    </row>
    <row r="1147" spans="1:24" x14ac:dyDescent="0.3">
      <c r="A1147" t="s">
        <v>10</v>
      </c>
      <c r="B1147" t="s">
        <v>33</v>
      </c>
      <c r="C1147" t="s">
        <v>15</v>
      </c>
      <c r="D1147" s="3">
        <v>45747</v>
      </c>
      <c r="E1147" s="6">
        <v>0.13422562141491401</v>
      </c>
      <c r="F1147">
        <v>1</v>
      </c>
      <c r="G1147" t="s">
        <v>13</v>
      </c>
      <c r="H1147" s="6">
        <v>6.6000000000000003E-2</v>
      </c>
      <c r="I1147" s="8">
        <v>-9.033305171417004E-3</v>
      </c>
      <c r="J1147" s="5">
        <f t="shared" si="204"/>
        <v>-2.475667272801203E-2</v>
      </c>
      <c r="K1147" s="5" cm="1">
        <f t="array" ref="K1147">_xlfn.STDEV.S(IF($C:$C=C1147,$I:$I))</f>
        <v>0.42334565134305008</v>
      </c>
      <c r="L1147" s="7">
        <f t="shared" si="207"/>
        <v>3.71407324173832E-2</v>
      </c>
      <c r="M1147">
        <f t="shared" si="205"/>
        <v>0</v>
      </c>
      <c r="N1147" s="9">
        <f t="shared" si="208"/>
        <v>1.0337215365896062</v>
      </c>
      <c r="O1147">
        <f>COUNTIFS($B$2:B1147,B1147,$C$2:C1147,C1147,$D$2:D1147,"&lt;"&amp;D1147,$F$2:F1147,1)</f>
        <v>3</v>
      </c>
      <c r="P1147">
        <f t="shared" si="206"/>
        <v>-1</v>
      </c>
      <c r="Q1147" t="str">
        <f t="shared" si="209"/>
        <v>Monitor</v>
      </c>
      <c r="R1147">
        <v>1</v>
      </c>
      <c r="S1147">
        <f t="shared" si="210"/>
        <v>0</v>
      </c>
      <c r="T1147">
        <f t="shared" si="211"/>
        <v>0</v>
      </c>
      <c r="U1147" t="str">
        <f t="shared" si="212"/>
        <v>Not Improved Enough</v>
      </c>
      <c r="V1147" t="str">
        <f t="shared" si="213"/>
        <v>Far</v>
      </c>
      <c r="W1147" t="str">
        <f t="shared" si="214"/>
        <v>Normal</v>
      </c>
      <c r="X1147" t="str">
        <f t="shared" si="215"/>
        <v>Allowed</v>
      </c>
    </row>
    <row r="1148" spans="1:24" x14ac:dyDescent="0.3">
      <c r="A1148" t="s">
        <v>10</v>
      </c>
      <c r="B1148" t="s">
        <v>33</v>
      </c>
      <c r="C1148" t="s">
        <v>15</v>
      </c>
      <c r="D1148" s="3">
        <v>45777</v>
      </c>
      <c r="E1148" s="6">
        <v>0.1145631067961165</v>
      </c>
      <c r="F1148">
        <v>1</v>
      </c>
      <c r="G1148" t="s">
        <v>13</v>
      </c>
      <c r="H1148" s="6">
        <v>6.6000000000000003E-2</v>
      </c>
      <c r="I1148" s="8">
        <v>0.14648853483804969</v>
      </c>
      <c r="J1148" s="5">
        <f t="shared" si="204"/>
        <v>-2.475667272801203E-2</v>
      </c>
      <c r="K1148" s="5" cm="1">
        <f t="array" ref="K1148">_xlfn.STDEV.S(IF($C:$C=C1148,$I:$I))</f>
        <v>0.42334565134305008</v>
      </c>
      <c r="L1148" s="7">
        <f t="shared" si="207"/>
        <v>0.40450446821124053</v>
      </c>
      <c r="M1148">
        <f t="shared" si="205"/>
        <v>0</v>
      </c>
      <c r="N1148" s="9">
        <f t="shared" si="208"/>
        <v>0.73580464842600757</v>
      </c>
      <c r="O1148">
        <f>COUNTIFS($B$2:B1148,B1148,$C$2:C1148,C1148,$D$2:D1148,"&lt;"&amp;D1148,$F$2:F1148,1)</f>
        <v>4</v>
      </c>
      <c r="P1148">
        <f t="shared" si="206"/>
        <v>1</v>
      </c>
      <c r="Q1148" t="str">
        <f t="shared" si="209"/>
        <v>Monitor</v>
      </c>
      <c r="R1148">
        <v>1</v>
      </c>
      <c r="S1148">
        <f t="shared" si="210"/>
        <v>0</v>
      </c>
      <c r="T1148">
        <f t="shared" si="211"/>
        <v>0</v>
      </c>
      <c r="U1148" t="str">
        <f t="shared" si="212"/>
        <v>Improved Enough</v>
      </c>
      <c r="V1148" t="str">
        <f t="shared" si="213"/>
        <v>Far</v>
      </c>
      <c r="W1148" t="str">
        <f t="shared" si="214"/>
        <v>Normal</v>
      </c>
      <c r="X1148" t="str">
        <f t="shared" si="215"/>
        <v>Allowed</v>
      </c>
    </row>
    <row r="1149" spans="1:24" x14ac:dyDescent="0.3">
      <c r="A1149" t="s">
        <v>10</v>
      </c>
      <c r="B1149" t="s">
        <v>33</v>
      </c>
      <c r="C1149" t="s">
        <v>15</v>
      </c>
      <c r="D1149" s="3">
        <v>45808</v>
      </c>
      <c r="E1149" s="6">
        <v>9.412231930103257E-2</v>
      </c>
      <c r="F1149">
        <v>1</v>
      </c>
      <c r="G1149" t="s">
        <v>13</v>
      </c>
      <c r="H1149" s="6">
        <v>6.6000000000000003E-2</v>
      </c>
      <c r="I1149" s="8">
        <v>0.17842382305030891</v>
      </c>
      <c r="J1149" s="5">
        <f t="shared" si="204"/>
        <v>-2.475667272801203E-2</v>
      </c>
      <c r="K1149" s="5" cm="1">
        <f t="array" ref="K1149">_xlfn.STDEV.S(IF($C:$C=C1149,$I:$I))</f>
        <v>0.42334565134305008</v>
      </c>
      <c r="L1149" s="7">
        <f t="shared" si="207"/>
        <v>0.47993996190521271</v>
      </c>
      <c r="M1149">
        <f t="shared" si="205"/>
        <v>0</v>
      </c>
      <c r="N1149" s="9">
        <f t="shared" si="208"/>
        <v>0.42609574698534192</v>
      </c>
      <c r="O1149">
        <f>COUNTIFS($B$2:B1149,B1149,$C$2:C1149,C1149,$D$2:D1149,"&lt;"&amp;D1149,$F$2:F1149,1)</f>
        <v>5</v>
      </c>
      <c r="P1149">
        <f t="shared" si="206"/>
        <v>1</v>
      </c>
      <c r="Q1149" t="str">
        <f t="shared" si="209"/>
        <v>Monitor</v>
      </c>
      <c r="R1149">
        <v>1</v>
      </c>
      <c r="S1149">
        <f t="shared" si="210"/>
        <v>0</v>
      </c>
      <c r="T1149">
        <f t="shared" si="211"/>
        <v>0</v>
      </c>
      <c r="U1149" t="str">
        <f t="shared" si="212"/>
        <v>Improved Enough</v>
      </c>
      <c r="V1149" t="str">
        <f t="shared" si="213"/>
        <v>Far</v>
      </c>
      <c r="W1149" t="str">
        <f t="shared" si="214"/>
        <v>Normal</v>
      </c>
      <c r="X1149" t="str">
        <f t="shared" si="215"/>
        <v>Maxed Out</v>
      </c>
    </row>
    <row r="1150" spans="1:24" x14ac:dyDescent="0.3">
      <c r="A1150" t="s">
        <v>10</v>
      </c>
      <c r="B1150" t="s">
        <v>33</v>
      </c>
      <c r="C1150" t="s">
        <v>15</v>
      </c>
      <c r="D1150" s="3">
        <v>45838</v>
      </c>
      <c r="E1150" s="6">
        <v>7.1768437747819186E-2</v>
      </c>
      <c r="F1150">
        <v>1</v>
      </c>
      <c r="G1150" t="s">
        <v>13</v>
      </c>
      <c r="H1150" s="6">
        <v>6.6000000000000003E-2</v>
      </c>
      <c r="I1150" s="8">
        <v>0.23749820148097589</v>
      </c>
      <c r="J1150" s="5">
        <f t="shared" si="204"/>
        <v>-2.475667272801203E-2</v>
      </c>
      <c r="K1150" s="5" cm="1">
        <f t="array" ref="K1150">_xlfn.STDEV.S(IF($C:$C=C1150,$I:$I))</f>
        <v>0.42334565134305008</v>
      </c>
      <c r="L1150" s="7">
        <f t="shared" si="207"/>
        <v>0.6194816773881886</v>
      </c>
      <c r="M1150">
        <f t="shared" si="205"/>
        <v>-1</v>
      </c>
      <c r="N1150" s="9">
        <f t="shared" si="208"/>
        <v>8.7400571936654278E-2</v>
      </c>
      <c r="O1150">
        <f>COUNTIFS($B$2:B1150,B1150,$C$2:C1150,C1150,$D$2:D1150,"&lt;"&amp;D1150,$F$2:F1150,1)</f>
        <v>6</v>
      </c>
      <c r="P1150">
        <f t="shared" si="206"/>
        <v>1</v>
      </c>
      <c r="Q1150" t="str">
        <f t="shared" si="209"/>
        <v>Monitor</v>
      </c>
      <c r="R1150">
        <v>1</v>
      </c>
      <c r="S1150">
        <f t="shared" si="210"/>
        <v>0</v>
      </c>
      <c r="T1150">
        <f t="shared" si="211"/>
        <v>0</v>
      </c>
      <c r="U1150" t="str">
        <f t="shared" si="212"/>
        <v>Improved Enough</v>
      </c>
      <c r="V1150" t="str">
        <f t="shared" si="213"/>
        <v>Far</v>
      </c>
      <c r="W1150" t="str">
        <f t="shared" si="214"/>
        <v>Normal</v>
      </c>
      <c r="X1150" t="str">
        <f t="shared" si="215"/>
        <v>Maxed Out</v>
      </c>
    </row>
    <row r="1151" spans="1:24" x14ac:dyDescent="0.3">
      <c r="A1151" t="s">
        <v>10</v>
      </c>
      <c r="B1151" t="s">
        <v>33</v>
      </c>
      <c r="C1151" t="s">
        <v>15</v>
      </c>
      <c r="D1151" s="3">
        <v>45869</v>
      </c>
      <c r="E1151" s="6">
        <v>6.2230919765166343E-2</v>
      </c>
      <c r="F1151">
        <v>0</v>
      </c>
      <c r="G1151" t="s">
        <v>13</v>
      </c>
      <c r="H1151" s="6">
        <v>6.6000000000000003E-2</v>
      </c>
      <c r="I1151" s="8">
        <v>0.1328929301229308</v>
      </c>
      <c r="J1151" s="5">
        <f t="shared" si="204"/>
        <v>-2.475667272801203E-2</v>
      </c>
      <c r="K1151" s="5" cm="1">
        <f t="array" ref="K1151">_xlfn.STDEV.S(IF($C:$C=C1151,$I:$I))</f>
        <v>0.42334565134305008</v>
      </c>
      <c r="L1151" s="7">
        <f t="shared" si="207"/>
        <v>0.3723898009836753</v>
      </c>
      <c r="M1151">
        <f t="shared" si="205"/>
        <v>0</v>
      </c>
      <c r="N1151" s="9">
        <f t="shared" si="208"/>
        <v>-5.7107276285358492E-2</v>
      </c>
      <c r="O1151">
        <f>COUNTIFS($B$2:B1151,B1151,$C$2:C1151,C1151,$D$2:D1151,"&lt;"&amp;D1151,$F$2:F1151,1)</f>
        <v>7</v>
      </c>
      <c r="P1151">
        <f t="shared" si="206"/>
        <v>1</v>
      </c>
      <c r="Q1151" t="str">
        <f t="shared" si="209"/>
        <v>Monitor</v>
      </c>
      <c r="R1151">
        <v>1</v>
      </c>
      <c r="S1151">
        <f t="shared" si="210"/>
        <v>0</v>
      </c>
      <c r="T1151">
        <f t="shared" si="211"/>
        <v>0</v>
      </c>
      <c r="U1151" t="str">
        <f t="shared" si="212"/>
        <v>Improved Enough</v>
      </c>
      <c r="V1151" t="str">
        <f t="shared" si="213"/>
        <v>Close</v>
      </c>
      <c r="W1151" t="str">
        <f t="shared" si="214"/>
        <v>Normal</v>
      </c>
      <c r="X1151" t="str">
        <f t="shared" si="215"/>
        <v>Maxed Out</v>
      </c>
    </row>
    <row r="1152" spans="1:24" x14ac:dyDescent="0.3">
      <c r="A1152" t="s">
        <v>10</v>
      </c>
      <c r="B1152" t="s">
        <v>33</v>
      </c>
      <c r="C1152" t="s">
        <v>15</v>
      </c>
      <c r="D1152" s="3">
        <v>45900</v>
      </c>
      <c r="E1152" s="6">
        <v>6.3251843228560339E-2</v>
      </c>
      <c r="F1152">
        <v>0</v>
      </c>
      <c r="G1152" t="s">
        <v>13</v>
      </c>
      <c r="H1152" s="6">
        <v>6.6000000000000003E-2</v>
      </c>
      <c r="I1152" s="8">
        <v>-1.6405405339444411E-2</v>
      </c>
      <c r="J1152" s="5">
        <f t="shared" si="204"/>
        <v>-2.475667272801203E-2</v>
      </c>
      <c r="K1152" s="5" cm="1">
        <f t="array" ref="K1152">_xlfn.STDEV.S(IF($C:$C=C1152,$I:$I))</f>
        <v>0.42334565134305008</v>
      </c>
      <c r="L1152" s="7">
        <f t="shared" si="207"/>
        <v>1.972682927549509E-2</v>
      </c>
      <c r="M1152">
        <f t="shared" si="205"/>
        <v>0</v>
      </c>
      <c r="N1152" s="9">
        <f t="shared" si="208"/>
        <v>-4.1638738961207025E-2</v>
      </c>
      <c r="O1152">
        <f>COUNTIFS($B$2:B1152,B1152,$C$2:C1152,C1152,$D$2:D1152,"&lt;"&amp;D1152,$F$2:F1152,1)</f>
        <v>7</v>
      </c>
      <c r="P1152">
        <f t="shared" si="206"/>
        <v>0</v>
      </c>
      <c r="Q1152" t="str">
        <f t="shared" si="209"/>
        <v>Monitor</v>
      </c>
      <c r="R1152">
        <v>0</v>
      </c>
      <c r="S1152">
        <f t="shared" si="210"/>
        <v>0</v>
      </c>
      <c r="T1152">
        <f t="shared" si="211"/>
        <v>0</v>
      </c>
      <c r="U1152" t="str">
        <f t="shared" si="212"/>
        <v>Not Improved Enough</v>
      </c>
      <c r="V1152" t="str">
        <f t="shared" si="213"/>
        <v>Close</v>
      </c>
      <c r="W1152" t="str">
        <f t="shared" si="214"/>
        <v>Normal</v>
      </c>
      <c r="X1152" t="str">
        <f t="shared" si="215"/>
        <v>Maxed Out</v>
      </c>
    </row>
    <row r="1153" spans="1:24" x14ac:dyDescent="0.3">
      <c r="A1153" t="s">
        <v>10</v>
      </c>
      <c r="B1153" t="s">
        <v>33</v>
      </c>
      <c r="C1153" t="s">
        <v>15</v>
      </c>
      <c r="D1153" s="3">
        <v>45930</v>
      </c>
      <c r="E1153" s="6">
        <v>5.644219540677306E-2</v>
      </c>
      <c r="F1153">
        <v>0</v>
      </c>
      <c r="G1153" t="s">
        <v>13</v>
      </c>
      <c r="H1153" s="6">
        <v>6.6000000000000003E-2</v>
      </c>
      <c r="I1153" s="8">
        <v>0.10765927875304181</v>
      </c>
      <c r="J1153" s="5">
        <f t="shared" si="204"/>
        <v>-2.475667272801203E-2</v>
      </c>
      <c r="K1153" s="5" cm="1">
        <f t="array" ref="K1153">_xlfn.STDEV.S(IF($C:$C=C1153,$I:$I))</f>
        <v>0.42334565134305008</v>
      </c>
      <c r="L1153" s="7">
        <f t="shared" si="207"/>
        <v>0.31278448487888943</v>
      </c>
      <c r="M1153">
        <f t="shared" si="205"/>
        <v>0</v>
      </c>
      <c r="N1153" s="9">
        <f t="shared" si="208"/>
        <v>-0.14481522110949913</v>
      </c>
      <c r="O1153">
        <f>COUNTIFS($B$2:B1153,B1153,$C$2:C1153,C1153,$D$2:D1153,"&lt;"&amp;D1153,$F$2:F1153,1)</f>
        <v>7</v>
      </c>
      <c r="P1153">
        <f t="shared" si="206"/>
        <v>0</v>
      </c>
      <c r="Q1153" t="str">
        <f t="shared" si="209"/>
        <v>Monitor</v>
      </c>
      <c r="R1153">
        <v>0</v>
      </c>
      <c r="S1153">
        <f t="shared" si="210"/>
        <v>0</v>
      </c>
      <c r="T1153">
        <f t="shared" si="211"/>
        <v>0</v>
      </c>
      <c r="U1153" t="str">
        <f t="shared" si="212"/>
        <v>Improved Enough</v>
      </c>
      <c r="V1153" t="str">
        <f t="shared" si="213"/>
        <v>Close</v>
      </c>
      <c r="W1153" t="str">
        <f t="shared" si="214"/>
        <v>Normal</v>
      </c>
      <c r="X1153" t="str">
        <f t="shared" si="215"/>
        <v>Maxed Out</v>
      </c>
    </row>
    <row r="1154" spans="1:24" x14ac:dyDescent="0.3">
      <c r="A1154" t="s">
        <v>10</v>
      </c>
      <c r="B1154" t="s">
        <v>33</v>
      </c>
      <c r="C1154" t="s">
        <v>15</v>
      </c>
      <c r="D1154" s="3">
        <v>45961</v>
      </c>
      <c r="E1154" s="6">
        <v>4.8463356973995272E-2</v>
      </c>
      <c r="F1154">
        <v>0</v>
      </c>
      <c r="G1154" t="s">
        <v>13</v>
      </c>
      <c r="H1154" s="6">
        <v>6.6000000000000003E-2</v>
      </c>
      <c r="I1154" s="8">
        <v>0.14136300644004229</v>
      </c>
      <c r="J1154" s="5">
        <f t="shared" ref="J1154:J1217" si="216">AVERAGEIF($C:$C,C1154,$I:$I)</f>
        <v>-2.475667272801203E-2</v>
      </c>
      <c r="K1154" s="5" cm="1">
        <f t="array" ref="K1154">_xlfn.STDEV.S(IF($C:$C=C1154,$I:$I))</f>
        <v>0.42334565134305008</v>
      </c>
      <c r="L1154" s="7">
        <f t="shared" si="207"/>
        <v>0.39239727310542843</v>
      </c>
      <c r="M1154">
        <f t="shared" ref="M1154:M1217" si="217">IF(L1154&lt;=-$Z$4,1,IF(L1154&gt;=$Z$4,-1,0))</f>
        <v>0</v>
      </c>
      <c r="N1154" s="9">
        <f t="shared" si="208"/>
        <v>-0.26570671251522315</v>
      </c>
      <c r="O1154">
        <f>COUNTIFS($B$2:B1154,B1154,$C$2:C1154,C1154,$D$2:D1154,"&lt;"&amp;D1154,$F$2:F1154,1)</f>
        <v>7</v>
      </c>
      <c r="P1154">
        <f t="shared" ref="P1154:P1217" si="218">IF(AND(R1154=1,I1154&gt;0),1,IF(R1154=1,-1,0))</f>
        <v>0</v>
      </c>
      <c r="Q1154" t="str">
        <f t="shared" si="209"/>
        <v>Monitor</v>
      </c>
      <c r="R1154">
        <v>0</v>
      </c>
      <c r="S1154">
        <f t="shared" si="210"/>
        <v>0</v>
      </c>
      <c r="T1154">
        <f t="shared" si="211"/>
        <v>0</v>
      </c>
      <c r="U1154" t="str">
        <f t="shared" si="212"/>
        <v>Improved Enough</v>
      </c>
      <c r="V1154" t="str">
        <f t="shared" si="213"/>
        <v>Close</v>
      </c>
      <c r="W1154" t="str">
        <f t="shared" si="214"/>
        <v>Normal</v>
      </c>
      <c r="X1154" t="str">
        <f t="shared" si="215"/>
        <v>Maxed Out</v>
      </c>
    </row>
    <row r="1155" spans="1:24" x14ac:dyDescent="0.3">
      <c r="A1155" t="s">
        <v>10</v>
      </c>
      <c r="B1155" t="s">
        <v>33</v>
      </c>
      <c r="C1155" t="s">
        <v>15</v>
      </c>
      <c r="D1155" s="3">
        <v>45991</v>
      </c>
      <c r="E1155" s="6">
        <v>4.6603475513428118E-2</v>
      </c>
      <c r="F1155">
        <v>0</v>
      </c>
      <c r="G1155" t="s">
        <v>13</v>
      </c>
      <c r="H1155" s="6">
        <v>6.6000000000000003E-2</v>
      </c>
      <c r="I1155" s="8">
        <v>3.8377066235117392E-2</v>
      </c>
      <c r="J1155" s="5">
        <f t="shared" si="216"/>
        <v>-2.475667272801203E-2</v>
      </c>
      <c r="K1155" s="5" cm="1">
        <f t="array" ref="K1155">_xlfn.STDEV.S(IF($C:$C=C1155,$I:$I))</f>
        <v>0.42334565134305008</v>
      </c>
      <c r="L1155" s="7">
        <f t="shared" ref="L1155:L1218" si="219">IFERROR((I1155-J1155)/K1155,0)</f>
        <v>0.14913047710030733</v>
      </c>
      <c r="M1155">
        <f t="shared" si="217"/>
        <v>0</v>
      </c>
      <c r="N1155" s="9">
        <f t="shared" ref="N1155:N1218" si="220">IFERROR(IF(G1155="DOWN",(E1155-H1155)/H1155,(H1155-E1155)/H1155),0)</f>
        <v>-0.29388673464502857</v>
      </c>
      <c r="O1155">
        <f>COUNTIFS($B$2:B1155,B1155,$C$2:C1155,C1155,$D$2:D1155,"&lt;"&amp;D1155,$F$2:F1155,1)</f>
        <v>7</v>
      </c>
      <c r="P1155">
        <f t="shared" si="218"/>
        <v>0</v>
      </c>
      <c r="Q1155" t="str">
        <f t="shared" ref="Q1155:Q1218" si="221">IF(I1155&gt;=$Z$1,"Monitor",IF(AND(N1155&gt;=$Z$2,L1155&lt;=-$Z$4),IF(O1155&lt;$Z$3,"Intervene","Escalate / Bigger Fix"),"Monitor"))</f>
        <v>Monitor</v>
      </c>
      <c r="R1155">
        <v>0</v>
      </c>
      <c r="S1155">
        <f t="shared" ref="S1155:S1218" si="222">IF(Q1155="Intervene",1,IF(Q1155="Escalate / Bigger Fix",-1,0))</f>
        <v>0</v>
      </c>
      <c r="T1155">
        <f t="shared" ref="T1155:T1218" si="223">IF(Q1155="Intervene",1,0)</f>
        <v>0</v>
      </c>
      <c r="U1155" t="str">
        <f t="shared" ref="U1155:U1218" si="224">IF(I1155&gt;=$Z$1,"Improved Enough","Not Improved Enough")</f>
        <v>Improved Enough</v>
      </c>
      <c r="V1155" t="str">
        <f t="shared" ref="V1155:V1218" si="225">IF(N1155&gt;=$Z$2,"Far","Close")</f>
        <v>Close</v>
      </c>
      <c r="W1155" t="str">
        <f t="shared" ref="W1155:W1218" si="226">IF(L1155&lt;=-$Z$4,"Abnormal","Normal")</f>
        <v>Normal</v>
      </c>
      <c r="X1155" t="str">
        <f t="shared" ref="X1155:X1218" si="227">IF(O1155&lt;$Z$3,"Allowed","Maxed Out")</f>
        <v>Maxed Out</v>
      </c>
    </row>
    <row r="1156" spans="1:24" x14ac:dyDescent="0.3">
      <c r="A1156" t="s">
        <v>10</v>
      </c>
      <c r="B1156" t="s">
        <v>33</v>
      </c>
      <c r="C1156" t="s">
        <v>16</v>
      </c>
      <c r="D1156" s="3">
        <v>45535</v>
      </c>
      <c r="E1156" s="6">
        <v>0.17338709677419359</v>
      </c>
      <c r="F1156">
        <v>0</v>
      </c>
      <c r="G1156" t="s">
        <v>17</v>
      </c>
      <c r="H1156" s="6">
        <v>0.16400000000000001</v>
      </c>
      <c r="I1156" s="8">
        <v>-8.0645161290322266E-3</v>
      </c>
      <c r="J1156" s="5">
        <f t="shared" si="216"/>
        <v>2.6472445732452773E-2</v>
      </c>
      <c r="K1156" s="5" cm="1">
        <f t="array" ref="K1156">_xlfn.STDEV.S(IF($C:$C=C1156,$I:$I))</f>
        <v>0.13493378643970674</v>
      </c>
      <c r="L1156" s="7">
        <f t="shared" si="219"/>
        <v>-0.25595488552392587</v>
      </c>
      <c r="M1156">
        <f t="shared" si="217"/>
        <v>0</v>
      </c>
      <c r="N1156" s="9">
        <f t="shared" si="220"/>
        <v>-5.7238394964595006E-2</v>
      </c>
      <c r="O1156">
        <f>COUNTIFS($B$2:B1156,B1156,$C$2:C1156,C1156,$D$2:D1156,"&lt;"&amp;D1156,$F$2:F1156,1)</f>
        <v>0</v>
      </c>
      <c r="P1156">
        <f t="shared" si="218"/>
        <v>0</v>
      </c>
      <c r="Q1156" t="str">
        <f t="shared" si="221"/>
        <v>Monitor</v>
      </c>
      <c r="R1156">
        <v>0</v>
      </c>
      <c r="S1156">
        <f t="shared" si="222"/>
        <v>0</v>
      </c>
      <c r="T1156">
        <f t="shared" si="223"/>
        <v>0</v>
      </c>
      <c r="U1156" t="str">
        <f t="shared" si="224"/>
        <v>Not Improved Enough</v>
      </c>
      <c r="V1156" t="str">
        <f t="shared" si="225"/>
        <v>Close</v>
      </c>
      <c r="W1156" t="str">
        <f t="shared" si="226"/>
        <v>Normal</v>
      </c>
      <c r="X1156" t="str">
        <f t="shared" si="227"/>
        <v>Allowed</v>
      </c>
    </row>
    <row r="1157" spans="1:24" x14ac:dyDescent="0.3">
      <c r="A1157" t="s">
        <v>10</v>
      </c>
      <c r="B1157" t="s">
        <v>33</v>
      </c>
      <c r="C1157" t="s">
        <v>16</v>
      </c>
      <c r="D1157" s="3">
        <v>45565</v>
      </c>
      <c r="E1157" s="6">
        <v>0.16996047430830041</v>
      </c>
      <c r="F1157">
        <v>0</v>
      </c>
      <c r="G1157" t="s">
        <v>17</v>
      </c>
      <c r="H1157" s="6">
        <v>0.16400000000000001</v>
      </c>
      <c r="I1157" s="8">
        <v>-1.97628458498025E-2</v>
      </c>
      <c r="J1157" s="5">
        <f t="shared" si="216"/>
        <v>2.6472445732452773E-2</v>
      </c>
      <c r="K1157" s="5" cm="1">
        <f t="array" ref="K1157">_xlfn.STDEV.S(IF($C:$C=C1157,$I:$I))</f>
        <v>0.13493378643970674</v>
      </c>
      <c r="L1157" s="7">
        <f t="shared" si="219"/>
        <v>-0.34265170201026601</v>
      </c>
      <c r="M1157">
        <f t="shared" si="217"/>
        <v>0</v>
      </c>
      <c r="N1157" s="9">
        <f t="shared" si="220"/>
        <v>-3.6344355538417111E-2</v>
      </c>
      <c r="O1157">
        <f>COUNTIFS($B$2:B1157,B1157,$C$2:C1157,C1157,$D$2:D1157,"&lt;"&amp;D1157,$F$2:F1157,1)</f>
        <v>0</v>
      </c>
      <c r="P1157">
        <f t="shared" si="218"/>
        <v>0</v>
      </c>
      <c r="Q1157" t="str">
        <f t="shared" si="221"/>
        <v>Monitor</v>
      </c>
      <c r="R1157">
        <v>0</v>
      </c>
      <c r="S1157">
        <f t="shared" si="222"/>
        <v>0</v>
      </c>
      <c r="T1157">
        <f t="shared" si="223"/>
        <v>0</v>
      </c>
      <c r="U1157" t="str">
        <f t="shared" si="224"/>
        <v>Not Improved Enough</v>
      </c>
      <c r="V1157" t="str">
        <f t="shared" si="225"/>
        <v>Close</v>
      </c>
      <c r="W1157" t="str">
        <f t="shared" si="226"/>
        <v>Normal</v>
      </c>
      <c r="X1157" t="str">
        <f t="shared" si="227"/>
        <v>Allowed</v>
      </c>
    </row>
    <row r="1158" spans="1:24" x14ac:dyDescent="0.3">
      <c r="A1158" t="s">
        <v>10</v>
      </c>
      <c r="B1158" t="s">
        <v>33</v>
      </c>
      <c r="C1158" t="s">
        <v>16</v>
      </c>
      <c r="D1158" s="3">
        <v>45596</v>
      </c>
      <c r="E1158" s="6">
        <v>0.17199999999999999</v>
      </c>
      <c r="F1158">
        <v>0</v>
      </c>
      <c r="G1158" t="s">
        <v>17</v>
      </c>
      <c r="H1158" s="6">
        <v>0.16400000000000001</v>
      </c>
      <c r="I1158" s="8">
        <v>1.1999999999999809E-2</v>
      </c>
      <c r="J1158" s="5">
        <f t="shared" si="216"/>
        <v>2.6472445732452773E-2</v>
      </c>
      <c r="K1158" s="5" cm="1">
        <f t="array" ref="K1158">_xlfn.STDEV.S(IF($C:$C=C1158,$I:$I))</f>
        <v>0.13493378643970674</v>
      </c>
      <c r="L1158" s="7">
        <f t="shared" si="219"/>
        <v>-0.10725590761450818</v>
      </c>
      <c r="M1158">
        <f t="shared" si="217"/>
        <v>0</v>
      </c>
      <c r="N1158" s="9">
        <f t="shared" si="220"/>
        <v>-4.8780487804877919E-2</v>
      </c>
      <c r="O1158">
        <f>COUNTIFS($B$2:B1158,B1158,$C$2:C1158,C1158,$D$2:D1158,"&lt;"&amp;D1158,$F$2:F1158,1)</f>
        <v>0</v>
      </c>
      <c r="P1158">
        <f t="shared" si="218"/>
        <v>0</v>
      </c>
      <c r="Q1158" t="str">
        <f t="shared" si="221"/>
        <v>Monitor</v>
      </c>
      <c r="R1158">
        <v>0</v>
      </c>
      <c r="S1158">
        <f t="shared" si="222"/>
        <v>0</v>
      </c>
      <c r="T1158">
        <f t="shared" si="223"/>
        <v>0</v>
      </c>
      <c r="U1158" t="str">
        <f t="shared" si="224"/>
        <v>Improved Enough</v>
      </c>
      <c r="V1158" t="str">
        <f t="shared" si="225"/>
        <v>Close</v>
      </c>
      <c r="W1158" t="str">
        <f t="shared" si="226"/>
        <v>Normal</v>
      </c>
      <c r="X1158" t="str">
        <f t="shared" si="227"/>
        <v>Allowed</v>
      </c>
    </row>
    <row r="1159" spans="1:24" x14ac:dyDescent="0.3">
      <c r="A1159" t="s">
        <v>10</v>
      </c>
      <c r="B1159" t="s">
        <v>33</v>
      </c>
      <c r="C1159" t="s">
        <v>16</v>
      </c>
      <c r="D1159" s="3">
        <v>45626</v>
      </c>
      <c r="E1159" s="6">
        <v>0.16935483900000001</v>
      </c>
      <c r="F1159">
        <v>0</v>
      </c>
      <c r="G1159" t="s">
        <v>17</v>
      </c>
      <c r="H1159" s="6">
        <v>0.16400000000000001</v>
      </c>
      <c r="I1159" s="8">
        <v>-1.537884302325569E-2</v>
      </c>
      <c r="J1159" s="5">
        <f t="shared" si="216"/>
        <v>2.6472445732452773E-2</v>
      </c>
      <c r="K1159" s="5" cm="1">
        <f t="array" ref="K1159">_xlfn.STDEV.S(IF($C:$C=C1159,$I:$I))</f>
        <v>0.13493378643970674</v>
      </c>
      <c r="L1159" s="7">
        <f t="shared" si="219"/>
        <v>-0.31016167158704255</v>
      </c>
      <c r="M1159">
        <f t="shared" si="217"/>
        <v>0</v>
      </c>
      <c r="N1159" s="9">
        <f t="shared" si="220"/>
        <v>-3.2651457317073168E-2</v>
      </c>
      <c r="O1159">
        <f>COUNTIFS($B$2:B1159,B1159,$C$2:C1159,C1159,$D$2:D1159,"&lt;"&amp;D1159,$F$2:F1159,1)</f>
        <v>0</v>
      </c>
      <c r="P1159">
        <f t="shared" si="218"/>
        <v>0</v>
      </c>
      <c r="Q1159" t="str">
        <f t="shared" si="221"/>
        <v>Monitor</v>
      </c>
      <c r="R1159">
        <v>0</v>
      </c>
      <c r="S1159">
        <f t="shared" si="222"/>
        <v>0</v>
      </c>
      <c r="T1159">
        <f t="shared" si="223"/>
        <v>0</v>
      </c>
      <c r="U1159" t="str">
        <f t="shared" si="224"/>
        <v>Not Improved Enough</v>
      </c>
      <c r="V1159" t="str">
        <f t="shared" si="225"/>
        <v>Close</v>
      </c>
      <c r="W1159" t="str">
        <f t="shared" si="226"/>
        <v>Normal</v>
      </c>
      <c r="X1159" t="str">
        <f t="shared" si="227"/>
        <v>Allowed</v>
      </c>
    </row>
    <row r="1160" spans="1:24" x14ac:dyDescent="0.3">
      <c r="A1160" t="s">
        <v>10</v>
      </c>
      <c r="B1160" t="s">
        <v>33</v>
      </c>
      <c r="C1160" t="s">
        <v>16</v>
      </c>
      <c r="D1160" s="3">
        <v>45657</v>
      </c>
      <c r="E1160" s="6">
        <v>0.16935483870967741</v>
      </c>
      <c r="F1160">
        <v>0</v>
      </c>
      <c r="G1160" t="s">
        <v>17</v>
      </c>
      <c r="H1160" s="6">
        <v>0.16400000000000001</v>
      </c>
      <c r="I1160" s="8">
        <v>-1.714285821466917E-9</v>
      </c>
      <c r="J1160" s="5">
        <f t="shared" si="216"/>
        <v>2.6472445732452773E-2</v>
      </c>
      <c r="K1160" s="5" cm="1">
        <f t="array" ref="K1160">_xlfn.STDEV.S(IF($C:$C=C1160,$I:$I))</f>
        <v>0.13493378643970674</v>
      </c>
      <c r="L1160" s="7">
        <f t="shared" si="219"/>
        <v>-0.19618842800774314</v>
      </c>
      <c r="M1160">
        <f t="shared" si="217"/>
        <v>0</v>
      </c>
      <c r="N1160" s="9">
        <f t="shared" si="220"/>
        <v>-3.2651455546813417E-2</v>
      </c>
      <c r="O1160">
        <f>COUNTIFS($B$2:B1160,B1160,$C$2:C1160,C1160,$D$2:D1160,"&lt;"&amp;D1160,$F$2:F1160,1)</f>
        <v>0</v>
      </c>
      <c r="P1160">
        <f t="shared" si="218"/>
        <v>0</v>
      </c>
      <c r="Q1160" t="str">
        <f t="shared" si="221"/>
        <v>Monitor</v>
      </c>
      <c r="R1160">
        <v>0</v>
      </c>
      <c r="S1160">
        <f t="shared" si="222"/>
        <v>0</v>
      </c>
      <c r="T1160">
        <f t="shared" si="223"/>
        <v>0</v>
      </c>
      <c r="U1160" t="str">
        <f t="shared" si="224"/>
        <v>Not Improved Enough</v>
      </c>
      <c r="V1160" t="str">
        <f t="shared" si="225"/>
        <v>Close</v>
      </c>
      <c r="W1160" t="str">
        <f t="shared" si="226"/>
        <v>Normal</v>
      </c>
      <c r="X1160" t="str">
        <f t="shared" si="227"/>
        <v>Allowed</v>
      </c>
    </row>
    <row r="1161" spans="1:24" x14ac:dyDescent="0.3">
      <c r="A1161" t="s">
        <v>10</v>
      </c>
      <c r="B1161" t="s">
        <v>33</v>
      </c>
      <c r="C1161" t="s">
        <v>16</v>
      </c>
      <c r="D1161" s="3">
        <v>45688</v>
      </c>
      <c r="E1161" s="6">
        <v>0.16400000000000001</v>
      </c>
      <c r="F1161">
        <v>0</v>
      </c>
      <c r="G1161" t="s">
        <v>17</v>
      </c>
      <c r="H1161" s="6">
        <v>0.16400000000000001</v>
      </c>
      <c r="I1161" s="8">
        <v>-3.1619047619047512E-2</v>
      </c>
      <c r="J1161" s="5">
        <f t="shared" si="216"/>
        <v>2.6472445732452773E-2</v>
      </c>
      <c r="K1161" s="5" cm="1">
        <f t="array" ref="K1161">_xlfn.STDEV.S(IF($C:$C=C1161,$I:$I))</f>
        <v>0.13493378643970674</v>
      </c>
      <c r="L1161" s="7">
        <f t="shared" si="219"/>
        <v>-0.43051851492700566</v>
      </c>
      <c r="M1161">
        <f t="shared" si="217"/>
        <v>0</v>
      </c>
      <c r="N1161" s="9">
        <f t="shared" si="220"/>
        <v>0</v>
      </c>
      <c r="O1161">
        <f>COUNTIFS($B$2:B1161,B1161,$C$2:C1161,C1161,$D$2:D1161,"&lt;"&amp;D1161,$F$2:F1161,1)</f>
        <v>0</v>
      </c>
      <c r="P1161">
        <f t="shared" si="218"/>
        <v>0</v>
      </c>
      <c r="Q1161" t="str">
        <f t="shared" si="221"/>
        <v>Monitor</v>
      </c>
      <c r="R1161">
        <v>0</v>
      </c>
      <c r="S1161">
        <f t="shared" si="222"/>
        <v>0</v>
      </c>
      <c r="T1161">
        <f t="shared" si="223"/>
        <v>0</v>
      </c>
      <c r="U1161" t="str">
        <f t="shared" si="224"/>
        <v>Not Improved Enough</v>
      </c>
      <c r="V1161" t="str">
        <f t="shared" si="225"/>
        <v>Close</v>
      </c>
      <c r="W1161" t="str">
        <f t="shared" si="226"/>
        <v>Normal</v>
      </c>
      <c r="X1161" t="str">
        <f t="shared" si="227"/>
        <v>Allowed</v>
      </c>
    </row>
    <row r="1162" spans="1:24" x14ac:dyDescent="0.3">
      <c r="A1162" t="s">
        <v>10</v>
      </c>
      <c r="B1162" t="s">
        <v>33</v>
      </c>
      <c r="C1162" t="s">
        <v>16</v>
      </c>
      <c r="D1162" s="3">
        <v>45716</v>
      </c>
      <c r="E1162" s="6">
        <v>0.16666666666666671</v>
      </c>
      <c r="F1162">
        <v>1</v>
      </c>
      <c r="G1162" t="s">
        <v>17</v>
      </c>
      <c r="H1162" s="6">
        <v>0.16400000000000001</v>
      </c>
      <c r="I1162" s="8">
        <v>1.6260162601626261E-2</v>
      </c>
      <c r="J1162" s="5">
        <f t="shared" si="216"/>
        <v>2.6472445732452773E-2</v>
      </c>
      <c r="K1162" s="5" cm="1">
        <f t="array" ref="K1162">_xlfn.STDEV.S(IF($C:$C=C1162,$I:$I))</f>
        <v>0.13493378643970674</v>
      </c>
      <c r="L1162" s="7">
        <f t="shared" si="219"/>
        <v>-7.568366233752527E-2</v>
      </c>
      <c r="M1162">
        <f t="shared" si="217"/>
        <v>0</v>
      </c>
      <c r="N1162" s="9">
        <f t="shared" si="220"/>
        <v>-1.6260162601626257E-2</v>
      </c>
      <c r="O1162">
        <f>COUNTIFS($B$2:B1162,B1162,$C$2:C1162,C1162,$D$2:D1162,"&lt;"&amp;D1162,$F$2:F1162,1)</f>
        <v>0</v>
      </c>
      <c r="P1162">
        <f t="shared" si="218"/>
        <v>0</v>
      </c>
      <c r="Q1162" t="str">
        <f t="shared" si="221"/>
        <v>Monitor</v>
      </c>
      <c r="R1162">
        <v>0</v>
      </c>
      <c r="S1162">
        <f t="shared" si="222"/>
        <v>0</v>
      </c>
      <c r="T1162">
        <f t="shared" si="223"/>
        <v>0</v>
      </c>
      <c r="U1162" t="str">
        <f t="shared" si="224"/>
        <v>Improved Enough</v>
      </c>
      <c r="V1162" t="str">
        <f t="shared" si="225"/>
        <v>Close</v>
      </c>
      <c r="W1162" t="str">
        <f t="shared" si="226"/>
        <v>Normal</v>
      </c>
      <c r="X1162" t="str">
        <f t="shared" si="227"/>
        <v>Allowed</v>
      </c>
    </row>
    <row r="1163" spans="1:24" x14ac:dyDescent="0.3">
      <c r="A1163" t="s">
        <v>10</v>
      </c>
      <c r="B1163" t="s">
        <v>33</v>
      </c>
      <c r="C1163" t="s">
        <v>16</v>
      </c>
      <c r="D1163" s="3">
        <v>45747</v>
      </c>
      <c r="E1163" s="6">
        <v>0.16666666666666671</v>
      </c>
      <c r="F1163">
        <v>1</v>
      </c>
      <c r="G1163" t="s">
        <v>17</v>
      </c>
      <c r="H1163" s="6">
        <v>0.16400000000000001</v>
      </c>
      <c r="I1163" s="8">
        <v>0</v>
      </c>
      <c r="J1163" s="5">
        <f t="shared" si="216"/>
        <v>2.6472445732452773E-2</v>
      </c>
      <c r="K1163" s="5" cm="1">
        <f t="array" ref="K1163">_xlfn.STDEV.S(IF($C:$C=C1163,$I:$I))</f>
        <v>0.13493378643970674</v>
      </c>
      <c r="L1163" s="7">
        <f t="shared" si="219"/>
        <v>-0.19618841530309838</v>
      </c>
      <c r="M1163">
        <f t="shared" si="217"/>
        <v>0</v>
      </c>
      <c r="N1163" s="9">
        <f t="shared" si="220"/>
        <v>-1.6260162601626257E-2</v>
      </c>
      <c r="O1163">
        <f>COUNTIFS($B$2:B1163,B1163,$C$2:C1163,C1163,$D$2:D1163,"&lt;"&amp;D1163,$F$2:F1163,1)</f>
        <v>1</v>
      </c>
      <c r="P1163">
        <f t="shared" si="218"/>
        <v>-1</v>
      </c>
      <c r="Q1163" t="str">
        <f t="shared" si="221"/>
        <v>Monitor</v>
      </c>
      <c r="R1163">
        <v>1</v>
      </c>
      <c r="S1163">
        <f t="shared" si="222"/>
        <v>0</v>
      </c>
      <c r="T1163">
        <f t="shared" si="223"/>
        <v>0</v>
      </c>
      <c r="U1163" t="str">
        <f t="shared" si="224"/>
        <v>Not Improved Enough</v>
      </c>
      <c r="V1163" t="str">
        <f t="shared" si="225"/>
        <v>Close</v>
      </c>
      <c r="W1163" t="str">
        <f t="shared" si="226"/>
        <v>Normal</v>
      </c>
      <c r="X1163" t="str">
        <f t="shared" si="227"/>
        <v>Allowed</v>
      </c>
    </row>
    <row r="1164" spans="1:24" x14ac:dyDescent="0.3">
      <c r="A1164" t="s">
        <v>10</v>
      </c>
      <c r="B1164" t="s">
        <v>33</v>
      </c>
      <c r="C1164" t="s">
        <v>16</v>
      </c>
      <c r="D1164" s="3">
        <v>45777</v>
      </c>
      <c r="E1164" s="6">
        <v>0.16867469879518071</v>
      </c>
      <c r="F1164">
        <v>1</v>
      </c>
      <c r="G1164" t="s">
        <v>17</v>
      </c>
      <c r="H1164" s="6">
        <v>0.16400000000000001</v>
      </c>
      <c r="I1164" s="8">
        <v>1.2048192771083981E-2</v>
      </c>
      <c r="J1164" s="5">
        <f t="shared" si="216"/>
        <v>2.6472445732452773E-2</v>
      </c>
      <c r="K1164" s="5" cm="1">
        <f t="array" ref="K1164">_xlfn.STDEV.S(IF($C:$C=C1164,$I:$I))</f>
        <v>0.13493378643970674</v>
      </c>
      <c r="L1164" s="7">
        <f t="shared" si="219"/>
        <v>-0.10689874894909339</v>
      </c>
      <c r="M1164">
        <f t="shared" si="217"/>
        <v>0</v>
      </c>
      <c r="N1164" s="9">
        <f t="shared" si="220"/>
        <v>-2.8504260946223804E-2</v>
      </c>
      <c r="O1164">
        <f>COUNTIFS($B$2:B1164,B1164,$C$2:C1164,C1164,$D$2:D1164,"&lt;"&amp;D1164,$F$2:F1164,1)</f>
        <v>2</v>
      </c>
      <c r="P1164">
        <f t="shared" si="218"/>
        <v>1</v>
      </c>
      <c r="Q1164" t="str">
        <f t="shared" si="221"/>
        <v>Monitor</v>
      </c>
      <c r="R1164">
        <v>1</v>
      </c>
      <c r="S1164">
        <f t="shared" si="222"/>
        <v>0</v>
      </c>
      <c r="T1164">
        <f t="shared" si="223"/>
        <v>0</v>
      </c>
      <c r="U1164" t="str">
        <f t="shared" si="224"/>
        <v>Improved Enough</v>
      </c>
      <c r="V1164" t="str">
        <f t="shared" si="225"/>
        <v>Close</v>
      </c>
      <c r="W1164" t="str">
        <f t="shared" si="226"/>
        <v>Normal</v>
      </c>
      <c r="X1164" t="str">
        <f t="shared" si="227"/>
        <v>Allowed</v>
      </c>
    </row>
    <row r="1165" spans="1:24" x14ac:dyDescent="0.3">
      <c r="A1165" t="s">
        <v>10</v>
      </c>
      <c r="B1165" t="s">
        <v>33</v>
      </c>
      <c r="C1165" t="s">
        <v>16</v>
      </c>
      <c r="D1165" s="3">
        <v>45808</v>
      </c>
      <c r="E1165" s="6">
        <v>0.16935483870967741</v>
      </c>
      <c r="F1165">
        <v>1</v>
      </c>
      <c r="G1165" t="s">
        <v>17</v>
      </c>
      <c r="H1165" s="6">
        <v>0.16400000000000001</v>
      </c>
      <c r="I1165" s="8">
        <v>4.0322580645161324E-3</v>
      </c>
      <c r="J1165" s="5">
        <f t="shared" si="216"/>
        <v>2.6472445732452773E-2</v>
      </c>
      <c r="K1165" s="5" cm="1">
        <f t="array" ref="K1165">_xlfn.STDEV.S(IF($C:$C=C1165,$I:$I))</f>
        <v>0.13493378643970674</v>
      </c>
      <c r="L1165" s="7">
        <f t="shared" si="219"/>
        <v>-0.1663051801926845</v>
      </c>
      <c r="M1165">
        <f t="shared" si="217"/>
        <v>0</v>
      </c>
      <c r="N1165" s="9">
        <f t="shared" si="220"/>
        <v>-3.2651455546813417E-2</v>
      </c>
      <c r="O1165">
        <f>COUNTIFS($B$2:B1165,B1165,$C$2:C1165,C1165,$D$2:D1165,"&lt;"&amp;D1165,$F$2:F1165,1)</f>
        <v>3</v>
      </c>
      <c r="P1165">
        <f t="shared" si="218"/>
        <v>1</v>
      </c>
      <c r="Q1165" t="str">
        <f t="shared" si="221"/>
        <v>Monitor</v>
      </c>
      <c r="R1165">
        <v>1</v>
      </c>
      <c r="S1165">
        <f t="shared" si="222"/>
        <v>0</v>
      </c>
      <c r="T1165">
        <f t="shared" si="223"/>
        <v>0</v>
      </c>
      <c r="U1165" t="str">
        <f t="shared" si="224"/>
        <v>Not Improved Enough</v>
      </c>
      <c r="V1165" t="str">
        <f t="shared" si="225"/>
        <v>Close</v>
      </c>
      <c r="W1165" t="str">
        <f t="shared" si="226"/>
        <v>Normal</v>
      </c>
      <c r="X1165" t="str">
        <f t="shared" si="227"/>
        <v>Allowed</v>
      </c>
    </row>
    <row r="1166" spans="1:24" x14ac:dyDescent="0.3">
      <c r="A1166" t="s">
        <v>10</v>
      </c>
      <c r="B1166" t="s">
        <v>33</v>
      </c>
      <c r="C1166" t="s">
        <v>16</v>
      </c>
      <c r="D1166" s="3">
        <v>45838</v>
      </c>
      <c r="E1166" s="6">
        <v>0.17551020408163259</v>
      </c>
      <c r="F1166">
        <v>1</v>
      </c>
      <c r="G1166" t="s">
        <v>17</v>
      </c>
      <c r="H1166" s="6">
        <v>0.16400000000000001</v>
      </c>
      <c r="I1166" s="8">
        <v>3.6345966958211573E-2</v>
      </c>
      <c r="J1166" s="5">
        <f t="shared" si="216"/>
        <v>2.6472445732452773E-2</v>
      </c>
      <c r="K1166" s="5" cm="1">
        <f t="array" ref="K1166">_xlfn.STDEV.S(IF($C:$C=C1166,$I:$I))</f>
        <v>0.13493378643970674</v>
      </c>
      <c r="L1166" s="7">
        <f t="shared" si="219"/>
        <v>7.3173083526938923E-2</v>
      </c>
      <c r="M1166">
        <f t="shared" si="217"/>
        <v>0</v>
      </c>
      <c r="N1166" s="9">
        <f t="shared" si="220"/>
        <v>-7.0184171229466977E-2</v>
      </c>
      <c r="O1166">
        <f>COUNTIFS($B$2:B1166,B1166,$C$2:C1166,C1166,$D$2:D1166,"&lt;"&amp;D1166,$F$2:F1166,1)</f>
        <v>4</v>
      </c>
      <c r="P1166">
        <f t="shared" si="218"/>
        <v>1</v>
      </c>
      <c r="Q1166" t="str">
        <f t="shared" si="221"/>
        <v>Monitor</v>
      </c>
      <c r="R1166">
        <v>1</v>
      </c>
      <c r="S1166">
        <f t="shared" si="222"/>
        <v>0</v>
      </c>
      <c r="T1166">
        <f t="shared" si="223"/>
        <v>0</v>
      </c>
      <c r="U1166" t="str">
        <f t="shared" si="224"/>
        <v>Improved Enough</v>
      </c>
      <c r="V1166" t="str">
        <f t="shared" si="225"/>
        <v>Close</v>
      </c>
      <c r="W1166" t="str">
        <f t="shared" si="226"/>
        <v>Normal</v>
      </c>
      <c r="X1166" t="str">
        <f t="shared" si="227"/>
        <v>Allowed</v>
      </c>
    </row>
    <row r="1167" spans="1:24" x14ac:dyDescent="0.3">
      <c r="A1167" t="s">
        <v>10</v>
      </c>
      <c r="B1167" t="s">
        <v>33</v>
      </c>
      <c r="C1167" t="s">
        <v>16</v>
      </c>
      <c r="D1167" s="3">
        <v>45869</v>
      </c>
      <c r="E1167" s="6">
        <v>0.18367346938775511</v>
      </c>
      <c r="F1167">
        <v>0</v>
      </c>
      <c r="G1167" t="s">
        <v>17</v>
      </c>
      <c r="H1167" s="6">
        <v>0.16400000000000001</v>
      </c>
      <c r="I1167" s="8">
        <v>4.651162790697716E-2</v>
      </c>
      <c r="J1167" s="5">
        <f t="shared" si="216"/>
        <v>2.6472445732452773E-2</v>
      </c>
      <c r="K1167" s="5" cm="1">
        <f t="array" ref="K1167">_xlfn.STDEV.S(IF($C:$C=C1167,$I:$I))</f>
        <v>0.13493378643970674</v>
      </c>
      <c r="L1167" s="7">
        <f t="shared" si="219"/>
        <v>0.14851122690074819</v>
      </c>
      <c r="M1167">
        <f t="shared" si="217"/>
        <v>0</v>
      </c>
      <c r="N1167" s="9">
        <f t="shared" si="220"/>
        <v>-0.11996017919362868</v>
      </c>
      <c r="O1167">
        <f>COUNTIFS($B$2:B1167,B1167,$C$2:C1167,C1167,$D$2:D1167,"&lt;"&amp;D1167,$F$2:F1167,1)</f>
        <v>5</v>
      </c>
      <c r="P1167">
        <f t="shared" si="218"/>
        <v>1</v>
      </c>
      <c r="Q1167" t="str">
        <f t="shared" si="221"/>
        <v>Monitor</v>
      </c>
      <c r="R1167">
        <v>1</v>
      </c>
      <c r="S1167">
        <f t="shared" si="222"/>
        <v>0</v>
      </c>
      <c r="T1167">
        <f t="shared" si="223"/>
        <v>0</v>
      </c>
      <c r="U1167" t="str">
        <f t="shared" si="224"/>
        <v>Improved Enough</v>
      </c>
      <c r="V1167" t="str">
        <f t="shared" si="225"/>
        <v>Close</v>
      </c>
      <c r="W1167" t="str">
        <f t="shared" si="226"/>
        <v>Normal</v>
      </c>
      <c r="X1167" t="str">
        <f t="shared" si="227"/>
        <v>Maxed Out</v>
      </c>
    </row>
    <row r="1168" spans="1:24" x14ac:dyDescent="0.3">
      <c r="A1168" t="s">
        <v>10</v>
      </c>
      <c r="B1168" t="s">
        <v>33</v>
      </c>
      <c r="C1168" t="s">
        <v>16</v>
      </c>
      <c r="D1168" s="3">
        <v>45900</v>
      </c>
      <c r="E1168" s="6">
        <v>0.19008264462809921</v>
      </c>
      <c r="F1168">
        <v>0</v>
      </c>
      <c r="G1168" t="s">
        <v>17</v>
      </c>
      <c r="H1168" s="6">
        <v>0.16400000000000001</v>
      </c>
      <c r="I1168" s="8">
        <v>3.4894398530762302E-2</v>
      </c>
      <c r="J1168" s="5">
        <f t="shared" si="216"/>
        <v>2.6472445732452773E-2</v>
      </c>
      <c r="K1168" s="5" cm="1">
        <f t="array" ref="K1168">_xlfn.STDEV.S(IF($C:$C=C1168,$I:$I))</f>
        <v>0.13493378643970674</v>
      </c>
      <c r="L1168" s="7">
        <f t="shared" si="219"/>
        <v>6.24154484990515E-2</v>
      </c>
      <c r="M1168">
        <f t="shared" si="217"/>
        <v>0</v>
      </c>
      <c r="N1168" s="9">
        <f t="shared" si="220"/>
        <v>-0.15904051602499511</v>
      </c>
      <c r="O1168">
        <f>COUNTIFS($B$2:B1168,B1168,$C$2:C1168,C1168,$D$2:D1168,"&lt;"&amp;D1168,$F$2:F1168,1)</f>
        <v>5</v>
      </c>
      <c r="P1168">
        <f t="shared" si="218"/>
        <v>0</v>
      </c>
      <c r="Q1168" t="str">
        <f t="shared" si="221"/>
        <v>Monitor</v>
      </c>
      <c r="R1168">
        <v>0</v>
      </c>
      <c r="S1168">
        <f t="shared" si="222"/>
        <v>0</v>
      </c>
      <c r="T1168">
        <f t="shared" si="223"/>
        <v>0</v>
      </c>
      <c r="U1168" t="str">
        <f t="shared" si="224"/>
        <v>Improved Enough</v>
      </c>
      <c r="V1168" t="str">
        <f t="shared" si="225"/>
        <v>Close</v>
      </c>
      <c r="W1168" t="str">
        <f t="shared" si="226"/>
        <v>Normal</v>
      </c>
      <c r="X1168" t="str">
        <f t="shared" si="227"/>
        <v>Maxed Out</v>
      </c>
    </row>
    <row r="1169" spans="1:24" x14ac:dyDescent="0.3">
      <c r="A1169" t="s">
        <v>10</v>
      </c>
      <c r="B1169" t="s">
        <v>33</v>
      </c>
      <c r="C1169" t="s">
        <v>16</v>
      </c>
      <c r="D1169" s="3">
        <v>45930</v>
      </c>
      <c r="E1169" s="6">
        <v>0.1882845188284519</v>
      </c>
      <c r="F1169">
        <v>0</v>
      </c>
      <c r="G1169" t="s">
        <v>17</v>
      </c>
      <c r="H1169" s="6">
        <v>0.16400000000000001</v>
      </c>
      <c r="I1169" s="8">
        <v>-9.4597052937966872E-3</v>
      </c>
      <c r="J1169" s="5">
        <f t="shared" si="216"/>
        <v>2.6472445732452773E-2</v>
      </c>
      <c r="K1169" s="5" cm="1">
        <f t="array" ref="K1169">_xlfn.STDEV.S(IF($C:$C=C1169,$I:$I))</f>
        <v>0.13493378643970674</v>
      </c>
      <c r="L1169" s="7">
        <f t="shared" si="219"/>
        <v>-0.26629469145079709</v>
      </c>
      <c r="M1169">
        <f t="shared" si="217"/>
        <v>0</v>
      </c>
      <c r="N1169" s="9">
        <f t="shared" si="220"/>
        <v>-0.14807633431982861</v>
      </c>
      <c r="O1169">
        <f>COUNTIFS($B$2:B1169,B1169,$C$2:C1169,C1169,$D$2:D1169,"&lt;"&amp;D1169,$F$2:F1169,1)</f>
        <v>5</v>
      </c>
      <c r="P1169">
        <f t="shared" si="218"/>
        <v>0</v>
      </c>
      <c r="Q1169" t="str">
        <f t="shared" si="221"/>
        <v>Monitor</v>
      </c>
      <c r="R1169">
        <v>0</v>
      </c>
      <c r="S1169">
        <f t="shared" si="222"/>
        <v>0</v>
      </c>
      <c r="T1169">
        <f t="shared" si="223"/>
        <v>0</v>
      </c>
      <c r="U1169" t="str">
        <f t="shared" si="224"/>
        <v>Not Improved Enough</v>
      </c>
      <c r="V1169" t="str">
        <f t="shared" si="225"/>
        <v>Close</v>
      </c>
      <c r="W1169" t="str">
        <f t="shared" si="226"/>
        <v>Normal</v>
      </c>
      <c r="X1169" t="str">
        <f t="shared" si="227"/>
        <v>Maxed Out</v>
      </c>
    </row>
    <row r="1170" spans="1:24" x14ac:dyDescent="0.3">
      <c r="A1170" t="s">
        <v>10</v>
      </c>
      <c r="B1170" t="s">
        <v>33</v>
      </c>
      <c r="C1170" t="s">
        <v>16</v>
      </c>
      <c r="D1170" s="3">
        <v>45961</v>
      </c>
      <c r="E1170" s="6">
        <v>0.18907563025210081</v>
      </c>
      <c r="F1170">
        <v>0</v>
      </c>
      <c r="G1170" t="s">
        <v>17</v>
      </c>
      <c r="H1170" s="6">
        <v>0.16400000000000001</v>
      </c>
      <c r="I1170" s="8">
        <v>4.2016806722686272E-3</v>
      </c>
      <c r="J1170" s="5">
        <f t="shared" si="216"/>
        <v>2.6472445732452773E-2</v>
      </c>
      <c r="K1170" s="5" cm="1">
        <f t="array" ref="K1170">_xlfn.STDEV.S(IF($C:$C=C1170,$I:$I))</f>
        <v>0.13493378643970674</v>
      </c>
      <c r="L1170" s="7">
        <f t="shared" si="219"/>
        <v>-0.16504958207880369</v>
      </c>
      <c r="M1170">
        <f t="shared" si="217"/>
        <v>0</v>
      </c>
      <c r="N1170" s="9">
        <f t="shared" si="220"/>
        <v>-0.15290018446402925</v>
      </c>
      <c r="O1170">
        <f>COUNTIFS($B$2:B1170,B1170,$C$2:C1170,C1170,$D$2:D1170,"&lt;"&amp;D1170,$F$2:F1170,1)</f>
        <v>5</v>
      </c>
      <c r="P1170">
        <f t="shared" si="218"/>
        <v>0</v>
      </c>
      <c r="Q1170" t="str">
        <f t="shared" si="221"/>
        <v>Monitor</v>
      </c>
      <c r="R1170">
        <v>0</v>
      </c>
      <c r="S1170">
        <f t="shared" si="222"/>
        <v>0</v>
      </c>
      <c r="T1170">
        <f t="shared" si="223"/>
        <v>0</v>
      </c>
      <c r="U1170" t="str">
        <f t="shared" si="224"/>
        <v>Not Improved Enough</v>
      </c>
      <c r="V1170" t="str">
        <f t="shared" si="225"/>
        <v>Close</v>
      </c>
      <c r="W1170" t="str">
        <f t="shared" si="226"/>
        <v>Normal</v>
      </c>
      <c r="X1170" t="str">
        <f t="shared" si="227"/>
        <v>Maxed Out</v>
      </c>
    </row>
    <row r="1171" spans="1:24" x14ac:dyDescent="0.3">
      <c r="A1171" t="s">
        <v>10</v>
      </c>
      <c r="B1171" t="s">
        <v>33</v>
      </c>
      <c r="C1171" t="s">
        <v>16</v>
      </c>
      <c r="D1171" s="3">
        <v>45991</v>
      </c>
      <c r="E1171" s="6">
        <v>0.18257261410788381</v>
      </c>
      <c r="F1171">
        <v>0</v>
      </c>
      <c r="G1171" t="s">
        <v>17</v>
      </c>
      <c r="H1171" s="6">
        <v>0.16400000000000001</v>
      </c>
      <c r="I1171" s="8">
        <v>-3.4393729829414361E-2</v>
      </c>
      <c r="J1171" s="5">
        <f t="shared" si="216"/>
        <v>2.6472445732452773E-2</v>
      </c>
      <c r="K1171" s="5" cm="1">
        <f t="array" ref="K1171">_xlfn.STDEV.S(IF($C:$C=C1171,$I:$I))</f>
        <v>0.13493378643970674</v>
      </c>
      <c r="L1171" s="7">
        <f t="shared" si="219"/>
        <v>-0.45108180217757632</v>
      </c>
      <c r="M1171">
        <f t="shared" si="217"/>
        <v>0</v>
      </c>
      <c r="N1171" s="9">
        <f t="shared" si="220"/>
        <v>-0.11324764699929146</v>
      </c>
      <c r="O1171">
        <f>COUNTIFS($B$2:B1171,B1171,$C$2:C1171,C1171,$D$2:D1171,"&lt;"&amp;D1171,$F$2:F1171,1)</f>
        <v>5</v>
      </c>
      <c r="P1171">
        <f t="shared" si="218"/>
        <v>0</v>
      </c>
      <c r="Q1171" t="str">
        <f t="shared" si="221"/>
        <v>Monitor</v>
      </c>
      <c r="R1171">
        <v>0</v>
      </c>
      <c r="S1171">
        <f t="shared" si="222"/>
        <v>0</v>
      </c>
      <c r="T1171">
        <f t="shared" si="223"/>
        <v>0</v>
      </c>
      <c r="U1171" t="str">
        <f t="shared" si="224"/>
        <v>Not Improved Enough</v>
      </c>
      <c r="V1171" t="str">
        <f t="shared" si="225"/>
        <v>Close</v>
      </c>
      <c r="W1171" t="str">
        <f t="shared" si="226"/>
        <v>Normal</v>
      </c>
      <c r="X1171" t="str">
        <f t="shared" si="227"/>
        <v>Maxed Out</v>
      </c>
    </row>
    <row r="1172" spans="1:24" x14ac:dyDescent="0.3">
      <c r="A1172" t="s">
        <v>10</v>
      </c>
      <c r="B1172" t="s">
        <v>33</v>
      </c>
      <c r="C1172" t="s">
        <v>18</v>
      </c>
      <c r="D1172" s="3">
        <v>45535</v>
      </c>
      <c r="E1172" s="6">
        <v>0.13931763884787801</v>
      </c>
      <c r="F1172">
        <v>1</v>
      </c>
      <c r="G1172" t="s">
        <v>13</v>
      </c>
      <c r="H1172" s="6">
        <v>0.104</v>
      </c>
      <c r="I1172" s="8">
        <v>-1.0080349389686881E-3</v>
      </c>
      <c r="J1172" s="5">
        <f t="shared" si="216"/>
        <v>1.7244519882342341E-3</v>
      </c>
      <c r="K1172" s="5" cm="1">
        <f t="array" ref="K1172">_xlfn.STDEV.S(IF($C:$C=C1172,$I:$I))</f>
        <v>8.3117651155014696E-2</v>
      </c>
      <c r="L1172" s="7">
        <f t="shared" si="219"/>
        <v>-3.2874929563478941E-2</v>
      </c>
      <c r="M1172">
        <f t="shared" si="217"/>
        <v>0</v>
      </c>
      <c r="N1172" s="9">
        <f t="shared" si="220"/>
        <v>0.33959268122959635</v>
      </c>
      <c r="O1172">
        <f>COUNTIFS($B$2:B1172,B1172,$C$2:C1172,C1172,$D$2:D1172,"&lt;"&amp;D1172,$F$2:F1172,1)</f>
        <v>0</v>
      </c>
      <c r="P1172">
        <f t="shared" si="218"/>
        <v>-1</v>
      </c>
      <c r="Q1172" t="str">
        <f t="shared" si="221"/>
        <v>Monitor</v>
      </c>
      <c r="R1172">
        <v>1</v>
      </c>
      <c r="S1172">
        <f t="shared" si="222"/>
        <v>0</v>
      </c>
      <c r="T1172">
        <f t="shared" si="223"/>
        <v>0</v>
      </c>
      <c r="U1172" t="str">
        <f t="shared" si="224"/>
        <v>Not Improved Enough</v>
      </c>
      <c r="V1172" t="str">
        <f t="shared" si="225"/>
        <v>Far</v>
      </c>
      <c r="W1172" t="str">
        <f t="shared" si="226"/>
        <v>Normal</v>
      </c>
      <c r="X1172" t="str">
        <f t="shared" si="227"/>
        <v>Allowed</v>
      </c>
    </row>
    <row r="1173" spans="1:24" x14ac:dyDescent="0.3">
      <c r="A1173" t="s">
        <v>10</v>
      </c>
      <c r="B1173" t="s">
        <v>33</v>
      </c>
      <c r="C1173" t="s">
        <v>18</v>
      </c>
      <c r="D1173" s="3">
        <v>45565</v>
      </c>
      <c r="E1173" s="6">
        <v>0.13946218891516049</v>
      </c>
      <c r="F1173">
        <v>1</v>
      </c>
      <c r="G1173" t="s">
        <v>13</v>
      </c>
      <c r="H1173" s="6">
        <v>0.104</v>
      </c>
      <c r="I1173" s="8">
        <v>-1.037557544600033E-3</v>
      </c>
      <c r="J1173" s="5">
        <f t="shared" si="216"/>
        <v>1.7244519882342341E-3</v>
      </c>
      <c r="K1173" s="5" cm="1">
        <f t="array" ref="K1173">_xlfn.STDEV.S(IF($C:$C=C1173,$I:$I))</f>
        <v>8.3117651155014696E-2</v>
      </c>
      <c r="L1173" s="7">
        <f t="shared" si="219"/>
        <v>-3.3230120130357275E-2</v>
      </c>
      <c r="M1173">
        <f t="shared" si="217"/>
        <v>0</v>
      </c>
      <c r="N1173" s="9">
        <f t="shared" si="220"/>
        <v>0.34098258572269707</v>
      </c>
      <c r="O1173">
        <f>COUNTIFS($B$2:B1173,B1173,$C$2:C1173,C1173,$D$2:D1173,"&lt;"&amp;D1173,$F$2:F1173,1)</f>
        <v>1</v>
      </c>
      <c r="P1173">
        <f t="shared" si="218"/>
        <v>-1</v>
      </c>
      <c r="Q1173" t="str">
        <f t="shared" si="221"/>
        <v>Monitor</v>
      </c>
      <c r="R1173">
        <v>1</v>
      </c>
      <c r="S1173">
        <f t="shared" si="222"/>
        <v>0</v>
      </c>
      <c r="T1173">
        <f t="shared" si="223"/>
        <v>0</v>
      </c>
      <c r="U1173" t="str">
        <f t="shared" si="224"/>
        <v>Not Improved Enough</v>
      </c>
      <c r="V1173" t="str">
        <f t="shared" si="225"/>
        <v>Far</v>
      </c>
      <c r="W1173" t="str">
        <f t="shared" si="226"/>
        <v>Normal</v>
      </c>
      <c r="X1173" t="str">
        <f t="shared" si="227"/>
        <v>Allowed</v>
      </c>
    </row>
    <row r="1174" spans="1:24" x14ac:dyDescent="0.3">
      <c r="A1174" t="s">
        <v>10</v>
      </c>
      <c r="B1174" t="s">
        <v>33</v>
      </c>
      <c r="C1174" t="s">
        <v>18</v>
      </c>
      <c r="D1174" s="3">
        <v>45596</v>
      </c>
      <c r="E1174" s="6">
        <v>0.13823411905713151</v>
      </c>
      <c r="F1174">
        <v>0</v>
      </c>
      <c r="G1174" t="s">
        <v>13</v>
      </c>
      <c r="H1174" s="6">
        <v>0.104</v>
      </c>
      <c r="I1174" s="8">
        <v>8.805754933160095E-3</v>
      </c>
      <c r="J1174" s="5">
        <f t="shared" si="216"/>
        <v>1.7244519882342341E-3</v>
      </c>
      <c r="K1174" s="5" cm="1">
        <f t="array" ref="K1174">_xlfn.STDEV.S(IF($C:$C=C1174,$I:$I))</f>
        <v>8.3117651155014696E-2</v>
      </c>
      <c r="L1174" s="7">
        <f t="shared" si="219"/>
        <v>8.5196138804731231E-2</v>
      </c>
      <c r="M1174">
        <f t="shared" si="217"/>
        <v>0</v>
      </c>
      <c r="N1174" s="9">
        <f t="shared" si="220"/>
        <v>0.32917422170318766</v>
      </c>
      <c r="O1174">
        <f>COUNTIFS($B$2:B1174,B1174,$C$2:C1174,C1174,$D$2:D1174,"&lt;"&amp;D1174,$F$2:F1174,1)</f>
        <v>2</v>
      </c>
      <c r="P1174">
        <f t="shared" si="218"/>
        <v>1</v>
      </c>
      <c r="Q1174" t="str">
        <f t="shared" si="221"/>
        <v>Monitor</v>
      </c>
      <c r="R1174">
        <v>1</v>
      </c>
      <c r="S1174">
        <f t="shared" si="222"/>
        <v>0</v>
      </c>
      <c r="T1174">
        <f t="shared" si="223"/>
        <v>0</v>
      </c>
      <c r="U1174" t="str">
        <f t="shared" si="224"/>
        <v>Not Improved Enough</v>
      </c>
      <c r="V1174" t="str">
        <f t="shared" si="225"/>
        <v>Far</v>
      </c>
      <c r="W1174" t="str">
        <f t="shared" si="226"/>
        <v>Normal</v>
      </c>
      <c r="X1174" t="str">
        <f t="shared" si="227"/>
        <v>Allowed</v>
      </c>
    </row>
    <row r="1175" spans="1:24" x14ac:dyDescent="0.3">
      <c r="A1175" t="s">
        <v>10</v>
      </c>
      <c r="B1175" t="s">
        <v>33</v>
      </c>
      <c r="C1175" t="s">
        <v>18</v>
      </c>
      <c r="D1175" s="3">
        <v>45626</v>
      </c>
      <c r="E1175" s="6">
        <v>0.13605767299999999</v>
      </c>
      <c r="F1175">
        <v>0</v>
      </c>
      <c r="G1175" t="s">
        <v>13</v>
      </c>
      <c r="H1175" s="6">
        <v>0.104</v>
      </c>
      <c r="I1175" s="8">
        <v>1.5744637228324261E-2</v>
      </c>
      <c r="J1175" s="5">
        <f t="shared" si="216"/>
        <v>1.7244519882342341E-3</v>
      </c>
      <c r="K1175" s="5" cm="1">
        <f t="array" ref="K1175">_xlfn.STDEV.S(IF($C:$C=C1175,$I:$I))</f>
        <v>8.3117651155014696E-2</v>
      </c>
      <c r="L1175" s="7">
        <f t="shared" si="219"/>
        <v>0.16867879500038246</v>
      </c>
      <c r="M1175">
        <f t="shared" si="217"/>
        <v>0</v>
      </c>
      <c r="N1175" s="9">
        <f t="shared" si="220"/>
        <v>0.30824685576923072</v>
      </c>
      <c r="O1175">
        <f>COUNTIFS($B$2:B1175,B1175,$C$2:C1175,C1175,$D$2:D1175,"&lt;"&amp;D1175,$F$2:F1175,1)</f>
        <v>2</v>
      </c>
      <c r="P1175">
        <f t="shared" si="218"/>
        <v>0</v>
      </c>
      <c r="Q1175" t="str">
        <f t="shared" si="221"/>
        <v>Monitor</v>
      </c>
      <c r="R1175">
        <v>0</v>
      </c>
      <c r="S1175">
        <f t="shared" si="222"/>
        <v>0</v>
      </c>
      <c r="T1175">
        <f t="shared" si="223"/>
        <v>0</v>
      </c>
      <c r="U1175" t="str">
        <f t="shared" si="224"/>
        <v>Improved Enough</v>
      </c>
      <c r="V1175" t="str">
        <f t="shared" si="225"/>
        <v>Far</v>
      </c>
      <c r="W1175" t="str">
        <f t="shared" si="226"/>
        <v>Normal</v>
      </c>
      <c r="X1175" t="str">
        <f t="shared" si="227"/>
        <v>Allowed</v>
      </c>
    </row>
    <row r="1176" spans="1:24" x14ac:dyDescent="0.3">
      <c r="A1176" t="s">
        <v>10</v>
      </c>
      <c r="B1176" t="s">
        <v>33</v>
      </c>
      <c r="C1176" t="s">
        <v>18</v>
      </c>
      <c r="D1176" s="3">
        <v>45657</v>
      </c>
      <c r="E1176" s="6">
        <v>0.13374455636888299</v>
      </c>
      <c r="F1176">
        <v>0</v>
      </c>
      <c r="G1176" t="s">
        <v>13</v>
      </c>
      <c r="H1176" s="6">
        <v>0.104</v>
      </c>
      <c r="I1176" s="8">
        <v>1.7001000973440109E-2</v>
      </c>
      <c r="J1176" s="5">
        <f t="shared" si="216"/>
        <v>1.7244519882342341E-3</v>
      </c>
      <c r="K1176" s="5" cm="1">
        <f t="array" ref="K1176">_xlfn.STDEV.S(IF($C:$C=C1176,$I:$I))</f>
        <v>8.3117651155014696E-2</v>
      </c>
      <c r="L1176" s="7">
        <f t="shared" si="219"/>
        <v>0.18379428163477646</v>
      </c>
      <c r="M1176">
        <f t="shared" si="217"/>
        <v>0</v>
      </c>
      <c r="N1176" s="9">
        <f t="shared" si="220"/>
        <v>0.28600534970079811</v>
      </c>
      <c r="O1176">
        <f>COUNTIFS($B$2:B1176,B1176,$C$2:C1176,C1176,$D$2:D1176,"&lt;"&amp;D1176,$F$2:F1176,1)</f>
        <v>2</v>
      </c>
      <c r="P1176">
        <f t="shared" si="218"/>
        <v>0</v>
      </c>
      <c r="Q1176" t="str">
        <f t="shared" si="221"/>
        <v>Monitor</v>
      </c>
      <c r="R1176">
        <v>0</v>
      </c>
      <c r="S1176">
        <f t="shared" si="222"/>
        <v>0</v>
      </c>
      <c r="T1176">
        <f t="shared" si="223"/>
        <v>0</v>
      </c>
      <c r="U1176" t="str">
        <f t="shared" si="224"/>
        <v>Improved Enough</v>
      </c>
      <c r="V1176" t="str">
        <f t="shared" si="225"/>
        <v>Far</v>
      </c>
      <c r="W1176" t="str">
        <f t="shared" si="226"/>
        <v>Normal</v>
      </c>
      <c r="X1176" t="str">
        <f t="shared" si="227"/>
        <v>Allowed</v>
      </c>
    </row>
    <row r="1177" spans="1:24" x14ac:dyDescent="0.3">
      <c r="A1177" t="s">
        <v>10</v>
      </c>
      <c r="B1177" t="s">
        <v>33</v>
      </c>
      <c r="C1177" t="s">
        <v>18</v>
      </c>
      <c r="D1177" s="3">
        <v>45688</v>
      </c>
      <c r="E1177" s="6">
        <v>0.13265885647114761</v>
      </c>
      <c r="F1177">
        <v>0</v>
      </c>
      <c r="G1177" t="s">
        <v>13</v>
      </c>
      <c r="H1177" s="6">
        <v>0.104</v>
      </c>
      <c r="I1177" s="8">
        <v>8.1177128042572086E-3</v>
      </c>
      <c r="J1177" s="5">
        <f t="shared" si="216"/>
        <v>1.7244519882342341E-3</v>
      </c>
      <c r="K1177" s="5" cm="1">
        <f t="array" ref="K1177">_xlfn.STDEV.S(IF($C:$C=C1177,$I:$I))</f>
        <v>8.3117651155014696E-2</v>
      </c>
      <c r="L1177" s="7">
        <f t="shared" si="219"/>
        <v>7.691820843324268E-2</v>
      </c>
      <c r="M1177">
        <f t="shared" si="217"/>
        <v>0</v>
      </c>
      <c r="N1177" s="9">
        <f t="shared" si="220"/>
        <v>0.27556592760718862</v>
      </c>
      <c r="O1177">
        <f>COUNTIFS($B$2:B1177,B1177,$C$2:C1177,C1177,$D$2:D1177,"&lt;"&amp;D1177,$F$2:F1177,1)</f>
        <v>2</v>
      </c>
      <c r="P1177">
        <f t="shared" si="218"/>
        <v>0</v>
      </c>
      <c r="Q1177" t="str">
        <f t="shared" si="221"/>
        <v>Monitor</v>
      </c>
      <c r="R1177">
        <v>0</v>
      </c>
      <c r="S1177">
        <f t="shared" si="222"/>
        <v>0</v>
      </c>
      <c r="T1177">
        <f t="shared" si="223"/>
        <v>0</v>
      </c>
      <c r="U1177" t="str">
        <f t="shared" si="224"/>
        <v>Not Improved Enough</v>
      </c>
      <c r="V1177" t="str">
        <f t="shared" si="225"/>
        <v>Far</v>
      </c>
      <c r="W1177" t="str">
        <f t="shared" si="226"/>
        <v>Normal</v>
      </c>
      <c r="X1177" t="str">
        <f t="shared" si="227"/>
        <v>Allowed</v>
      </c>
    </row>
    <row r="1178" spans="1:24" x14ac:dyDescent="0.3">
      <c r="A1178" t="s">
        <v>10</v>
      </c>
      <c r="B1178" t="s">
        <v>33</v>
      </c>
      <c r="C1178" t="s">
        <v>18</v>
      </c>
      <c r="D1178" s="3">
        <v>45716</v>
      </c>
      <c r="E1178" s="6">
        <v>0.12674050632911391</v>
      </c>
      <c r="F1178">
        <v>0</v>
      </c>
      <c r="G1178" t="s">
        <v>13</v>
      </c>
      <c r="H1178" s="6">
        <v>0.104</v>
      </c>
      <c r="I1178" s="8">
        <v>4.4613305884488072E-2</v>
      </c>
      <c r="J1178" s="5">
        <f t="shared" si="216"/>
        <v>1.7244519882342341E-3</v>
      </c>
      <c r="K1178" s="5" cm="1">
        <f t="array" ref="K1178">_xlfn.STDEV.S(IF($C:$C=C1178,$I:$I))</f>
        <v>8.3117651155014696E-2</v>
      </c>
      <c r="L1178" s="7">
        <f t="shared" si="219"/>
        <v>0.51600175534635817</v>
      </c>
      <c r="M1178">
        <f t="shared" si="217"/>
        <v>-1</v>
      </c>
      <c r="N1178" s="9">
        <f t="shared" si="220"/>
        <v>0.21865871470301837</v>
      </c>
      <c r="O1178">
        <f>COUNTIFS($B$2:B1178,B1178,$C$2:C1178,C1178,$D$2:D1178,"&lt;"&amp;D1178,$F$2:F1178,1)</f>
        <v>2</v>
      </c>
      <c r="P1178">
        <f t="shared" si="218"/>
        <v>0</v>
      </c>
      <c r="Q1178" t="str">
        <f t="shared" si="221"/>
        <v>Monitor</v>
      </c>
      <c r="R1178">
        <v>0</v>
      </c>
      <c r="S1178">
        <f t="shared" si="222"/>
        <v>0</v>
      </c>
      <c r="T1178">
        <f t="shared" si="223"/>
        <v>0</v>
      </c>
      <c r="U1178" t="str">
        <f t="shared" si="224"/>
        <v>Improved Enough</v>
      </c>
      <c r="V1178" t="str">
        <f t="shared" si="225"/>
        <v>Far</v>
      </c>
      <c r="W1178" t="str">
        <f t="shared" si="226"/>
        <v>Normal</v>
      </c>
      <c r="X1178" t="str">
        <f t="shared" si="227"/>
        <v>Allowed</v>
      </c>
    </row>
    <row r="1179" spans="1:24" x14ac:dyDescent="0.3">
      <c r="A1179" t="s">
        <v>10</v>
      </c>
      <c r="B1179" t="s">
        <v>33</v>
      </c>
      <c r="C1179" t="s">
        <v>18</v>
      </c>
      <c r="D1179" s="3">
        <v>45747</v>
      </c>
      <c r="E1179" s="6">
        <v>0.12397509969335251</v>
      </c>
      <c r="F1179">
        <v>0</v>
      </c>
      <c r="G1179" t="s">
        <v>13</v>
      </c>
      <c r="H1179" s="6">
        <v>0.104</v>
      </c>
      <c r="I1179" s="8">
        <v>2.1819438124858991E-2</v>
      </c>
      <c r="J1179" s="5">
        <f t="shared" si="216"/>
        <v>1.7244519882342341E-3</v>
      </c>
      <c r="K1179" s="5" cm="1">
        <f t="array" ref="K1179">_xlfn.STDEV.S(IF($C:$C=C1179,$I:$I))</f>
        <v>8.3117651155014696E-2</v>
      </c>
      <c r="L1179" s="7">
        <f t="shared" si="219"/>
        <v>0.24176556793150397</v>
      </c>
      <c r="M1179">
        <f t="shared" si="217"/>
        <v>0</v>
      </c>
      <c r="N1179" s="9">
        <f t="shared" si="220"/>
        <v>0.19206826628223569</v>
      </c>
      <c r="O1179">
        <f>COUNTIFS($B$2:B1179,B1179,$C$2:C1179,C1179,$D$2:D1179,"&lt;"&amp;D1179,$F$2:F1179,1)</f>
        <v>2</v>
      </c>
      <c r="P1179">
        <f t="shared" si="218"/>
        <v>0</v>
      </c>
      <c r="Q1179" t="str">
        <f t="shared" si="221"/>
        <v>Monitor</v>
      </c>
      <c r="R1179">
        <v>0</v>
      </c>
      <c r="S1179">
        <f t="shared" si="222"/>
        <v>0</v>
      </c>
      <c r="T1179">
        <f t="shared" si="223"/>
        <v>0</v>
      </c>
      <c r="U1179" t="str">
        <f t="shared" si="224"/>
        <v>Improved Enough</v>
      </c>
      <c r="V1179" t="str">
        <f t="shared" si="225"/>
        <v>Far</v>
      </c>
      <c r="W1179" t="str">
        <f t="shared" si="226"/>
        <v>Normal</v>
      </c>
      <c r="X1179" t="str">
        <f t="shared" si="227"/>
        <v>Allowed</v>
      </c>
    </row>
    <row r="1180" spans="1:24" x14ac:dyDescent="0.3">
      <c r="A1180" t="s">
        <v>10</v>
      </c>
      <c r="B1180" t="s">
        <v>33</v>
      </c>
      <c r="C1180" t="s">
        <v>18</v>
      </c>
      <c r="D1180" s="3">
        <v>45777</v>
      </c>
      <c r="E1180" s="6">
        <v>0.1196799074937913</v>
      </c>
      <c r="F1180">
        <v>0</v>
      </c>
      <c r="G1180" t="s">
        <v>13</v>
      </c>
      <c r="H1180" s="6">
        <v>0.104</v>
      </c>
      <c r="I1180" s="8">
        <v>3.4645603917118767E-2</v>
      </c>
      <c r="J1180" s="5">
        <f t="shared" si="216"/>
        <v>1.7244519882342341E-3</v>
      </c>
      <c r="K1180" s="5" cm="1">
        <f t="array" ref="K1180">_xlfn.STDEV.S(IF($C:$C=C1180,$I:$I))</f>
        <v>8.3117651155014696E-2</v>
      </c>
      <c r="L1180" s="7">
        <f t="shared" si="219"/>
        <v>0.39607894919319214</v>
      </c>
      <c r="M1180">
        <f t="shared" si="217"/>
        <v>0</v>
      </c>
      <c r="N1180" s="9">
        <f t="shared" si="220"/>
        <v>0.15076834128645489</v>
      </c>
      <c r="O1180">
        <f>COUNTIFS($B$2:B1180,B1180,$C$2:C1180,C1180,$D$2:D1180,"&lt;"&amp;D1180,$F$2:F1180,1)</f>
        <v>2</v>
      </c>
      <c r="P1180">
        <f t="shared" si="218"/>
        <v>0</v>
      </c>
      <c r="Q1180" t="str">
        <f t="shared" si="221"/>
        <v>Monitor</v>
      </c>
      <c r="R1180">
        <v>0</v>
      </c>
      <c r="S1180">
        <f t="shared" si="222"/>
        <v>0</v>
      </c>
      <c r="T1180">
        <f t="shared" si="223"/>
        <v>0</v>
      </c>
      <c r="U1180" t="str">
        <f t="shared" si="224"/>
        <v>Improved Enough</v>
      </c>
      <c r="V1180" t="str">
        <f t="shared" si="225"/>
        <v>Far</v>
      </c>
      <c r="W1180" t="str">
        <f t="shared" si="226"/>
        <v>Normal</v>
      </c>
      <c r="X1180" t="str">
        <f t="shared" si="227"/>
        <v>Allowed</v>
      </c>
    </row>
    <row r="1181" spans="1:24" x14ac:dyDescent="0.3">
      <c r="A1181" t="s">
        <v>10</v>
      </c>
      <c r="B1181" t="s">
        <v>33</v>
      </c>
      <c r="C1181" t="s">
        <v>18</v>
      </c>
      <c r="D1181" s="3">
        <v>45808</v>
      </c>
      <c r="E1181" s="6">
        <v>0.1197890704934806</v>
      </c>
      <c r="F1181">
        <v>0</v>
      </c>
      <c r="G1181" t="s">
        <v>13</v>
      </c>
      <c r="H1181" s="6">
        <v>0.104</v>
      </c>
      <c r="I1181" s="8">
        <v>-9.1212469975348741E-4</v>
      </c>
      <c r="J1181" s="5">
        <f t="shared" si="216"/>
        <v>1.7244519882342341E-3</v>
      </c>
      <c r="K1181" s="5" cm="1">
        <f t="array" ref="K1181">_xlfn.STDEV.S(IF($C:$C=C1181,$I:$I))</f>
        <v>8.3117651155014696E-2</v>
      </c>
      <c r="L1181" s="7">
        <f t="shared" si="219"/>
        <v>-3.1721020160573321E-2</v>
      </c>
      <c r="M1181">
        <f t="shared" si="217"/>
        <v>0</v>
      </c>
      <c r="N1181" s="9">
        <f t="shared" si="220"/>
        <v>0.15181798551423661</v>
      </c>
      <c r="O1181">
        <f>COUNTIFS($B$2:B1181,B1181,$C$2:C1181,C1181,$D$2:D1181,"&lt;"&amp;D1181,$F$2:F1181,1)</f>
        <v>2</v>
      </c>
      <c r="P1181">
        <f t="shared" si="218"/>
        <v>0</v>
      </c>
      <c r="Q1181" t="str">
        <f t="shared" si="221"/>
        <v>Monitor</v>
      </c>
      <c r="R1181">
        <v>0</v>
      </c>
      <c r="S1181">
        <f t="shared" si="222"/>
        <v>0</v>
      </c>
      <c r="T1181">
        <f t="shared" si="223"/>
        <v>0</v>
      </c>
      <c r="U1181" t="str">
        <f t="shared" si="224"/>
        <v>Not Improved Enough</v>
      </c>
      <c r="V1181" t="str">
        <f t="shared" si="225"/>
        <v>Far</v>
      </c>
      <c r="W1181" t="str">
        <f t="shared" si="226"/>
        <v>Normal</v>
      </c>
      <c r="X1181" t="str">
        <f t="shared" si="227"/>
        <v>Allowed</v>
      </c>
    </row>
    <row r="1182" spans="1:24" x14ac:dyDescent="0.3">
      <c r="A1182" t="s">
        <v>10</v>
      </c>
      <c r="B1182" t="s">
        <v>33</v>
      </c>
      <c r="C1182" t="s">
        <v>18</v>
      </c>
      <c r="D1182" s="3">
        <v>45838</v>
      </c>
      <c r="E1182" s="6">
        <v>0.1171214840628316</v>
      </c>
      <c r="F1182">
        <v>0</v>
      </c>
      <c r="G1182" t="s">
        <v>13</v>
      </c>
      <c r="H1182" s="6">
        <v>0.104</v>
      </c>
      <c r="I1182" s="8">
        <v>2.2269030218363559E-2</v>
      </c>
      <c r="J1182" s="5">
        <f t="shared" si="216"/>
        <v>1.7244519882342341E-3</v>
      </c>
      <c r="K1182" s="5" cm="1">
        <f t="array" ref="K1182">_xlfn.STDEV.S(IF($C:$C=C1182,$I:$I))</f>
        <v>8.3117651155014696E-2</v>
      </c>
      <c r="L1182" s="7">
        <f t="shared" si="219"/>
        <v>0.2471746728238701</v>
      </c>
      <c r="M1182">
        <f t="shared" si="217"/>
        <v>0</v>
      </c>
      <c r="N1182" s="9">
        <f t="shared" si="220"/>
        <v>0.12616811598876543</v>
      </c>
      <c r="O1182">
        <f>COUNTIFS($B$2:B1182,B1182,$C$2:C1182,C1182,$D$2:D1182,"&lt;"&amp;D1182,$F$2:F1182,1)</f>
        <v>2</v>
      </c>
      <c r="P1182">
        <f t="shared" si="218"/>
        <v>0</v>
      </c>
      <c r="Q1182" t="str">
        <f t="shared" si="221"/>
        <v>Monitor</v>
      </c>
      <c r="R1182">
        <v>0</v>
      </c>
      <c r="S1182">
        <f t="shared" si="222"/>
        <v>0</v>
      </c>
      <c r="T1182">
        <f t="shared" si="223"/>
        <v>0</v>
      </c>
      <c r="U1182" t="str">
        <f t="shared" si="224"/>
        <v>Improved Enough</v>
      </c>
      <c r="V1182" t="str">
        <f t="shared" si="225"/>
        <v>Far</v>
      </c>
      <c r="W1182" t="str">
        <f t="shared" si="226"/>
        <v>Normal</v>
      </c>
      <c r="X1182" t="str">
        <f t="shared" si="227"/>
        <v>Allowed</v>
      </c>
    </row>
    <row r="1183" spans="1:24" x14ac:dyDescent="0.3">
      <c r="A1183" t="s">
        <v>10</v>
      </c>
      <c r="B1183" t="s">
        <v>33</v>
      </c>
      <c r="C1183" t="s">
        <v>18</v>
      </c>
      <c r="D1183" s="3">
        <v>45869</v>
      </c>
      <c r="E1183" s="6">
        <v>0.1184386208340969</v>
      </c>
      <c r="F1183">
        <v>0</v>
      </c>
      <c r="G1183" t="s">
        <v>13</v>
      </c>
      <c r="H1183" s="6">
        <v>0.104</v>
      </c>
      <c r="I1183" s="8">
        <v>-1.1245902336403969E-2</v>
      </c>
      <c r="J1183" s="5">
        <f t="shared" si="216"/>
        <v>1.7244519882342341E-3</v>
      </c>
      <c r="K1183" s="5" cm="1">
        <f t="array" ref="K1183">_xlfn.STDEV.S(IF($C:$C=C1183,$I:$I))</f>
        <v>8.3117651155014696E-2</v>
      </c>
      <c r="L1183" s="7">
        <f t="shared" si="219"/>
        <v>-0.15604813351195945</v>
      </c>
      <c r="M1183">
        <f t="shared" si="217"/>
        <v>0</v>
      </c>
      <c r="N1183" s="9">
        <f t="shared" si="220"/>
        <v>0.13883289263554713</v>
      </c>
      <c r="O1183">
        <f>COUNTIFS($B$2:B1183,B1183,$C$2:C1183,C1183,$D$2:D1183,"&lt;"&amp;D1183,$F$2:F1183,1)</f>
        <v>2</v>
      </c>
      <c r="P1183">
        <f t="shared" si="218"/>
        <v>0</v>
      </c>
      <c r="Q1183" t="str">
        <f t="shared" si="221"/>
        <v>Monitor</v>
      </c>
      <c r="R1183">
        <v>0</v>
      </c>
      <c r="S1183">
        <f t="shared" si="222"/>
        <v>0</v>
      </c>
      <c r="T1183">
        <f t="shared" si="223"/>
        <v>0</v>
      </c>
      <c r="U1183" t="str">
        <f t="shared" si="224"/>
        <v>Not Improved Enough</v>
      </c>
      <c r="V1183" t="str">
        <f t="shared" si="225"/>
        <v>Far</v>
      </c>
      <c r="W1183" t="str">
        <f t="shared" si="226"/>
        <v>Normal</v>
      </c>
      <c r="X1183" t="str">
        <f t="shared" si="227"/>
        <v>Allowed</v>
      </c>
    </row>
    <row r="1184" spans="1:24" x14ac:dyDescent="0.3">
      <c r="A1184" t="s">
        <v>10</v>
      </c>
      <c r="B1184" t="s">
        <v>33</v>
      </c>
      <c r="C1184" t="s">
        <v>18</v>
      </c>
      <c r="D1184" s="3">
        <v>45900</v>
      </c>
      <c r="E1184" s="6">
        <v>0.11683875780299161</v>
      </c>
      <c r="F1184">
        <v>0</v>
      </c>
      <c r="G1184" t="s">
        <v>13</v>
      </c>
      <c r="H1184" s="6">
        <v>0.104</v>
      </c>
      <c r="I1184" s="8">
        <v>1.3507950530311419E-2</v>
      </c>
      <c r="J1184" s="5">
        <f t="shared" si="216"/>
        <v>1.7244519882342341E-3</v>
      </c>
      <c r="K1184" s="5" cm="1">
        <f t="array" ref="K1184">_xlfn.STDEV.S(IF($C:$C=C1184,$I:$I))</f>
        <v>8.3117651155014696E-2</v>
      </c>
      <c r="L1184" s="7">
        <f t="shared" si="219"/>
        <v>0.14176890682462767</v>
      </c>
      <c r="M1184">
        <f t="shared" si="217"/>
        <v>0</v>
      </c>
      <c r="N1184" s="9">
        <f t="shared" si="220"/>
        <v>0.12344959425953472</v>
      </c>
      <c r="O1184">
        <f>COUNTIFS($B$2:B1184,B1184,$C$2:C1184,C1184,$D$2:D1184,"&lt;"&amp;D1184,$F$2:F1184,1)</f>
        <v>2</v>
      </c>
      <c r="P1184">
        <f t="shared" si="218"/>
        <v>0</v>
      </c>
      <c r="Q1184" t="str">
        <f t="shared" si="221"/>
        <v>Monitor</v>
      </c>
      <c r="R1184">
        <v>0</v>
      </c>
      <c r="S1184">
        <f t="shared" si="222"/>
        <v>0</v>
      </c>
      <c r="T1184">
        <f t="shared" si="223"/>
        <v>0</v>
      </c>
      <c r="U1184" t="str">
        <f t="shared" si="224"/>
        <v>Improved Enough</v>
      </c>
      <c r="V1184" t="str">
        <f t="shared" si="225"/>
        <v>Far</v>
      </c>
      <c r="W1184" t="str">
        <f t="shared" si="226"/>
        <v>Normal</v>
      </c>
      <c r="X1184" t="str">
        <f t="shared" si="227"/>
        <v>Allowed</v>
      </c>
    </row>
    <row r="1185" spans="1:24" x14ac:dyDescent="0.3">
      <c r="A1185" t="s">
        <v>10</v>
      </c>
      <c r="B1185" t="s">
        <v>33</v>
      </c>
      <c r="C1185" t="s">
        <v>18</v>
      </c>
      <c r="D1185" s="3">
        <v>45930</v>
      </c>
      <c r="E1185" s="6">
        <v>0.1162181970474296</v>
      </c>
      <c r="F1185">
        <v>0</v>
      </c>
      <c r="G1185" t="s">
        <v>13</v>
      </c>
      <c r="H1185" s="6">
        <v>0.104</v>
      </c>
      <c r="I1185" s="8">
        <v>5.3112577301478187E-3</v>
      </c>
      <c r="J1185" s="5">
        <f t="shared" si="216"/>
        <v>1.7244519882342341E-3</v>
      </c>
      <c r="K1185" s="5" cm="1">
        <f t="array" ref="K1185">_xlfn.STDEV.S(IF($C:$C=C1185,$I:$I))</f>
        <v>8.3117651155014696E-2</v>
      </c>
      <c r="L1185" s="7">
        <f t="shared" si="219"/>
        <v>4.3153357825574015E-2</v>
      </c>
      <c r="M1185">
        <f t="shared" si="217"/>
        <v>0</v>
      </c>
      <c r="N1185" s="9">
        <f t="shared" si="220"/>
        <v>0.11748266391759234</v>
      </c>
      <c r="O1185">
        <f>COUNTIFS($B$2:B1185,B1185,$C$2:C1185,C1185,$D$2:D1185,"&lt;"&amp;D1185,$F$2:F1185,1)</f>
        <v>2</v>
      </c>
      <c r="P1185">
        <f t="shared" si="218"/>
        <v>0</v>
      </c>
      <c r="Q1185" t="str">
        <f t="shared" si="221"/>
        <v>Monitor</v>
      </c>
      <c r="R1185">
        <v>0</v>
      </c>
      <c r="S1185">
        <f t="shared" si="222"/>
        <v>0</v>
      </c>
      <c r="T1185">
        <f t="shared" si="223"/>
        <v>0</v>
      </c>
      <c r="U1185" t="str">
        <f t="shared" si="224"/>
        <v>Not Improved Enough</v>
      </c>
      <c r="V1185" t="str">
        <f t="shared" si="225"/>
        <v>Far</v>
      </c>
      <c r="W1185" t="str">
        <f t="shared" si="226"/>
        <v>Normal</v>
      </c>
      <c r="X1185" t="str">
        <f t="shared" si="227"/>
        <v>Allowed</v>
      </c>
    </row>
    <row r="1186" spans="1:24" x14ac:dyDescent="0.3">
      <c r="A1186" t="s">
        <v>10</v>
      </c>
      <c r="B1186" t="s">
        <v>33</v>
      </c>
      <c r="C1186" t="s">
        <v>18</v>
      </c>
      <c r="D1186" s="3">
        <v>45961</v>
      </c>
      <c r="E1186" s="6">
        <v>0.11551422376635929</v>
      </c>
      <c r="F1186">
        <v>0</v>
      </c>
      <c r="G1186" t="s">
        <v>13</v>
      </c>
      <c r="H1186" s="6">
        <v>0.104</v>
      </c>
      <c r="I1186" s="8">
        <v>6.0573412680202344E-3</v>
      </c>
      <c r="J1186" s="5">
        <f t="shared" si="216"/>
        <v>1.7244519882342341E-3</v>
      </c>
      <c r="K1186" s="5" cm="1">
        <f t="array" ref="K1186">_xlfn.STDEV.S(IF($C:$C=C1186,$I:$I))</f>
        <v>8.3117651155014696E-2</v>
      </c>
      <c r="L1186" s="7">
        <f t="shared" si="219"/>
        <v>5.2129592446075589E-2</v>
      </c>
      <c r="M1186">
        <f t="shared" si="217"/>
        <v>0</v>
      </c>
      <c r="N1186" s="9">
        <f t="shared" si="220"/>
        <v>0.11071369006114712</v>
      </c>
      <c r="O1186">
        <f>COUNTIFS($B$2:B1186,B1186,$C$2:C1186,C1186,$D$2:D1186,"&lt;"&amp;D1186,$F$2:F1186,1)</f>
        <v>2</v>
      </c>
      <c r="P1186">
        <f t="shared" si="218"/>
        <v>0</v>
      </c>
      <c r="Q1186" t="str">
        <f t="shared" si="221"/>
        <v>Monitor</v>
      </c>
      <c r="R1186">
        <v>0</v>
      </c>
      <c r="S1186">
        <f t="shared" si="222"/>
        <v>0</v>
      </c>
      <c r="T1186">
        <f t="shared" si="223"/>
        <v>0</v>
      </c>
      <c r="U1186" t="str">
        <f t="shared" si="224"/>
        <v>Not Improved Enough</v>
      </c>
      <c r="V1186" t="str">
        <f t="shared" si="225"/>
        <v>Far</v>
      </c>
      <c r="W1186" t="str">
        <f t="shared" si="226"/>
        <v>Normal</v>
      </c>
      <c r="X1186" t="str">
        <f t="shared" si="227"/>
        <v>Allowed</v>
      </c>
    </row>
    <row r="1187" spans="1:24" x14ac:dyDescent="0.3">
      <c r="A1187" t="s">
        <v>10</v>
      </c>
      <c r="B1187" t="s">
        <v>33</v>
      </c>
      <c r="C1187" t="s">
        <v>18</v>
      </c>
      <c r="D1187" s="3">
        <v>45991</v>
      </c>
      <c r="E1187" s="6">
        <v>0.1130170490862368</v>
      </c>
      <c r="F1187">
        <v>0</v>
      </c>
      <c r="G1187" t="s">
        <v>13</v>
      </c>
      <c r="H1187" s="6">
        <v>0.104</v>
      </c>
      <c r="I1187" s="8">
        <v>2.161789776792607E-2</v>
      </c>
      <c r="J1187" s="5">
        <f t="shared" si="216"/>
        <v>1.7244519882342341E-3</v>
      </c>
      <c r="K1187" s="5" cm="1">
        <f t="array" ref="K1187">_xlfn.STDEV.S(IF($C:$C=C1187,$I:$I))</f>
        <v>8.3117651155014696E-2</v>
      </c>
      <c r="L1187" s="7">
        <f t="shared" si="219"/>
        <v>0.23934080791804971</v>
      </c>
      <c r="M1187">
        <f t="shared" si="217"/>
        <v>0</v>
      </c>
      <c r="N1187" s="9">
        <f t="shared" si="220"/>
        <v>8.6702395059969323E-2</v>
      </c>
      <c r="O1187">
        <f>COUNTIFS($B$2:B1187,B1187,$C$2:C1187,C1187,$D$2:D1187,"&lt;"&amp;D1187,$F$2:F1187,1)</f>
        <v>2</v>
      </c>
      <c r="P1187">
        <f t="shared" si="218"/>
        <v>0</v>
      </c>
      <c r="Q1187" t="str">
        <f t="shared" si="221"/>
        <v>Monitor</v>
      </c>
      <c r="R1187">
        <v>0</v>
      </c>
      <c r="S1187">
        <f t="shared" si="222"/>
        <v>0</v>
      </c>
      <c r="T1187">
        <f t="shared" si="223"/>
        <v>0</v>
      </c>
      <c r="U1187" t="str">
        <f t="shared" si="224"/>
        <v>Improved Enough</v>
      </c>
      <c r="V1187" t="str">
        <f t="shared" si="225"/>
        <v>Far</v>
      </c>
      <c r="W1187" t="str">
        <f t="shared" si="226"/>
        <v>Normal</v>
      </c>
      <c r="X1187" t="str">
        <f t="shared" si="227"/>
        <v>Allowed</v>
      </c>
    </row>
    <row r="1188" spans="1:24" x14ac:dyDescent="0.3">
      <c r="A1188" t="s">
        <v>10</v>
      </c>
      <c r="B1188" t="s">
        <v>33</v>
      </c>
      <c r="C1188" t="s">
        <v>19</v>
      </c>
      <c r="D1188" s="3">
        <v>45535</v>
      </c>
      <c r="E1188" s="6">
        <v>0.11647344297654361</v>
      </c>
      <c r="F1188">
        <v>0</v>
      </c>
      <c r="G1188" t="s">
        <v>13</v>
      </c>
      <c r="H1188" s="6">
        <v>0.1</v>
      </c>
      <c r="I1188" s="8">
        <v>-1.162380050049644E-2</v>
      </c>
      <c r="J1188" s="5">
        <f t="shared" si="216"/>
        <v>-3.0570725046180952E-3</v>
      </c>
      <c r="K1188" s="5" cm="1">
        <f t="array" ref="K1188">_xlfn.STDEV.S(IF($C:$C=C1188,$I:$I))</f>
        <v>0.17799866497296365</v>
      </c>
      <c r="L1188" s="7">
        <f t="shared" si="219"/>
        <v>-4.8128046337760744E-2</v>
      </c>
      <c r="M1188">
        <f t="shared" si="217"/>
        <v>0</v>
      </c>
      <c r="N1188" s="9">
        <f t="shared" si="220"/>
        <v>0.16473442976543601</v>
      </c>
      <c r="O1188">
        <f>COUNTIFS($B$2:B1188,B1188,$C$2:C1188,C1188,$D$2:D1188,"&lt;"&amp;D1188,$F$2:F1188,1)</f>
        <v>0</v>
      </c>
      <c r="P1188">
        <f t="shared" si="218"/>
        <v>0</v>
      </c>
      <c r="Q1188" t="str">
        <f t="shared" si="221"/>
        <v>Monitor</v>
      </c>
      <c r="R1188">
        <v>0</v>
      </c>
      <c r="S1188">
        <f t="shared" si="222"/>
        <v>0</v>
      </c>
      <c r="T1188">
        <f t="shared" si="223"/>
        <v>0</v>
      </c>
      <c r="U1188" t="str">
        <f t="shared" si="224"/>
        <v>Not Improved Enough</v>
      </c>
      <c r="V1188" t="str">
        <f t="shared" si="225"/>
        <v>Far</v>
      </c>
      <c r="W1188" t="str">
        <f t="shared" si="226"/>
        <v>Normal</v>
      </c>
      <c r="X1188" t="str">
        <f t="shared" si="227"/>
        <v>Allowed</v>
      </c>
    </row>
    <row r="1189" spans="1:24" x14ac:dyDescent="0.3">
      <c r="A1189" t="s">
        <v>10</v>
      </c>
      <c r="B1189" t="s">
        <v>33</v>
      </c>
      <c r="C1189" t="s">
        <v>19</v>
      </c>
      <c r="D1189" s="3">
        <v>45565</v>
      </c>
      <c r="E1189" s="6">
        <v>0.1147011308562197</v>
      </c>
      <c r="F1189">
        <v>0</v>
      </c>
      <c r="G1189" t="s">
        <v>13</v>
      </c>
      <c r="H1189" s="6">
        <v>0.1</v>
      </c>
      <c r="I1189" s="8">
        <v>1.5216448273799419E-2</v>
      </c>
      <c r="J1189" s="5">
        <f t="shared" si="216"/>
        <v>-3.0570725046180952E-3</v>
      </c>
      <c r="K1189" s="5" cm="1">
        <f t="array" ref="K1189">_xlfn.STDEV.S(IF($C:$C=C1189,$I:$I))</f>
        <v>0.17799866497296365</v>
      </c>
      <c r="L1189" s="7">
        <f t="shared" si="219"/>
        <v>0.10266099906531936</v>
      </c>
      <c r="M1189">
        <f t="shared" si="217"/>
        <v>0</v>
      </c>
      <c r="N1189" s="9">
        <f t="shared" si="220"/>
        <v>0.14701130856219699</v>
      </c>
      <c r="O1189">
        <f>COUNTIFS($B$2:B1189,B1189,$C$2:C1189,C1189,$D$2:D1189,"&lt;"&amp;D1189,$F$2:F1189,1)</f>
        <v>0</v>
      </c>
      <c r="P1189">
        <f t="shared" si="218"/>
        <v>0</v>
      </c>
      <c r="Q1189" t="str">
        <f t="shared" si="221"/>
        <v>Monitor</v>
      </c>
      <c r="R1189">
        <v>0</v>
      </c>
      <c r="S1189">
        <f t="shared" si="222"/>
        <v>0</v>
      </c>
      <c r="T1189">
        <f t="shared" si="223"/>
        <v>0</v>
      </c>
      <c r="U1189" t="str">
        <f t="shared" si="224"/>
        <v>Improved Enough</v>
      </c>
      <c r="V1189" t="str">
        <f t="shared" si="225"/>
        <v>Far</v>
      </c>
      <c r="W1189" t="str">
        <f t="shared" si="226"/>
        <v>Normal</v>
      </c>
      <c r="X1189" t="str">
        <f t="shared" si="227"/>
        <v>Allowed</v>
      </c>
    </row>
    <row r="1190" spans="1:24" x14ac:dyDescent="0.3">
      <c r="A1190" t="s">
        <v>10</v>
      </c>
      <c r="B1190" t="s">
        <v>33</v>
      </c>
      <c r="C1190" t="s">
        <v>19</v>
      </c>
      <c r="D1190" s="3">
        <v>45596</v>
      </c>
      <c r="E1190" s="6">
        <v>0.1130856219709208</v>
      </c>
      <c r="F1190">
        <v>0</v>
      </c>
      <c r="G1190" t="s">
        <v>13</v>
      </c>
      <c r="H1190" s="6">
        <v>0.1</v>
      </c>
      <c r="I1190" s="8">
        <v>1.4084507042253841E-2</v>
      </c>
      <c r="J1190" s="5">
        <f t="shared" si="216"/>
        <v>-3.0570725046180952E-3</v>
      </c>
      <c r="K1190" s="5" cm="1">
        <f t="array" ref="K1190">_xlfn.STDEV.S(IF($C:$C=C1190,$I:$I))</f>
        <v>0.17799866497296365</v>
      </c>
      <c r="L1190" s="7">
        <f t="shared" si="219"/>
        <v>9.6301730967901275E-2</v>
      </c>
      <c r="M1190">
        <f t="shared" si="217"/>
        <v>0</v>
      </c>
      <c r="N1190" s="9">
        <f t="shared" si="220"/>
        <v>0.13085621970920794</v>
      </c>
      <c r="O1190">
        <f>COUNTIFS($B$2:B1190,B1190,$C$2:C1190,C1190,$D$2:D1190,"&lt;"&amp;D1190,$F$2:F1190,1)</f>
        <v>0</v>
      </c>
      <c r="P1190">
        <f t="shared" si="218"/>
        <v>0</v>
      </c>
      <c r="Q1190" t="str">
        <f t="shared" si="221"/>
        <v>Monitor</v>
      </c>
      <c r="R1190">
        <v>0</v>
      </c>
      <c r="S1190">
        <f t="shared" si="222"/>
        <v>0</v>
      </c>
      <c r="T1190">
        <f t="shared" si="223"/>
        <v>0</v>
      </c>
      <c r="U1190" t="str">
        <f t="shared" si="224"/>
        <v>Improved Enough</v>
      </c>
      <c r="V1190" t="str">
        <f t="shared" si="225"/>
        <v>Far</v>
      </c>
      <c r="W1190" t="str">
        <f t="shared" si="226"/>
        <v>Normal</v>
      </c>
      <c r="X1190" t="str">
        <f t="shared" si="227"/>
        <v>Allowed</v>
      </c>
    </row>
    <row r="1191" spans="1:24" x14ac:dyDescent="0.3">
      <c r="A1191" t="s">
        <v>10</v>
      </c>
      <c r="B1191" t="s">
        <v>33</v>
      </c>
      <c r="C1191" t="s">
        <v>19</v>
      </c>
      <c r="D1191" s="3">
        <v>45626</v>
      </c>
      <c r="E1191" s="6">
        <v>0.104909213</v>
      </c>
      <c r="F1191">
        <v>0</v>
      </c>
      <c r="G1191" t="s">
        <v>13</v>
      </c>
      <c r="H1191" s="6">
        <v>0.1</v>
      </c>
      <c r="I1191" s="8">
        <v>7.2302816471428222E-2</v>
      </c>
      <c r="J1191" s="5">
        <f t="shared" si="216"/>
        <v>-3.0570725046180952E-3</v>
      </c>
      <c r="K1191" s="5" cm="1">
        <f t="array" ref="K1191">_xlfn.STDEV.S(IF($C:$C=C1191,$I:$I))</f>
        <v>0.17799866497296365</v>
      </c>
      <c r="L1191" s="7">
        <f t="shared" si="219"/>
        <v>0.42337333815111916</v>
      </c>
      <c r="M1191">
        <f t="shared" si="217"/>
        <v>0</v>
      </c>
      <c r="N1191" s="9">
        <f t="shared" si="220"/>
        <v>4.9092129999999956E-2</v>
      </c>
      <c r="O1191">
        <f>COUNTIFS($B$2:B1191,B1191,$C$2:C1191,C1191,$D$2:D1191,"&lt;"&amp;D1191,$F$2:F1191,1)</f>
        <v>0</v>
      </c>
      <c r="P1191">
        <f t="shared" si="218"/>
        <v>0</v>
      </c>
      <c r="Q1191" t="str">
        <f t="shared" si="221"/>
        <v>Monitor</v>
      </c>
      <c r="R1191">
        <v>0</v>
      </c>
      <c r="S1191">
        <f t="shared" si="222"/>
        <v>0</v>
      </c>
      <c r="T1191">
        <f t="shared" si="223"/>
        <v>0</v>
      </c>
      <c r="U1191" t="str">
        <f t="shared" si="224"/>
        <v>Improved Enough</v>
      </c>
      <c r="V1191" t="str">
        <f t="shared" si="225"/>
        <v>Far</v>
      </c>
      <c r="W1191" t="str">
        <f t="shared" si="226"/>
        <v>Normal</v>
      </c>
      <c r="X1191" t="str">
        <f t="shared" si="227"/>
        <v>Allowed</v>
      </c>
    </row>
    <row r="1192" spans="1:24" x14ac:dyDescent="0.3">
      <c r="A1192" t="s">
        <v>10</v>
      </c>
      <c r="B1192" t="s">
        <v>33</v>
      </c>
      <c r="C1192" t="s">
        <v>19</v>
      </c>
      <c r="D1192" s="3">
        <v>45657</v>
      </c>
      <c r="E1192" s="6">
        <v>0.1031149301825994</v>
      </c>
      <c r="F1192">
        <v>0</v>
      </c>
      <c r="G1192" t="s">
        <v>13</v>
      </c>
      <c r="H1192" s="6">
        <v>0.1</v>
      </c>
      <c r="I1192" s="8">
        <v>1.710319585945802E-2</v>
      </c>
      <c r="J1192" s="5">
        <f t="shared" si="216"/>
        <v>-3.0570725046180952E-3</v>
      </c>
      <c r="K1192" s="5" cm="1">
        <f t="array" ref="K1192">_xlfn.STDEV.S(IF($C:$C=C1192,$I:$I))</f>
        <v>0.17799866497296365</v>
      </c>
      <c r="L1192" s="7">
        <f t="shared" si="219"/>
        <v>0.113260784102725</v>
      </c>
      <c r="M1192">
        <f t="shared" si="217"/>
        <v>0</v>
      </c>
      <c r="N1192" s="9">
        <f t="shared" si="220"/>
        <v>3.1149301825993958E-2</v>
      </c>
      <c r="O1192">
        <f>COUNTIFS($B$2:B1192,B1192,$C$2:C1192,C1192,$D$2:D1192,"&lt;"&amp;D1192,$F$2:F1192,1)</f>
        <v>0</v>
      </c>
      <c r="P1192">
        <f t="shared" si="218"/>
        <v>0</v>
      </c>
      <c r="Q1192" t="str">
        <f t="shared" si="221"/>
        <v>Monitor</v>
      </c>
      <c r="R1192">
        <v>0</v>
      </c>
      <c r="S1192">
        <f t="shared" si="222"/>
        <v>0</v>
      </c>
      <c r="T1192">
        <f t="shared" si="223"/>
        <v>0</v>
      </c>
      <c r="U1192" t="str">
        <f t="shared" si="224"/>
        <v>Improved Enough</v>
      </c>
      <c r="V1192" t="str">
        <f t="shared" si="225"/>
        <v>Far</v>
      </c>
      <c r="W1192" t="str">
        <f t="shared" si="226"/>
        <v>Normal</v>
      </c>
      <c r="X1192" t="str">
        <f t="shared" si="227"/>
        <v>Allowed</v>
      </c>
    </row>
    <row r="1193" spans="1:24" x14ac:dyDescent="0.3">
      <c r="A1193" t="s">
        <v>10</v>
      </c>
      <c r="B1193" t="s">
        <v>33</v>
      </c>
      <c r="C1193" t="s">
        <v>19</v>
      </c>
      <c r="D1193" s="3">
        <v>45688</v>
      </c>
      <c r="E1193" s="6">
        <v>9.6450100468854646E-2</v>
      </c>
      <c r="F1193">
        <v>0</v>
      </c>
      <c r="G1193" t="s">
        <v>13</v>
      </c>
      <c r="H1193" s="6">
        <v>0.1</v>
      </c>
      <c r="I1193" s="8">
        <v>6.4634963161420464E-2</v>
      </c>
      <c r="J1193" s="5">
        <f t="shared" si="216"/>
        <v>-3.0570725046180952E-3</v>
      </c>
      <c r="K1193" s="5" cm="1">
        <f t="array" ref="K1193">_xlfn.STDEV.S(IF($C:$C=C1193,$I:$I))</f>
        <v>0.17799866497296365</v>
      </c>
      <c r="L1193" s="7">
        <f t="shared" si="219"/>
        <v>0.38029518747413271</v>
      </c>
      <c r="M1193">
        <f t="shared" si="217"/>
        <v>0</v>
      </c>
      <c r="N1193" s="9">
        <f t="shared" si="220"/>
        <v>-3.5498995311453591E-2</v>
      </c>
      <c r="O1193">
        <f>COUNTIFS($B$2:B1193,B1193,$C$2:C1193,C1193,$D$2:D1193,"&lt;"&amp;D1193,$F$2:F1193,1)</f>
        <v>0</v>
      </c>
      <c r="P1193">
        <f t="shared" si="218"/>
        <v>0</v>
      </c>
      <c r="Q1193" t="str">
        <f t="shared" si="221"/>
        <v>Monitor</v>
      </c>
      <c r="R1193">
        <v>0</v>
      </c>
      <c r="S1193">
        <f t="shared" si="222"/>
        <v>0</v>
      </c>
      <c r="T1193">
        <f t="shared" si="223"/>
        <v>0</v>
      </c>
      <c r="U1193" t="str">
        <f t="shared" si="224"/>
        <v>Improved Enough</v>
      </c>
      <c r="V1193" t="str">
        <f t="shared" si="225"/>
        <v>Close</v>
      </c>
      <c r="W1193" t="str">
        <f t="shared" si="226"/>
        <v>Normal</v>
      </c>
      <c r="X1193" t="str">
        <f t="shared" si="227"/>
        <v>Allowed</v>
      </c>
    </row>
    <row r="1194" spans="1:24" x14ac:dyDescent="0.3">
      <c r="A1194" t="s">
        <v>10</v>
      </c>
      <c r="B1194" t="s">
        <v>33</v>
      </c>
      <c r="C1194" t="s">
        <v>19</v>
      </c>
      <c r="D1194" s="3">
        <v>45716</v>
      </c>
      <c r="E1194" s="6">
        <v>8.8223499532148114E-2</v>
      </c>
      <c r="F1194">
        <v>0</v>
      </c>
      <c r="G1194" t="s">
        <v>13</v>
      </c>
      <c r="H1194" s="6">
        <v>0.1</v>
      </c>
      <c r="I1194" s="8">
        <v>8.5293855545158712E-2</v>
      </c>
      <c r="J1194" s="5">
        <f t="shared" si="216"/>
        <v>-3.0570725046180952E-3</v>
      </c>
      <c r="K1194" s="5" cm="1">
        <f t="array" ref="K1194">_xlfn.STDEV.S(IF($C:$C=C1194,$I:$I))</f>
        <v>0.17799866497296365</v>
      </c>
      <c r="L1194" s="7">
        <f t="shared" si="219"/>
        <v>0.49635725112430751</v>
      </c>
      <c r="M1194">
        <f t="shared" si="217"/>
        <v>0</v>
      </c>
      <c r="N1194" s="9">
        <f t="shared" si="220"/>
        <v>-0.11776500467851891</v>
      </c>
      <c r="O1194">
        <f>COUNTIFS($B$2:B1194,B1194,$C$2:C1194,C1194,$D$2:D1194,"&lt;"&amp;D1194,$F$2:F1194,1)</f>
        <v>0</v>
      </c>
      <c r="P1194">
        <f t="shared" si="218"/>
        <v>0</v>
      </c>
      <c r="Q1194" t="str">
        <f t="shared" si="221"/>
        <v>Monitor</v>
      </c>
      <c r="R1194">
        <v>0</v>
      </c>
      <c r="S1194">
        <f t="shared" si="222"/>
        <v>0</v>
      </c>
      <c r="T1194">
        <f t="shared" si="223"/>
        <v>0</v>
      </c>
      <c r="U1194" t="str">
        <f t="shared" si="224"/>
        <v>Improved Enough</v>
      </c>
      <c r="V1194" t="str">
        <f t="shared" si="225"/>
        <v>Close</v>
      </c>
      <c r="W1194" t="str">
        <f t="shared" si="226"/>
        <v>Normal</v>
      </c>
      <c r="X1194" t="str">
        <f t="shared" si="227"/>
        <v>Allowed</v>
      </c>
    </row>
    <row r="1195" spans="1:24" x14ac:dyDescent="0.3">
      <c r="A1195" t="s">
        <v>10</v>
      </c>
      <c r="B1195" t="s">
        <v>33</v>
      </c>
      <c r="C1195" t="s">
        <v>19</v>
      </c>
      <c r="D1195" s="3">
        <v>45747</v>
      </c>
      <c r="E1195" s="6">
        <v>8.6584714056654202E-2</v>
      </c>
      <c r="F1195">
        <v>0</v>
      </c>
      <c r="G1195" t="s">
        <v>13</v>
      </c>
      <c r="H1195" s="6">
        <v>0.1</v>
      </c>
      <c r="I1195" s="8">
        <v>1.8575385063893869E-2</v>
      </c>
      <c r="J1195" s="5">
        <f t="shared" si="216"/>
        <v>-3.0570725046180952E-3</v>
      </c>
      <c r="K1195" s="5" cm="1">
        <f t="array" ref="K1195">_xlfn.STDEV.S(IF($C:$C=C1195,$I:$I))</f>
        <v>0.17799866497296365</v>
      </c>
      <c r="L1195" s="7">
        <f t="shared" si="219"/>
        <v>0.12153157200250762</v>
      </c>
      <c r="M1195">
        <f t="shared" si="217"/>
        <v>0</v>
      </c>
      <c r="N1195" s="9">
        <f t="shared" si="220"/>
        <v>-0.13415285943345803</v>
      </c>
      <c r="O1195">
        <f>COUNTIFS($B$2:B1195,B1195,$C$2:C1195,C1195,$D$2:D1195,"&lt;"&amp;D1195,$F$2:F1195,1)</f>
        <v>0</v>
      </c>
      <c r="P1195">
        <f t="shared" si="218"/>
        <v>0</v>
      </c>
      <c r="Q1195" t="str">
        <f t="shared" si="221"/>
        <v>Monitor</v>
      </c>
      <c r="R1195">
        <v>0</v>
      </c>
      <c r="S1195">
        <f t="shared" si="222"/>
        <v>0</v>
      </c>
      <c r="T1195">
        <f t="shared" si="223"/>
        <v>0</v>
      </c>
      <c r="U1195" t="str">
        <f t="shared" si="224"/>
        <v>Improved Enough</v>
      </c>
      <c r="V1195" t="str">
        <f t="shared" si="225"/>
        <v>Close</v>
      </c>
      <c r="W1195" t="str">
        <f t="shared" si="226"/>
        <v>Normal</v>
      </c>
      <c r="X1195" t="str">
        <f t="shared" si="227"/>
        <v>Allowed</v>
      </c>
    </row>
    <row r="1196" spans="1:24" x14ac:dyDescent="0.3">
      <c r="A1196" t="s">
        <v>10</v>
      </c>
      <c r="B1196" t="s">
        <v>33</v>
      </c>
      <c r="C1196" t="s">
        <v>19</v>
      </c>
      <c r="D1196" s="3">
        <v>45777</v>
      </c>
      <c r="E1196" s="6">
        <v>8.1796311146752204E-2</v>
      </c>
      <c r="F1196">
        <v>0</v>
      </c>
      <c r="G1196" t="s">
        <v>13</v>
      </c>
      <c r="H1196" s="6">
        <v>0.1</v>
      </c>
      <c r="I1196" s="8">
        <v>5.5303097805102702E-2</v>
      </c>
      <c r="J1196" s="5">
        <f t="shared" si="216"/>
        <v>-3.0570725046180952E-3</v>
      </c>
      <c r="K1196" s="5" cm="1">
        <f t="array" ref="K1196">_xlfn.STDEV.S(IF($C:$C=C1196,$I:$I))</f>
        <v>0.17799866497296365</v>
      </c>
      <c r="L1196" s="7">
        <f t="shared" si="219"/>
        <v>0.32786858439969291</v>
      </c>
      <c r="M1196">
        <f t="shared" si="217"/>
        <v>0</v>
      </c>
      <c r="N1196" s="9">
        <f t="shared" si="220"/>
        <v>-0.18203688853247801</v>
      </c>
      <c r="O1196">
        <f>COUNTIFS($B$2:B1196,B1196,$C$2:C1196,C1196,$D$2:D1196,"&lt;"&amp;D1196,$F$2:F1196,1)</f>
        <v>0</v>
      </c>
      <c r="P1196">
        <f t="shared" si="218"/>
        <v>0</v>
      </c>
      <c r="Q1196" t="str">
        <f t="shared" si="221"/>
        <v>Monitor</v>
      </c>
      <c r="R1196">
        <v>0</v>
      </c>
      <c r="S1196">
        <f t="shared" si="222"/>
        <v>0</v>
      </c>
      <c r="T1196">
        <f t="shared" si="223"/>
        <v>0</v>
      </c>
      <c r="U1196" t="str">
        <f t="shared" si="224"/>
        <v>Improved Enough</v>
      </c>
      <c r="V1196" t="str">
        <f t="shared" si="225"/>
        <v>Close</v>
      </c>
      <c r="W1196" t="str">
        <f t="shared" si="226"/>
        <v>Normal</v>
      </c>
      <c r="X1196" t="str">
        <f t="shared" si="227"/>
        <v>Allowed</v>
      </c>
    </row>
    <row r="1197" spans="1:24" x14ac:dyDescent="0.3">
      <c r="A1197" t="s">
        <v>10</v>
      </c>
      <c r="B1197" t="s">
        <v>33</v>
      </c>
      <c r="C1197" t="s">
        <v>19</v>
      </c>
      <c r="D1197" s="3">
        <v>45808</v>
      </c>
      <c r="E1197" s="6">
        <v>7.3747494989979956E-2</v>
      </c>
      <c r="F1197">
        <v>0</v>
      </c>
      <c r="G1197" t="s">
        <v>13</v>
      </c>
      <c r="H1197" s="6">
        <v>0.1</v>
      </c>
      <c r="I1197" s="8">
        <v>9.8400723014656799E-2</v>
      </c>
      <c r="J1197" s="5">
        <f t="shared" si="216"/>
        <v>-3.0570725046180952E-3</v>
      </c>
      <c r="K1197" s="5" cm="1">
        <f t="array" ref="K1197">_xlfn.STDEV.S(IF($C:$C=C1197,$I:$I))</f>
        <v>0.17799866497296365</v>
      </c>
      <c r="L1197" s="7">
        <f t="shared" si="219"/>
        <v>0.56999189030257835</v>
      </c>
      <c r="M1197">
        <f t="shared" si="217"/>
        <v>-1</v>
      </c>
      <c r="N1197" s="9">
        <f t="shared" si="220"/>
        <v>-0.2625250501002005</v>
      </c>
      <c r="O1197">
        <f>COUNTIFS($B$2:B1197,B1197,$C$2:C1197,C1197,$D$2:D1197,"&lt;"&amp;D1197,$F$2:F1197,1)</f>
        <v>0</v>
      </c>
      <c r="P1197">
        <f t="shared" si="218"/>
        <v>0</v>
      </c>
      <c r="Q1197" t="str">
        <f t="shared" si="221"/>
        <v>Monitor</v>
      </c>
      <c r="R1197">
        <v>0</v>
      </c>
      <c r="S1197">
        <f t="shared" si="222"/>
        <v>0</v>
      </c>
      <c r="T1197">
        <f t="shared" si="223"/>
        <v>0</v>
      </c>
      <c r="U1197" t="str">
        <f t="shared" si="224"/>
        <v>Improved Enough</v>
      </c>
      <c r="V1197" t="str">
        <f t="shared" si="225"/>
        <v>Close</v>
      </c>
      <c r="W1197" t="str">
        <f t="shared" si="226"/>
        <v>Normal</v>
      </c>
      <c r="X1197" t="str">
        <f t="shared" si="227"/>
        <v>Allowed</v>
      </c>
    </row>
    <row r="1198" spans="1:24" x14ac:dyDescent="0.3">
      <c r="A1198" t="s">
        <v>10</v>
      </c>
      <c r="B1198" t="s">
        <v>33</v>
      </c>
      <c r="C1198" t="s">
        <v>19</v>
      </c>
      <c r="D1198" s="3">
        <v>45838</v>
      </c>
      <c r="E1198" s="6">
        <v>8.082684937870166E-2</v>
      </c>
      <c r="F1198">
        <v>0</v>
      </c>
      <c r="G1198" t="s">
        <v>13</v>
      </c>
      <c r="H1198" s="6">
        <v>0.1</v>
      </c>
      <c r="I1198" s="8">
        <v>-9.5994506520981807E-2</v>
      </c>
      <c r="J1198" s="5">
        <f t="shared" si="216"/>
        <v>-3.0570725046180952E-3</v>
      </c>
      <c r="K1198" s="5" cm="1">
        <f t="array" ref="K1198">_xlfn.STDEV.S(IF($C:$C=C1198,$I:$I))</f>
        <v>0.17799866497296365</v>
      </c>
      <c r="L1198" s="7">
        <f t="shared" si="219"/>
        <v>-0.52212433183406204</v>
      </c>
      <c r="M1198">
        <f t="shared" si="217"/>
        <v>1</v>
      </c>
      <c r="N1198" s="9">
        <f t="shared" si="220"/>
        <v>-0.19173150621298346</v>
      </c>
      <c r="O1198">
        <f>COUNTIFS($B$2:B1198,B1198,$C$2:C1198,C1198,$D$2:D1198,"&lt;"&amp;D1198,$F$2:F1198,1)</f>
        <v>0</v>
      </c>
      <c r="P1198">
        <f t="shared" si="218"/>
        <v>0</v>
      </c>
      <c r="Q1198" t="str">
        <f t="shared" si="221"/>
        <v>Monitor</v>
      </c>
      <c r="R1198">
        <v>0</v>
      </c>
      <c r="S1198">
        <f t="shared" si="222"/>
        <v>0</v>
      </c>
      <c r="T1198">
        <f t="shared" si="223"/>
        <v>0</v>
      </c>
      <c r="U1198" t="str">
        <f t="shared" si="224"/>
        <v>Not Improved Enough</v>
      </c>
      <c r="V1198" t="str">
        <f t="shared" si="225"/>
        <v>Close</v>
      </c>
      <c r="W1198" t="str">
        <f t="shared" si="226"/>
        <v>Abnormal</v>
      </c>
      <c r="X1198" t="str">
        <f t="shared" si="227"/>
        <v>Allowed</v>
      </c>
    </row>
    <row r="1199" spans="1:24" x14ac:dyDescent="0.3">
      <c r="A1199" t="s">
        <v>10</v>
      </c>
      <c r="B1199" t="s">
        <v>33</v>
      </c>
      <c r="C1199" t="s">
        <v>19</v>
      </c>
      <c r="D1199" s="3">
        <v>45869</v>
      </c>
      <c r="E1199" s="6">
        <v>0.1016241720352055</v>
      </c>
      <c r="F1199">
        <v>0</v>
      </c>
      <c r="G1199" t="s">
        <v>13</v>
      </c>
      <c r="H1199" s="6">
        <v>0.1</v>
      </c>
      <c r="I1199" s="8">
        <v>-0.25730710545280833</v>
      </c>
      <c r="J1199" s="5">
        <f t="shared" si="216"/>
        <v>-3.0570725046180952E-3</v>
      </c>
      <c r="K1199" s="5" cm="1">
        <f t="array" ref="K1199">_xlfn.STDEV.S(IF($C:$C=C1199,$I:$I))</f>
        <v>0.17799866497296365</v>
      </c>
      <c r="L1199" s="7">
        <f t="shared" si="219"/>
        <v>-1.4283816846986377</v>
      </c>
      <c r="M1199">
        <f t="shared" si="217"/>
        <v>1</v>
      </c>
      <c r="N1199" s="9">
        <f t="shared" si="220"/>
        <v>1.6241720352054984E-2</v>
      </c>
      <c r="O1199">
        <f>COUNTIFS($B$2:B1199,B1199,$C$2:C1199,C1199,$D$2:D1199,"&lt;"&amp;D1199,$F$2:F1199,1)</f>
        <v>0</v>
      </c>
      <c r="P1199">
        <f t="shared" si="218"/>
        <v>0</v>
      </c>
      <c r="Q1199" t="str">
        <f t="shared" si="221"/>
        <v>Monitor</v>
      </c>
      <c r="R1199">
        <v>0</v>
      </c>
      <c r="S1199">
        <f t="shared" si="222"/>
        <v>0</v>
      </c>
      <c r="T1199">
        <f t="shared" si="223"/>
        <v>0</v>
      </c>
      <c r="U1199" t="str">
        <f t="shared" si="224"/>
        <v>Not Improved Enough</v>
      </c>
      <c r="V1199" t="str">
        <f t="shared" si="225"/>
        <v>Close</v>
      </c>
      <c r="W1199" t="str">
        <f t="shared" si="226"/>
        <v>Abnormal</v>
      </c>
      <c r="X1199" t="str">
        <f t="shared" si="227"/>
        <v>Allowed</v>
      </c>
    </row>
    <row r="1200" spans="1:24" x14ac:dyDescent="0.3">
      <c r="A1200" t="s">
        <v>10</v>
      </c>
      <c r="B1200" t="s">
        <v>33</v>
      </c>
      <c r="C1200" t="s">
        <v>19</v>
      </c>
      <c r="D1200" s="3">
        <v>45900</v>
      </c>
      <c r="E1200" s="6">
        <v>9.90574533229273E-2</v>
      </c>
      <c r="F1200">
        <v>0</v>
      </c>
      <c r="G1200" t="s">
        <v>13</v>
      </c>
      <c r="H1200" s="6">
        <v>0.1</v>
      </c>
      <c r="I1200" s="8">
        <v>2.5256970471444731E-2</v>
      </c>
      <c r="J1200" s="5">
        <f t="shared" si="216"/>
        <v>-3.0570725046180952E-3</v>
      </c>
      <c r="K1200" s="5" cm="1">
        <f t="array" ref="K1200">_xlfn.STDEV.S(IF($C:$C=C1200,$I:$I))</f>
        <v>0.17799866497296365</v>
      </c>
      <c r="L1200" s="7">
        <f t="shared" si="219"/>
        <v>0.15906885020942974</v>
      </c>
      <c r="M1200">
        <f t="shared" si="217"/>
        <v>0</v>
      </c>
      <c r="N1200" s="9">
        <f t="shared" si="220"/>
        <v>-9.425466770727059E-3</v>
      </c>
      <c r="O1200">
        <f>COUNTIFS($B$2:B1200,B1200,$C$2:C1200,C1200,$D$2:D1200,"&lt;"&amp;D1200,$F$2:F1200,1)</f>
        <v>0</v>
      </c>
      <c r="P1200">
        <f t="shared" si="218"/>
        <v>0</v>
      </c>
      <c r="Q1200" t="str">
        <f t="shared" si="221"/>
        <v>Monitor</v>
      </c>
      <c r="R1200">
        <v>0</v>
      </c>
      <c r="S1200">
        <f t="shared" si="222"/>
        <v>0</v>
      </c>
      <c r="T1200">
        <f t="shared" si="223"/>
        <v>0</v>
      </c>
      <c r="U1200" t="str">
        <f t="shared" si="224"/>
        <v>Improved Enough</v>
      </c>
      <c r="V1200" t="str">
        <f t="shared" si="225"/>
        <v>Close</v>
      </c>
      <c r="W1200" t="str">
        <f t="shared" si="226"/>
        <v>Normal</v>
      </c>
      <c r="X1200" t="str">
        <f t="shared" si="227"/>
        <v>Allowed</v>
      </c>
    </row>
    <row r="1201" spans="1:24" x14ac:dyDescent="0.3">
      <c r="A1201" t="s">
        <v>10</v>
      </c>
      <c r="B1201" t="s">
        <v>33</v>
      </c>
      <c r="C1201" t="s">
        <v>19</v>
      </c>
      <c r="D1201" s="3">
        <v>45930</v>
      </c>
      <c r="E1201" s="6">
        <v>9.9061242735806881E-2</v>
      </c>
      <c r="F1201">
        <v>0</v>
      </c>
      <c r="G1201" t="s">
        <v>13</v>
      </c>
      <c r="H1201" s="6">
        <v>0.1</v>
      </c>
      <c r="I1201" s="8">
        <v>-3.8254697172844747E-5</v>
      </c>
      <c r="J1201" s="5">
        <f t="shared" si="216"/>
        <v>-3.0570725046180952E-3</v>
      </c>
      <c r="K1201" s="5" cm="1">
        <f t="array" ref="K1201">_xlfn.STDEV.S(IF($C:$C=C1201,$I:$I))</f>
        <v>0.17799866497296365</v>
      </c>
      <c r="L1201" s="7">
        <f t="shared" si="219"/>
        <v>1.6959777804534549E-2</v>
      </c>
      <c r="M1201">
        <f t="shared" si="217"/>
        <v>0</v>
      </c>
      <c r="N1201" s="9">
        <f t="shared" si="220"/>
        <v>-9.3875726419312411E-3</v>
      </c>
      <c r="O1201">
        <f>COUNTIFS($B$2:B1201,B1201,$C$2:C1201,C1201,$D$2:D1201,"&lt;"&amp;D1201,$F$2:F1201,1)</f>
        <v>0</v>
      </c>
      <c r="P1201">
        <f t="shared" si="218"/>
        <v>0</v>
      </c>
      <c r="Q1201" t="str">
        <f t="shared" si="221"/>
        <v>Monitor</v>
      </c>
      <c r="R1201">
        <v>0</v>
      </c>
      <c r="S1201">
        <f t="shared" si="222"/>
        <v>0</v>
      </c>
      <c r="T1201">
        <f t="shared" si="223"/>
        <v>0</v>
      </c>
      <c r="U1201" t="str">
        <f t="shared" si="224"/>
        <v>Not Improved Enough</v>
      </c>
      <c r="V1201" t="str">
        <f t="shared" si="225"/>
        <v>Close</v>
      </c>
      <c r="W1201" t="str">
        <f t="shared" si="226"/>
        <v>Normal</v>
      </c>
      <c r="X1201" t="str">
        <f t="shared" si="227"/>
        <v>Allowed</v>
      </c>
    </row>
    <row r="1202" spans="1:24" x14ac:dyDescent="0.3">
      <c r="A1202" t="s">
        <v>10</v>
      </c>
      <c r="B1202" t="s">
        <v>33</v>
      </c>
      <c r="C1202" t="s">
        <v>19</v>
      </c>
      <c r="D1202" s="3">
        <v>45961</v>
      </c>
      <c r="E1202" s="6">
        <v>0.1012043914420146</v>
      </c>
      <c r="F1202">
        <v>0</v>
      </c>
      <c r="G1202" t="s">
        <v>13</v>
      </c>
      <c r="H1202" s="6">
        <v>0.1</v>
      </c>
      <c r="I1202" s="8">
        <v>-2.1634583284235821E-2</v>
      </c>
      <c r="J1202" s="5">
        <f t="shared" si="216"/>
        <v>-3.0570725046180952E-3</v>
      </c>
      <c r="K1202" s="5" cm="1">
        <f t="array" ref="K1202">_xlfn.STDEV.S(IF($C:$C=C1202,$I:$I))</f>
        <v>0.17799866497296365</v>
      </c>
      <c r="L1202" s="7">
        <f t="shared" si="219"/>
        <v>-0.10436882086974909</v>
      </c>
      <c r="M1202">
        <f t="shared" si="217"/>
        <v>0</v>
      </c>
      <c r="N1202" s="9">
        <f t="shared" si="220"/>
        <v>1.2043914420145907E-2</v>
      </c>
      <c r="O1202">
        <f>COUNTIFS($B$2:B1202,B1202,$C$2:C1202,C1202,$D$2:D1202,"&lt;"&amp;D1202,$F$2:F1202,1)</f>
        <v>0</v>
      </c>
      <c r="P1202">
        <f t="shared" si="218"/>
        <v>0</v>
      </c>
      <c r="Q1202" t="str">
        <f t="shared" si="221"/>
        <v>Monitor</v>
      </c>
      <c r="R1202">
        <v>0</v>
      </c>
      <c r="S1202">
        <f t="shared" si="222"/>
        <v>0</v>
      </c>
      <c r="T1202">
        <f t="shared" si="223"/>
        <v>0</v>
      </c>
      <c r="U1202" t="str">
        <f t="shared" si="224"/>
        <v>Not Improved Enough</v>
      </c>
      <c r="V1202" t="str">
        <f t="shared" si="225"/>
        <v>Close</v>
      </c>
      <c r="W1202" t="str">
        <f t="shared" si="226"/>
        <v>Normal</v>
      </c>
      <c r="X1202" t="str">
        <f t="shared" si="227"/>
        <v>Allowed</v>
      </c>
    </row>
    <row r="1203" spans="1:24" x14ac:dyDescent="0.3">
      <c r="A1203" t="s">
        <v>10</v>
      </c>
      <c r="B1203" t="s">
        <v>33</v>
      </c>
      <c r="C1203" t="s">
        <v>19</v>
      </c>
      <c r="D1203" s="3">
        <v>45991</v>
      </c>
      <c r="E1203" s="6">
        <v>0.1016437139049311</v>
      </c>
      <c r="F1203">
        <v>0</v>
      </c>
      <c r="G1203" t="s">
        <v>13</v>
      </c>
      <c r="H1203" s="6">
        <v>0.1</v>
      </c>
      <c r="I1203" s="8">
        <v>-4.3409426869407538E-3</v>
      </c>
      <c r="J1203" s="5">
        <f t="shared" si="216"/>
        <v>-3.0570725046180952E-3</v>
      </c>
      <c r="K1203" s="5" cm="1">
        <f t="array" ref="K1203">_xlfn.STDEV.S(IF($C:$C=C1203,$I:$I))</f>
        <v>0.17799866497296365</v>
      </c>
      <c r="L1203" s="7">
        <f t="shared" si="219"/>
        <v>-7.2128079304283913E-3</v>
      </c>
      <c r="M1203">
        <f t="shared" si="217"/>
        <v>0</v>
      </c>
      <c r="N1203" s="9">
        <f t="shared" si="220"/>
        <v>1.6437139049310934E-2</v>
      </c>
      <c r="O1203">
        <f>COUNTIFS($B$2:B1203,B1203,$C$2:C1203,C1203,$D$2:D1203,"&lt;"&amp;D1203,$F$2:F1203,1)</f>
        <v>0</v>
      </c>
      <c r="P1203">
        <f t="shared" si="218"/>
        <v>0</v>
      </c>
      <c r="Q1203" t="str">
        <f t="shared" si="221"/>
        <v>Monitor</v>
      </c>
      <c r="R1203">
        <v>0</v>
      </c>
      <c r="S1203">
        <f t="shared" si="222"/>
        <v>0</v>
      </c>
      <c r="T1203">
        <f t="shared" si="223"/>
        <v>0</v>
      </c>
      <c r="U1203" t="str">
        <f t="shared" si="224"/>
        <v>Not Improved Enough</v>
      </c>
      <c r="V1203" t="str">
        <f t="shared" si="225"/>
        <v>Close</v>
      </c>
      <c r="W1203" t="str">
        <f t="shared" si="226"/>
        <v>Normal</v>
      </c>
      <c r="X1203" t="str">
        <f t="shared" si="227"/>
        <v>Allowed</v>
      </c>
    </row>
    <row r="1204" spans="1:24" x14ac:dyDescent="0.3">
      <c r="A1204" t="s">
        <v>20</v>
      </c>
      <c r="B1204" t="s">
        <v>33</v>
      </c>
      <c r="C1204" t="s">
        <v>21</v>
      </c>
      <c r="D1204" s="3">
        <v>45535</v>
      </c>
      <c r="E1204" s="6">
        <v>0.66</v>
      </c>
      <c r="F1204">
        <v>0</v>
      </c>
      <c r="G1204" t="s">
        <v>13</v>
      </c>
      <c r="H1204" s="6">
        <v>0.59</v>
      </c>
      <c r="I1204" s="8">
        <v>0.1081081081081081</v>
      </c>
      <c r="J1204" s="5">
        <f t="shared" si="216"/>
        <v>-4.8849805534298088E-2</v>
      </c>
      <c r="K1204" s="5" cm="1">
        <f t="array" ref="K1204">_xlfn.STDEV.S(IF($C:$C=C1204,$I:$I))</f>
        <v>0.44966933193859487</v>
      </c>
      <c r="L1204" s="7">
        <f t="shared" si="219"/>
        <v>0.34905185320452264</v>
      </c>
      <c r="M1204">
        <f t="shared" si="217"/>
        <v>0</v>
      </c>
      <c r="N1204" s="9">
        <f t="shared" si="220"/>
        <v>0.11864406779661028</v>
      </c>
      <c r="O1204">
        <f>COUNTIFS($B$2:B1204,B1204,$C$2:C1204,C1204,$D$2:D1204,"&lt;"&amp;D1204,$F$2:F1204,1)</f>
        <v>0</v>
      </c>
      <c r="P1204">
        <f t="shared" si="218"/>
        <v>1</v>
      </c>
      <c r="Q1204" t="str">
        <f t="shared" si="221"/>
        <v>Monitor</v>
      </c>
      <c r="R1204">
        <v>1</v>
      </c>
      <c r="S1204">
        <f t="shared" si="222"/>
        <v>0</v>
      </c>
      <c r="T1204">
        <f t="shared" si="223"/>
        <v>0</v>
      </c>
      <c r="U1204" t="str">
        <f t="shared" si="224"/>
        <v>Improved Enough</v>
      </c>
      <c r="V1204" t="str">
        <f t="shared" si="225"/>
        <v>Far</v>
      </c>
      <c r="W1204" t="str">
        <f t="shared" si="226"/>
        <v>Normal</v>
      </c>
      <c r="X1204" t="str">
        <f t="shared" si="227"/>
        <v>Allowed</v>
      </c>
    </row>
    <row r="1205" spans="1:24" x14ac:dyDescent="0.3">
      <c r="A1205" t="s">
        <v>20</v>
      </c>
      <c r="B1205" t="s">
        <v>33</v>
      </c>
      <c r="C1205" t="s">
        <v>21</v>
      </c>
      <c r="D1205" s="3">
        <v>45565</v>
      </c>
      <c r="E1205" s="6">
        <v>0.68899999999999995</v>
      </c>
      <c r="F1205">
        <v>1</v>
      </c>
      <c r="G1205" t="s">
        <v>13</v>
      </c>
      <c r="H1205" s="6">
        <v>0.59</v>
      </c>
      <c r="I1205" s="8">
        <v>-4.3939393939393813E-2</v>
      </c>
      <c r="J1205" s="5">
        <f t="shared" si="216"/>
        <v>-4.8849805534298088E-2</v>
      </c>
      <c r="K1205" s="5" cm="1">
        <f t="array" ref="K1205">_xlfn.STDEV.S(IF($C:$C=C1205,$I:$I))</f>
        <v>0.44966933193859487</v>
      </c>
      <c r="L1205" s="7">
        <f t="shared" si="219"/>
        <v>1.0920050014829168E-2</v>
      </c>
      <c r="M1205">
        <f t="shared" si="217"/>
        <v>0</v>
      </c>
      <c r="N1205" s="9">
        <f t="shared" si="220"/>
        <v>0.16779661016949149</v>
      </c>
      <c r="O1205">
        <f>COUNTIFS($B$2:B1205,B1205,$C$2:C1205,C1205,$D$2:D1205,"&lt;"&amp;D1205,$F$2:F1205,1)</f>
        <v>0</v>
      </c>
      <c r="P1205">
        <f t="shared" si="218"/>
        <v>0</v>
      </c>
      <c r="Q1205" t="str">
        <f t="shared" si="221"/>
        <v>Monitor</v>
      </c>
      <c r="R1205">
        <v>0</v>
      </c>
      <c r="S1205">
        <f t="shared" si="222"/>
        <v>0</v>
      </c>
      <c r="T1205">
        <f t="shared" si="223"/>
        <v>0</v>
      </c>
      <c r="U1205" t="str">
        <f t="shared" si="224"/>
        <v>Not Improved Enough</v>
      </c>
      <c r="V1205" t="str">
        <f t="shared" si="225"/>
        <v>Far</v>
      </c>
      <c r="W1205" t="str">
        <f t="shared" si="226"/>
        <v>Normal</v>
      </c>
      <c r="X1205" t="str">
        <f t="shared" si="227"/>
        <v>Allowed</v>
      </c>
    </row>
    <row r="1206" spans="1:24" x14ac:dyDescent="0.3">
      <c r="A1206" t="s">
        <v>20</v>
      </c>
      <c r="B1206" t="s">
        <v>33</v>
      </c>
      <c r="C1206" t="s">
        <v>21</v>
      </c>
      <c r="D1206" s="3">
        <v>45596</v>
      </c>
      <c r="E1206" s="6">
        <v>0.73</v>
      </c>
      <c r="F1206">
        <v>1</v>
      </c>
      <c r="G1206" t="s">
        <v>13</v>
      </c>
      <c r="H1206" s="6">
        <v>0.59</v>
      </c>
      <c r="I1206" s="8">
        <v>-5.9506531204644469E-2</v>
      </c>
      <c r="J1206" s="5">
        <f t="shared" si="216"/>
        <v>-4.8849805534298088E-2</v>
      </c>
      <c r="K1206" s="5" cm="1">
        <f t="array" ref="K1206">_xlfn.STDEV.S(IF($C:$C=C1206,$I:$I))</f>
        <v>0.44966933193859487</v>
      </c>
      <c r="L1206" s="7">
        <f t="shared" si="219"/>
        <v>-2.369902707041098E-2</v>
      </c>
      <c r="M1206">
        <f t="shared" si="217"/>
        <v>0</v>
      </c>
      <c r="N1206" s="9">
        <f t="shared" si="220"/>
        <v>0.23728813559322037</v>
      </c>
      <c r="O1206">
        <f>COUNTIFS($B$2:B1206,B1206,$C$2:C1206,C1206,$D$2:D1206,"&lt;"&amp;D1206,$F$2:F1206,1)</f>
        <v>1</v>
      </c>
      <c r="P1206">
        <f t="shared" si="218"/>
        <v>-1</v>
      </c>
      <c r="Q1206" t="str">
        <f t="shared" si="221"/>
        <v>Monitor</v>
      </c>
      <c r="R1206">
        <v>1</v>
      </c>
      <c r="S1206">
        <f t="shared" si="222"/>
        <v>0</v>
      </c>
      <c r="T1206">
        <f t="shared" si="223"/>
        <v>0</v>
      </c>
      <c r="U1206" t="str">
        <f t="shared" si="224"/>
        <v>Not Improved Enough</v>
      </c>
      <c r="V1206" t="str">
        <f t="shared" si="225"/>
        <v>Far</v>
      </c>
      <c r="W1206" t="str">
        <f t="shared" si="226"/>
        <v>Normal</v>
      </c>
      <c r="X1206" t="str">
        <f t="shared" si="227"/>
        <v>Allowed</v>
      </c>
    </row>
    <row r="1207" spans="1:24" x14ac:dyDescent="0.3">
      <c r="A1207" t="s">
        <v>20</v>
      </c>
      <c r="B1207" t="s">
        <v>33</v>
      </c>
      <c r="C1207" t="s">
        <v>21</v>
      </c>
      <c r="D1207" s="3">
        <v>45626</v>
      </c>
      <c r="E1207" s="6">
        <v>0.73</v>
      </c>
      <c r="F1207">
        <v>0</v>
      </c>
      <c r="G1207" t="s">
        <v>13</v>
      </c>
      <c r="H1207" s="6">
        <v>0.59</v>
      </c>
      <c r="I1207" s="8">
        <v>0</v>
      </c>
      <c r="J1207" s="5">
        <f t="shared" si="216"/>
        <v>-4.8849805534298088E-2</v>
      </c>
      <c r="K1207" s="5" cm="1">
        <f t="array" ref="K1207">_xlfn.STDEV.S(IF($C:$C=C1207,$I:$I))</f>
        <v>0.44966933193859487</v>
      </c>
      <c r="L1207" s="7">
        <f t="shared" si="219"/>
        <v>0.10863495031715623</v>
      </c>
      <c r="M1207">
        <f t="shared" si="217"/>
        <v>0</v>
      </c>
      <c r="N1207" s="9">
        <f t="shared" si="220"/>
        <v>0.23728813559322037</v>
      </c>
      <c r="O1207">
        <f>COUNTIFS($B$2:B1207,B1207,$C$2:C1207,C1207,$D$2:D1207,"&lt;"&amp;D1207,$F$2:F1207,1)</f>
        <v>2</v>
      </c>
      <c r="P1207">
        <f t="shared" si="218"/>
        <v>-1</v>
      </c>
      <c r="Q1207" t="str">
        <f t="shared" si="221"/>
        <v>Monitor</v>
      </c>
      <c r="R1207">
        <v>1</v>
      </c>
      <c r="S1207">
        <f t="shared" si="222"/>
        <v>0</v>
      </c>
      <c r="T1207">
        <f t="shared" si="223"/>
        <v>0</v>
      </c>
      <c r="U1207" t="str">
        <f t="shared" si="224"/>
        <v>Not Improved Enough</v>
      </c>
      <c r="V1207" t="str">
        <f t="shared" si="225"/>
        <v>Far</v>
      </c>
      <c r="W1207" t="str">
        <f t="shared" si="226"/>
        <v>Normal</v>
      </c>
      <c r="X1207" t="str">
        <f t="shared" si="227"/>
        <v>Allowed</v>
      </c>
    </row>
    <row r="1208" spans="1:24" x14ac:dyDescent="0.3">
      <c r="A1208" t="s">
        <v>20</v>
      </c>
      <c r="B1208" t="s">
        <v>33</v>
      </c>
      <c r="C1208" t="s">
        <v>21</v>
      </c>
      <c r="D1208" s="3">
        <v>45657</v>
      </c>
      <c r="E1208" s="6">
        <v>0.73</v>
      </c>
      <c r="F1208">
        <v>1</v>
      </c>
      <c r="G1208" t="s">
        <v>13</v>
      </c>
      <c r="H1208" s="6">
        <v>0.59</v>
      </c>
      <c r="I1208" s="8">
        <v>0</v>
      </c>
      <c r="J1208" s="5">
        <f t="shared" si="216"/>
        <v>-4.8849805534298088E-2</v>
      </c>
      <c r="K1208" s="5" cm="1">
        <f t="array" ref="K1208">_xlfn.STDEV.S(IF($C:$C=C1208,$I:$I))</f>
        <v>0.44966933193859487</v>
      </c>
      <c r="L1208" s="7">
        <f t="shared" si="219"/>
        <v>0.10863495031715623</v>
      </c>
      <c r="M1208">
        <f t="shared" si="217"/>
        <v>0</v>
      </c>
      <c r="N1208" s="9">
        <f t="shared" si="220"/>
        <v>0.23728813559322037</v>
      </c>
      <c r="O1208">
        <f>COUNTIFS($B$2:B1208,B1208,$C$2:C1208,C1208,$D$2:D1208,"&lt;"&amp;D1208,$F$2:F1208,1)</f>
        <v>2</v>
      </c>
      <c r="P1208">
        <f t="shared" si="218"/>
        <v>0</v>
      </c>
      <c r="Q1208" t="str">
        <f t="shared" si="221"/>
        <v>Monitor</v>
      </c>
      <c r="R1208">
        <v>0</v>
      </c>
      <c r="S1208">
        <f t="shared" si="222"/>
        <v>0</v>
      </c>
      <c r="T1208">
        <f t="shared" si="223"/>
        <v>0</v>
      </c>
      <c r="U1208" t="str">
        <f t="shared" si="224"/>
        <v>Not Improved Enough</v>
      </c>
      <c r="V1208" t="str">
        <f t="shared" si="225"/>
        <v>Far</v>
      </c>
      <c r="W1208" t="str">
        <f t="shared" si="226"/>
        <v>Normal</v>
      </c>
      <c r="X1208" t="str">
        <f t="shared" si="227"/>
        <v>Allowed</v>
      </c>
    </row>
    <row r="1209" spans="1:24" x14ac:dyDescent="0.3">
      <c r="A1209" t="s">
        <v>20</v>
      </c>
      <c r="B1209" t="s">
        <v>33</v>
      </c>
      <c r="C1209" t="s">
        <v>21</v>
      </c>
      <c r="D1209" s="3">
        <v>45688</v>
      </c>
      <c r="E1209" s="6">
        <v>0.78</v>
      </c>
      <c r="F1209">
        <v>1</v>
      </c>
      <c r="G1209" t="s">
        <v>13</v>
      </c>
      <c r="H1209" s="6">
        <v>0.59</v>
      </c>
      <c r="I1209" s="8">
        <v>-6.8493150684931572E-2</v>
      </c>
      <c r="J1209" s="5">
        <f t="shared" si="216"/>
        <v>-4.8849805534298088E-2</v>
      </c>
      <c r="K1209" s="5" cm="1">
        <f t="array" ref="K1209">_xlfn.STDEV.S(IF($C:$C=C1209,$I:$I))</f>
        <v>0.44966933193859487</v>
      </c>
      <c r="L1209" s="7">
        <f t="shared" si="219"/>
        <v>-4.3683977882031558E-2</v>
      </c>
      <c r="M1209">
        <f t="shared" si="217"/>
        <v>0</v>
      </c>
      <c r="N1209" s="9">
        <f t="shared" si="220"/>
        <v>0.32203389830508489</v>
      </c>
      <c r="O1209">
        <f>COUNTIFS($B$2:B1209,B1209,$C$2:C1209,C1209,$D$2:D1209,"&lt;"&amp;D1209,$F$2:F1209,1)</f>
        <v>3</v>
      </c>
      <c r="P1209">
        <f t="shared" si="218"/>
        <v>-1</v>
      </c>
      <c r="Q1209" t="str">
        <f t="shared" si="221"/>
        <v>Monitor</v>
      </c>
      <c r="R1209">
        <v>1</v>
      </c>
      <c r="S1209">
        <f t="shared" si="222"/>
        <v>0</v>
      </c>
      <c r="T1209">
        <f t="shared" si="223"/>
        <v>0</v>
      </c>
      <c r="U1209" t="str">
        <f t="shared" si="224"/>
        <v>Not Improved Enough</v>
      </c>
      <c r="V1209" t="str">
        <f t="shared" si="225"/>
        <v>Far</v>
      </c>
      <c r="W1209" t="str">
        <f t="shared" si="226"/>
        <v>Normal</v>
      </c>
      <c r="X1209" t="str">
        <f t="shared" si="227"/>
        <v>Allowed</v>
      </c>
    </row>
    <row r="1210" spans="1:24" x14ac:dyDescent="0.3">
      <c r="A1210" t="s">
        <v>20</v>
      </c>
      <c r="B1210" t="s">
        <v>33</v>
      </c>
      <c r="C1210" t="s">
        <v>21</v>
      </c>
      <c r="D1210" s="3">
        <v>45716</v>
      </c>
      <c r="E1210" s="6">
        <v>0.8</v>
      </c>
      <c r="F1210">
        <v>0</v>
      </c>
      <c r="G1210" t="s">
        <v>13</v>
      </c>
      <c r="H1210" s="6">
        <v>0.59</v>
      </c>
      <c r="I1210" s="8">
        <v>-2.5641025641025661E-2</v>
      </c>
      <c r="J1210" s="5">
        <f t="shared" si="216"/>
        <v>-4.8849805534298088E-2</v>
      </c>
      <c r="K1210" s="5" cm="1">
        <f t="array" ref="K1210">_xlfn.STDEV.S(IF($C:$C=C1210,$I:$I))</f>
        <v>0.44966933193859487</v>
      </c>
      <c r="L1210" s="7">
        <f t="shared" si="219"/>
        <v>5.1612992581050045E-2</v>
      </c>
      <c r="M1210">
        <f t="shared" si="217"/>
        <v>0</v>
      </c>
      <c r="N1210" s="9">
        <f t="shared" si="220"/>
        <v>0.35593220338983067</v>
      </c>
      <c r="O1210">
        <f>COUNTIFS($B$2:B1210,B1210,$C$2:C1210,C1210,$D$2:D1210,"&lt;"&amp;D1210,$F$2:F1210,1)</f>
        <v>4</v>
      </c>
      <c r="P1210">
        <f t="shared" si="218"/>
        <v>-1</v>
      </c>
      <c r="Q1210" t="str">
        <f t="shared" si="221"/>
        <v>Monitor</v>
      </c>
      <c r="R1210">
        <v>1</v>
      </c>
      <c r="S1210">
        <f t="shared" si="222"/>
        <v>0</v>
      </c>
      <c r="T1210">
        <f t="shared" si="223"/>
        <v>0</v>
      </c>
      <c r="U1210" t="str">
        <f t="shared" si="224"/>
        <v>Not Improved Enough</v>
      </c>
      <c r="V1210" t="str">
        <f t="shared" si="225"/>
        <v>Far</v>
      </c>
      <c r="W1210" t="str">
        <f t="shared" si="226"/>
        <v>Normal</v>
      </c>
      <c r="X1210" t="str">
        <f t="shared" si="227"/>
        <v>Allowed</v>
      </c>
    </row>
    <row r="1211" spans="1:24" x14ac:dyDescent="0.3">
      <c r="A1211" t="s">
        <v>20</v>
      </c>
      <c r="B1211" t="s">
        <v>33</v>
      </c>
      <c r="C1211" t="s">
        <v>21</v>
      </c>
      <c r="D1211" s="3">
        <v>45747</v>
      </c>
      <c r="E1211" s="6">
        <v>0.74</v>
      </c>
      <c r="F1211">
        <v>1</v>
      </c>
      <c r="G1211" t="s">
        <v>13</v>
      </c>
      <c r="H1211" s="6">
        <v>0.59</v>
      </c>
      <c r="I1211" s="8">
        <v>7.5000000000000067E-2</v>
      </c>
      <c r="J1211" s="5">
        <f t="shared" si="216"/>
        <v>-4.8849805534298088E-2</v>
      </c>
      <c r="K1211" s="5" cm="1">
        <f t="array" ref="K1211">_xlfn.STDEV.S(IF($C:$C=C1211,$I:$I))</f>
        <v>0.44966933193859487</v>
      </c>
      <c r="L1211" s="7">
        <f t="shared" si="219"/>
        <v>0.27542417669526686</v>
      </c>
      <c r="M1211">
        <f t="shared" si="217"/>
        <v>0</v>
      </c>
      <c r="N1211" s="9">
        <f t="shared" si="220"/>
        <v>0.25423728813559326</v>
      </c>
      <c r="O1211">
        <f>COUNTIFS($B$2:B1211,B1211,$C$2:C1211,C1211,$D$2:D1211,"&lt;"&amp;D1211,$F$2:F1211,1)</f>
        <v>4</v>
      </c>
      <c r="P1211">
        <f t="shared" si="218"/>
        <v>0</v>
      </c>
      <c r="Q1211" t="str">
        <f t="shared" si="221"/>
        <v>Monitor</v>
      </c>
      <c r="R1211">
        <v>0</v>
      </c>
      <c r="S1211">
        <f t="shared" si="222"/>
        <v>0</v>
      </c>
      <c r="T1211">
        <f t="shared" si="223"/>
        <v>0</v>
      </c>
      <c r="U1211" t="str">
        <f t="shared" si="224"/>
        <v>Improved Enough</v>
      </c>
      <c r="V1211" t="str">
        <f t="shared" si="225"/>
        <v>Far</v>
      </c>
      <c r="W1211" t="str">
        <f t="shared" si="226"/>
        <v>Normal</v>
      </c>
      <c r="X1211" t="str">
        <f t="shared" si="227"/>
        <v>Allowed</v>
      </c>
    </row>
    <row r="1212" spans="1:24" x14ac:dyDescent="0.3">
      <c r="A1212" t="s">
        <v>20</v>
      </c>
      <c r="B1212" t="s">
        <v>33</v>
      </c>
      <c r="C1212" t="s">
        <v>21</v>
      </c>
      <c r="D1212" s="3">
        <v>45777</v>
      </c>
      <c r="E1212" s="6">
        <v>0.76</v>
      </c>
      <c r="F1212">
        <v>1</v>
      </c>
      <c r="G1212" t="s">
        <v>13</v>
      </c>
      <c r="H1212" s="6">
        <v>0.59</v>
      </c>
      <c r="I1212" s="8">
        <v>-2.7027027027027049E-2</v>
      </c>
      <c r="J1212" s="5">
        <f t="shared" si="216"/>
        <v>-4.8849805534298088E-2</v>
      </c>
      <c r="K1212" s="5" cm="1">
        <f t="array" ref="K1212">_xlfn.STDEV.S(IF($C:$C=C1212,$I:$I))</f>
        <v>0.44966933193859487</v>
      </c>
      <c r="L1212" s="7">
        <f t="shared" si="219"/>
        <v>4.8530724595314573E-2</v>
      </c>
      <c r="M1212">
        <f t="shared" si="217"/>
        <v>0</v>
      </c>
      <c r="N1212" s="9">
        <f t="shared" si="220"/>
        <v>0.28813559322033905</v>
      </c>
      <c r="O1212">
        <f>COUNTIFS($B$2:B1212,B1212,$C$2:C1212,C1212,$D$2:D1212,"&lt;"&amp;D1212,$F$2:F1212,1)</f>
        <v>5</v>
      </c>
      <c r="P1212">
        <f t="shared" si="218"/>
        <v>-1</v>
      </c>
      <c r="Q1212" t="str">
        <f t="shared" si="221"/>
        <v>Monitor</v>
      </c>
      <c r="R1212">
        <v>1</v>
      </c>
      <c r="S1212">
        <f t="shared" si="222"/>
        <v>0</v>
      </c>
      <c r="T1212">
        <f t="shared" si="223"/>
        <v>0</v>
      </c>
      <c r="U1212" t="str">
        <f t="shared" si="224"/>
        <v>Not Improved Enough</v>
      </c>
      <c r="V1212" t="str">
        <f t="shared" si="225"/>
        <v>Far</v>
      </c>
      <c r="W1212" t="str">
        <f t="shared" si="226"/>
        <v>Normal</v>
      </c>
      <c r="X1212" t="str">
        <f t="shared" si="227"/>
        <v>Maxed Out</v>
      </c>
    </row>
    <row r="1213" spans="1:24" x14ac:dyDescent="0.3">
      <c r="A1213" t="s">
        <v>20</v>
      </c>
      <c r="B1213" t="s">
        <v>33</v>
      </c>
      <c r="C1213" t="s">
        <v>21</v>
      </c>
      <c r="D1213" s="3">
        <v>45808</v>
      </c>
      <c r="E1213" s="6">
        <v>0.7</v>
      </c>
      <c r="F1213">
        <v>1</v>
      </c>
      <c r="G1213" t="s">
        <v>13</v>
      </c>
      <c r="H1213" s="6">
        <v>0.59</v>
      </c>
      <c r="I1213" s="8">
        <v>7.8947368421052697E-2</v>
      </c>
      <c r="J1213" s="5">
        <f t="shared" si="216"/>
        <v>-4.8849805534298088E-2</v>
      </c>
      <c r="K1213" s="5" cm="1">
        <f t="array" ref="K1213">_xlfn.STDEV.S(IF($C:$C=C1213,$I:$I))</f>
        <v>0.44966933193859487</v>
      </c>
      <c r="L1213" s="7">
        <f t="shared" si="219"/>
        <v>0.28420255703095687</v>
      </c>
      <c r="M1213">
        <f t="shared" si="217"/>
        <v>0</v>
      </c>
      <c r="N1213" s="9">
        <f t="shared" si="220"/>
        <v>0.18644067796610167</v>
      </c>
      <c r="O1213">
        <f>COUNTIFS($B$2:B1213,B1213,$C$2:C1213,C1213,$D$2:D1213,"&lt;"&amp;D1213,$F$2:F1213,1)</f>
        <v>6</v>
      </c>
      <c r="P1213">
        <f t="shared" si="218"/>
        <v>1</v>
      </c>
      <c r="Q1213" t="str">
        <f t="shared" si="221"/>
        <v>Monitor</v>
      </c>
      <c r="R1213">
        <v>1</v>
      </c>
      <c r="S1213">
        <f t="shared" si="222"/>
        <v>0</v>
      </c>
      <c r="T1213">
        <f t="shared" si="223"/>
        <v>0</v>
      </c>
      <c r="U1213" t="str">
        <f t="shared" si="224"/>
        <v>Improved Enough</v>
      </c>
      <c r="V1213" t="str">
        <f t="shared" si="225"/>
        <v>Far</v>
      </c>
      <c r="W1213" t="str">
        <f t="shared" si="226"/>
        <v>Normal</v>
      </c>
      <c r="X1213" t="str">
        <f t="shared" si="227"/>
        <v>Maxed Out</v>
      </c>
    </row>
    <row r="1214" spans="1:24" x14ac:dyDescent="0.3">
      <c r="A1214" t="s">
        <v>20</v>
      </c>
      <c r="B1214" t="s">
        <v>33</v>
      </c>
      <c r="C1214" t="s">
        <v>21</v>
      </c>
      <c r="D1214" s="3">
        <v>45838</v>
      </c>
      <c r="E1214" s="6">
        <v>0.74</v>
      </c>
      <c r="F1214">
        <v>1</v>
      </c>
      <c r="G1214" t="s">
        <v>13</v>
      </c>
      <c r="H1214" s="6">
        <v>0.59</v>
      </c>
      <c r="I1214" s="8">
        <v>-5.7142857142857197E-2</v>
      </c>
      <c r="J1214" s="5">
        <f t="shared" si="216"/>
        <v>-4.8849805534298088E-2</v>
      </c>
      <c r="K1214" s="5" cm="1">
        <f t="array" ref="K1214">_xlfn.STDEV.S(IF($C:$C=C1214,$I:$I))</f>
        <v>0.44966933193859487</v>
      </c>
      <c r="L1214" s="7">
        <f t="shared" si="219"/>
        <v>-1.8442555494737577E-2</v>
      </c>
      <c r="M1214">
        <f t="shared" si="217"/>
        <v>0</v>
      </c>
      <c r="N1214" s="9">
        <f t="shared" si="220"/>
        <v>0.25423728813559326</v>
      </c>
      <c r="O1214">
        <f>COUNTIFS($B$2:B1214,B1214,$C$2:C1214,C1214,$D$2:D1214,"&lt;"&amp;D1214,$F$2:F1214,1)</f>
        <v>7</v>
      </c>
      <c r="P1214">
        <f t="shared" si="218"/>
        <v>-1</v>
      </c>
      <c r="Q1214" t="str">
        <f t="shared" si="221"/>
        <v>Monitor</v>
      </c>
      <c r="R1214">
        <v>1</v>
      </c>
      <c r="S1214">
        <f t="shared" si="222"/>
        <v>0</v>
      </c>
      <c r="T1214">
        <f t="shared" si="223"/>
        <v>0</v>
      </c>
      <c r="U1214" t="str">
        <f t="shared" si="224"/>
        <v>Not Improved Enough</v>
      </c>
      <c r="V1214" t="str">
        <f t="shared" si="225"/>
        <v>Far</v>
      </c>
      <c r="W1214" t="str">
        <f t="shared" si="226"/>
        <v>Normal</v>
      </c>
      <c r="X1214" t="str">
        <f t="shared" si="227"/>
        <v>Maxed Out</v>
      </c>
    </row>
    <row r="1215" spans="1:24" x14ac:dyDescent="0.3">
      <c r="A1215" t="s">
        <v>20</v>
      </c>
      <c r="B1215" t="s">
        <v>33</v>
      </c>
      <c r="C1215" t="s">
        <v>21</v>
      </c>
      <c r="D1215" s="3">
        <v>45869</v>
      </c>
      <c r="E1215" s="6">
        <v>0.74</v>
      </c>
      <c r="F1215">
        <v>1</v>
      </c>
      <c r="G1215" t="s">
        <v>13</v>
      </c>
      <c r="H1215" s="6">
        <v>0.59</v>
      </c>
      <c r="I1215" s="8">
        <v>0</v>
      </c>
      <c r="J1215" s="5">
        <f t="shared" si="216"/>
        <v>-4.8849805534298088E-2</v>
      </c>
      <c r="K1215" s="5" cm="1">
        <f t="array" ref="K1215">_xlfn.STDEV.S(IF($C:$C=C1215,$I:$I))</f>
        <v>0.44966933193859487</v>
      </c>
      <c r="L1215" s="7">
        <f t="shared" si="219"/>
        <v>0.10863495031715623</v>
      </c>
      <c r="M1215">
        <f t="shared" si="217"/>
        <v>0</v>
      </c>
      <c r="N1215" s="9">
        <f t="shared" si="220"/>
        <v>0.25423728813559326</v>
      </c>
      <c r="O1215">
        <f>COUNTIFS($B$2:B1215,B1215,$C$2:C1215,C1215,$D$2:D1215,"&lt;"&amp;D1215,$F$2:F1215,1)</f>
        <v>8</v>
      </c>
      <c r="P1215">
        <f t="shared" si="218"/>
        <v>-1</v>
      </c>
      <c r="Q1215" t="str">
        <f t="shared" si="221"/>
        <v>Monitor</v>
      </c>
      <c r="R1215">
        <v>1</v>
      </c>
      <c r="S1215">
        <f t="shared" si="222"/>
        <v>0</v>
      </c>
      <c r="T1215">
        <f t="shared" si="223"/>
        <v>0</v>
      </c>
      <c r="U1215" t="str">
        <f t="shared" si="224"/>
        <v>Not Improved Enough</v>
      </c>
      <c r="V1215" t="str">
        <f t="shared" si="225"/>
        <v>Far</v>
      </c>
      <c r="W1215" t="str">
        <f t="shared" si="226"/>
        <v>Normal</v>
      </c>
      <c r="X1215" t="str">
        <f t="shared" si="227"/>
        <v>Maxed Out</v>
      </c>
    </row>
    <row r="1216" spans="1:24" x14ac:dyDescent="0.3">
      <c r="A1216" t="s">
        <v>20</v>
      </c>
      <c r="B1216" t="s">
        <v>33</v>
      </c>
      <c r="C1216" t="s">
        <v>21</v>
      </c>
      <c r="D1216" s="3">
        <v>45900</v>
      </c>
      <c r="E1216" s="6">
        <v>0.74</v>
      </c>
      <c r="F1216">
        <v>1</v>
      </c>
      <c r="G1216" t="s">
        <v>13</v>
      </c>
      <c r="H1216" s="6">
        <v>0.59</v>
      </c>
      <c r="I1216" s="8">
        <v>0</v>
      </c>
      <c r="J1216" s="5">
        <f t="shared" si="216"/>
        <v>-4.8849805534298088E-2</v>
      </c>
      <c r="K1216" s="5" cm="1">
        <f t="array" ref="K1216">_xlfn.STDEV.S(IF($C:$C=C1216,$I:$I))</f>
        <v>0.44966933193859487</v>
      </c>
      <c r="L1216" s="7">
        <f t="shared" si="219"/>
        <v>0.10863495031715623</v>
      </c>
      <c r="M1216">
        <f t="shared" si="217"/>
        <v>0</v>
      </c>
      <c r="N1216" s="9">
        <f t="shared" si="220"/>
        <v>0.25423728813559326</v>
      </c>
      <c r="O1216">
        <f>COUNTIFS($B$2:B1216,B1216,$C$2:C1216,C1216,$D$2:D1216,"&lt;"&amp;D1216,$F$2:F1216,1)</f>
        <v>9</v>
      </c>
      <c r="P1216">
        <f t="shared" si="218"/>
        <v>-1</v>
      </c>
      <c r="Q1216" t="str">
        <f t="shared" si="221"/>
        <v>Monitor</v>
      </c>
      <c r="R1216">
        <v>1</v>
      </c>
      <c r="S1216">
        <f t="shared" si="222"/>
        <v>0</v>
      </c>
      <c r="T1216">
        <f t="shared" si="223"/>
        <v>0</v>
      </c>
      <c r="U1216" t="str">
        <f t="shared" si="224"/>
        <v>Not Improved Enough</v>
      </c>
      <c r="V1216" t="str">
        <f t="shared" si="225"/>
        <v>Far</v>
      </c>
      <c r="W1216" t="str">
        <f t="shared" si="226"/>
        <v>Normal</v>
      </c>
      <c r="X1216" t="str">
        <f t="shared" si="227"/>
        <v>Maxed Out</v>
      </c>
    </row>
    <row r="1217" spans="1:24" x14ac:dyDescent="0.3">
      <c r="A1217" t="s">
        <v>20</v>
      </c>
      <c r="B1217" t="s">
        <v>33</v>
      </c>
      <c r="C1217" t="s">
        <v>21</v>
      </c>
      <c r="D1217" s="3">
        <v>45930</v>
      </c>
      <c r="E1217" s="6">
        <v>0.72</v>
      </c>
      <c r="F1217">
        <v>1</v>
      </c>
      <c r="G1217" t="s">
        <v>13</v>
      </c>
      <c r="H1217" s="6">
        <v>0.59</v>
      </c>
      <c r="I1217" s="8">
        <v>2.7027027027027049E-2</v>
      </c>
      <c r="J1217" s="5">
        <f t="shared" si="216"/>
        <v>-4.8849805534298088E-2</v>
      </c>
      <c r="K1217" s="5" cm="1">
        <f t="array" ref="K1217">_xlfn.STDEV.S(IF($C:$C=C1217,$I:$I))</f>
        <v>0.44966933193859487</v>
      </c>
      <c r="L1217" s="7">
        <f t="shared" si="219"/>
        <v>0.16873917603899788</v>
      </c>
      <c r="M1217">
        <f t="shared" si="217"/>
        <v>0</v>
      </c>
      <c r="N1217" s="9">
        <f t="shared" si="220"/>
        <v>0.22033898305084748</v>
      </c>
      <c r="O1217">
        <f>COUNTIFS($B$2:B1217,B1217,$C$2:C1217,C1217,$D$2:D1217,"&lt;"&amp;D1217,$F$2:F1217,1)</f>
        <v>10</v>
      </c>
      <c r="P1217">
        <f t="shared" si="218"/>
        <v>1</v>
      </c>
      <c r="Q1217" t="str">
        <f t="shared" si="221"/>
        <v>Monitor</v>
      </c>
      <c r="R1217">
        <v>1</v>
      </c>
      <c r="S1217">
        <f t="shared" si="222"/>
        <v>0</v>
      </c>
      <c r="T1217">
        <f t="shared" si="223"/>
        <v>0</v>
      </c>
      <c r="U1217" t="str">
        <f t="shared" si="224"/>
        <v>Improved Enough</v>
      </c>
      <c r="V1217" t="str">
        <f t="shared" si="225"/>
        <v>Far</v>
      </c>
      <c r="W1217" t="str">
        <f t="shared" si="226"/>
        <v>Normal</v>
      </c>
      <c r="X1217" t="str">
        <f t="shared" si="227"/>
        <v>Maxed Out</v>
      </c>
    </row>
    <row r="1218" spans="1:24" x14ac:dyDescent="0.3">
      <c r="A1218" t="s">
        <v>20</v>
      </c>
      <c r="B1218" t="s">
        <v>33</v>
      </c>
      <c r="C1218" t="s">
        <v>21</v>
      </c>
      <c r="D1218" s="3">
        <v>45961</v>
      </c>
      <c r="E1218" s="6">
        <v>0.7</v>
      </c>
      <c r="F1218">
        <v>1</v>
      </c>
      <c r="G1218" t="s">
        <v>13</v>
      </c>
      <c r="H1218" s="6">
        <v>0.59</v>
      </c>
      <c r="I1218" s="8">
        <v>2.7777777777777801E-2</v>
      </c>
      <c r="J1218" s="5">
        <f t="shared" ref="J1218:J1281" si="228">AVERAGEIF($C:$C,C1218,$I:$I)</f>
        <v>-4.8849805534298088E-2</v>
      </c>
      <c r="K1218" s="5" cm="1">
        <f t="array" ref="K1218">_xlfn.STDEV.S(IF($C:$C=C1218,$I:$I))</f>
        <v>0.44966933193859487</v>
      </c>
      <c r="L1218" s="7">
        <f t="shared" si="219"/>
        <v>0.17040873786460461</v>
      </c>
      <c r="M1218">
        <f t="shared" ref="M1218:M1281" si="229">IF(L1218&lt;=-$Z$4,1,IF(L1218&gt;=$Z$4,-1,0))</f>
        <v>0</v>
      </c>
      <c r="N1218" s="9">
        <f t="shared" si="220"/>
        <v>0.18644067796610167</v>
      </c>
      <c r="O1218">
        <f>COUNTIFS($B$2:B1218,B1218,$C$2:C1218,C1218,$D$2:D1218,"&lt;"&amp;D1218,$F$2:F1218,1)</f>
        <v>11</v>
      </c>
      <c r="P1218">
        <f t="shared" ref="P1218:P1281" si="230">IF(AND(R1218=1,I1218&gt;0),1,IF(R1218=1,-1,0))</f>
        <v>1</v>
      </c>
      <c r="Q1218" t="str">
        <f t="shared" si="221"/>
        <v>Monitor</v>
      </c>
      <c r="R1218">
        <v>1</v>
      </c>
      <c r="S1218">
        <f t="shared" si="222"/>
        <v>0</v>
      </c>
      <c r="T1218">
        <f t="shared" si="223"/>
        <v>0</v>
      </c>
      <c r="U1218" t="str">
        <f t="shared" si="224"/>
        <v>Improved Enough</v>
      </c>
      <c r="V1218" t="str">
        <f t="shared" si="225"/>
        <v>Far</v>
      </c>
      <c r="W1218" t="str">
        <f t="shared" si="226"/>
        <v>Normal</v>
      </c>
      <c r="X1218" t="str">
        <f t="shared" si="227"/>
        <v>Maxed Out</v>
      </c>
    </row>
    <row r="1219" spans="1:24" x14ac:dyDescent="0.3">
      <c r="A1219" t="s">
        <v>20</v>
      </c>
      <c r="B1219" t="s">
        <v>33</v>
      </c>
      <c r="C1219" t="s">
        <v>22</v>
      </c>
      <c r="D1219" s="3">
        <v>45535</v>
      </c>
      <c r="E1219" s="6">
        <v>0.82499999999999996</v>
      </c>
      <c r="F1219">
        <v>0</v>
      </c>
      <c r="G1219" t="s">
        <v>13</v>
      </c>
      <c r="H1219" s="6">
        <v>0.56999999999999995</v>
      </c>
      <c r="I1219" s="8">
        <v>9.6038415366146556E-3</v>
      </c>
      <c r="J1219" s="5">
        <f t="shared" si="228"/>
        <v>-2.6703176088529658E-2</v>
      </c>
      <c r="K1219" s="5" cm="1">
        <f t="array" ref="K1219">_xlfn.STDEV.S(IF($C:$C=C1219,$I:$I))</f>
        <v>0.34089784338901952</v>
      </c>
      <c r="L1219" s="7">
        <f t="shared" ref="L1219:L1282" si="231">IFERROR((I1219-J1219)/K1219,0)</f>
        <v>0.10650409889426066</v>
      </c>
      <c r="M1219">
        <f t="shared" si="229"/>
        <v>0</v>
      </c>
      <c r="N1219" s="9">
        <f t="shared" ref="N1219:N1282" si="232">IFERROR(IF(G1219="DOWN",(E1219-H1219)/H1219,(H1219-E1219)/H1219),0)</f>
        <v>0.44736842105263164</v>
      </c>
      <c r="O1219">
        <f>COUNTIFS($B$2:B1219,B1219,$C$2:C1219,C1219,$D$2:D1219,"&lt;"&amp;D1219,$F$2:F1219,1)</f>
        <v>0</v>
      </c>
      <c r="P1219">
        <f t="shared" si="230"/>
        <v>1</v>
      </c>
      <c r="Q1219" t="str">
        <f t="shared" ref="Q1219:Q1282" si="233">IF(I1219&gt;=$Z$1,"Monitor",IF(AND(N1219&gt;=$Z$2,L1219&lt;=-$Z$4),IF(O1219&lt;$Z$3,"Intervene","Escalate / Bigger Fix"),"Monitor"))</f>
        <v>Monitor</v>
      </c>
      <c r="R1219">
        <v>1</v>
      </c>
      <c r="S1219">
        <f t="shared" ref="S1219:S1282" si="234">IF(Q1219="Intervene",1,IF(Q1219="Escalate / Bigger Fix",-1,0))</f>
        <v>0</v>
      </c>
      <c r="T1219">
        <f t="shared" ref="T1219:T1282" si="235">IF(Q1219="Intervene",1,0)</f>
        <v>0</v>
      </c>
      <c r="U1219" t="str">
        <f t="shared" ref="U1219:U1282" si="236">IF(I1219&gt;=$Z$1,"Improved Enough","Not Improved Enough")</f>
        <v>Not Improved Enough</v>
      </c>
      <c r="V1219" t="str">
        <f t="shared" ref="V1219:V1282" si="237">IF(N1219&gt;=$Z$2,"Far","Close")</f>
        <v>Far</v>
      </c>
      <c r="W1219" t="str">
        <f t="shared" ref="W1219:W1282" si="238">IF(L1219&lt;=-$Z$4,"Abnormal","Normal")</f>
        <v>Normal</v>
      </c>
      <c r="X1219" t="str">
        <f t="shared" ref="X1219:X1282" si="239">IF(O1219&lt;$Z$3,"Allowed","Maxed Out")</f>
        <v>Allowed</v>
      </c>
    </row>
    <row r="1220" spans="1:24" x14ac:dyDescent="0.3">
      <c r="A1220" t="s">
        <v>20</v>
      </c>
      <c r="B1220" t="s">
        <v>33</v>
      </c>
      <c r="C1220" t="s">
        <v>22</v>
      </c>
      <c r="D1220" s="3">
        <v>45565</v>
      </c>
      <c r="E1220" s="6">
        <v>0.82299999999999995</v>
      </c>
      <c r="F1220">
        <v>1</v>
      </c>
      <c r="G1220" t="s">
        <v>13</v>
      </c>
      <c r="H1220" s="6">
        <v>0.56999999999999995</v>
      </c>
      <c r="I1220" s="8">
        <v>2.424242424242426E-3</v>
      </c>
      <c r="J1220" s="5">
        <f t="shared" si="228"/>
        <v>-2.6703176088529658E-2</v>
      </c>
      <c r="K1220" s="5" cm="1">
        <f t="array" ref="K1220">_xlfn.STDEV.S(IF($C:$C=C1220,$I:$I))</f>
        <v>0.34089784338901952</v>
      </c>
      <c r="L1220" s="7">
        <f t="shared" si="231"/>
        <v>8.5443246643050752E-2</v>
      </c>
      <c r="M1220">
        <f t="shared" si="229"/>
        <v>0</v>
      </c>
      <c r="N1220" s="9">
        <f t="shared" si="232"/>
        <v>0.44385964912280707</v>
      </c>
      <c r="O1220">
        <f>COUNTIFS($B$2:B1220,B1220,$C$2:C1220,C1220,$D$2:D1220,"&lt;"&amp;D1220,$F$2:F1220,1)</f>
        <v>0</v>
      </c>
      <c r="P1220">
        <f t="shared" si="230"/>
        <v>0</v>
      </c>
      <c r="Q1220" t="str">
        <f t="shared" si="233"/>
        <v>Monitor</v>
      </c>
      <c r="R1220">
        <v>0</v>
      </c>
      <c r="S1220">
        <f t="shared" si="234"/>
        <v>0</v>
      </c>
      <c r="T1220">
        <f t="shared" si="235"/>
        <v>0</v>
      </c>
      <c r="U1220" t="str">
        <f t="shared" si="236"/>
        <v>Not Improved Enough</v>
      </c>
      <c r="V1220" t="str">
        <f t="shared" si="237"/>
        <v>Far</v>
      </c>
      <c r="W1220" t="str">
        <f t="shared" si="238"/>
        <v>Normal</v>
      </c>
      <c r="X1220" t="str">
        <f t="shared" si="239"/>
        <v>Allowed</v>
      </c>
    </row>
    <row r="1221" spans="1:24" x14ac:dyDescent="0.3">
      <c r="A1221" t="s">
        <v>20</v>
      </c>
      <c r="B1221" t="s">
        <v>33</v>
      </c>
      <c r="C1221" t="s">
        <v>22</v>
      </c>
      <c r="D1221" s="3">
        <v>45596</v>
      </c>
      <c r="E1221" s="6">
        <v>0.85399999999999998</v>
      </c>
      <c r="F1221">
        <v>1</v>
      </c>
      <c r="G1221" t="s">
        <v>13</v>
      </c>
      <c r="H1221" s="6">
        <v>0.56999999999999995</v>
      </c>
      <c r="I1221" s="8">
        <v>-3.7667071688942927E-2</v>
      </c>
      <c r="J1221" s="5">
        <f t="shared" si="228"/>
        <v>-2.6703176088529658E-2</v>
      </c>
      <c r="K1221" s="5" cm="1">
        <f t="array" ref="K1221">_xlfn.STDEV.S(IF($C:$C=C1221,$I:$I))</f>
        <v>0.34089784338901952</v>
      </c>
      <c r="L1221" s="7">
        <f t="shared" si="231"/>
        <v>-3.2161821534029751E-2</v>
      </c>
      <c r="M1221">
        <f t="shared" si="229"/>
        <v>0</v>
      </c>
      <c r="N1221" s="9">
        <f t="shared" si="232"/>
        <v>0.49824561403508782</v>
      </c>
      <c r="O1221">
        <f>COUNTIFS($B$2:B1221,B1221,$C$2:C1221,C1221,$D$2:D1221,"&lt;"&amp;D1221,$F$2:F1221,1)</f>
        <v>1</v>
      </c>
      <c r="P1221">
        <f t="shared" si="230"/>
        <v>-1</v>
      </c>
      <c r="Q1221" t="str">
        <f t="shared" si="233"/>
        <v>Monitor</v>
      </c>
      <c r="R1221">
        <v>1</v>
      </c>
      <c r="S1221">
        <f t="shared" si="234"/>
        <v>0</v>
      </c>
      <c r="T1221">
        <f t="shared" si="235"/>
        <v>0</v>
      </c>
      <c r="U1221" t="str">
        <f t="shared" si="236"/>
        <v>Not Improved Enough</v>
      </c>
      <c r="V1221" t="str">
        <f t="shared" si="237"/>
        <v>Far</v>
      </c>
      <c r="W1221" t="str">
        <f t="shared" si="238"/>
        <v>Normal</v>
      </c>
      <c r="X1221" t="str">
        <f t="shared" si="239"/>
        <v>Allowed</v>
      </c>
    </row>
    <row r="1222" spans="1:24" x14ac:dyDescent="0.3">
      <c r="A1222" t="s">
        <v>20</v>
      </c>
      <c r="B1222" t="s">
        <v>33</v>
      </c>
      <c r="C1222" t="s">
        <v>22</v>
      </c>
      <c r="D1222" s="3">
        <v>45626</v>
      </c>
      <c r="E1222" s="6">
        <v>0.84499999999999997</v>
      </c>
      <c r="F1222">
        <v>0</v>
      </c>
      <c r="G1222" t="s">
        <v>13</v>
      </c>
      <c r="H1222" s="6">
        <v>0.56999999999999995</v>
      </c>
      <c r="I1222" s="8">
        <v>1.053864168618268E-2</v>
      </c>
      <c r="J1222" s="5">
        <f t="shared" si="228"/>
        <v>-2.6703176088529658E-2</v>
      </c>
      <c r="K1222" s="5" cm="1">
        <f t="array" ref="K1222">_xlfn.STDEV.S(IF($C:$C=C1222,$I:$I))</f>
        <v>0.34089784338901952</v>
      </c>
      <c r="L1222" s="7">
        <f t="shared" si="231"/>
        <v>0.10924626980468577</v>
      </c>
      <c r="M1222">
        <f t="shared" si="229"/>
        <v>0</v>
      </c>
      <c r="N1222" s="9">
        <f t="shared" si="232"/>
        <v>0.48245614035087725</v>
      </c>
      <c r="O1222">
        <f>COUNTIFS($B$2:B1222,B1222,$C$2:C1222,C1222,$D$2:D1222,"&lt;"&amp;D1222,$F$2:F1222,1)</f>
        <v>2</v>
      </c>
      <c r="P1222">
        <f t="shared" si="230"/>
        <v>1</v>
      </c>
      <c r="Q1222" t="str">
        <f t="shared" si="233"/>
        <v>Monitor</v>
      </c>
      <c r="R1222">
        <v>1</v>
      </c>
      <c r="S1222">
        <f t="shared" si="234"/>
        <v>0</v>
      </c>
      <c r="T1222">
        <f t="shared" si="235"/>
        <v>0</v>
      </c>
      <c r="U1222" t="str">
        <f t="shared" si="236"/>
        <v>Improved Enough</v>
      </c>
      <c r="V1222" t="str">
        <f t="shared" si="237"/>
        <v>Far</v>
      </c>
      <c r="W1222" t="str">
        <f t="shared" si="238"/>
        <v>Normal</v>
      </c>
      <c r="X1222" t="str">
        <f t="shared" si="239"/>
        <v>Allowed</v>
      </c>
    </row>
    <row r="1223" spans="1:24" x14ac:dyDescent="0.3">
      <c r="A1223" t="s">
        <v>20</v>
      </c>
      <c r="B1223" t="s">
        <v>33</v>
      </c>
      <c r="C1223" t="s">
        <v>22</v>
      </c>
      <c r="D1223" s="3">
        <v>45657</v>
      </c>
      <c r="E1223" s="6">
        <v>0.85099999999999998</v>
      </c>
      <c r="F1223">
        <v>1</v>
      </c>
      <c r="G1223" t="s">
        <v>13</v>
      </c>
      <c r="H1223" s="6">
        <v>0.56999999999999995</v>
      </c>
      <c r="I1223" s="8">
        <v>-7.100591715976338E-3</v>
      </c>
      <c r="J1223" s="5">
        <f t="shared" si="228"/>
        <v>-2.6703176088529658E-2</v>
      </c>
      <c r="K1223" s="5" cm="1">
        <f t="array" ref="K1223">_xlfn.STDEV.S(IF($C:$C=C1223,$I:$I))</f>
        <v>0.34089784338901952</v>
      </c>
      <c r="L1223" s="7">
        <f t="shared" si="231"/>
        <v>5.7502811333962019E-2</v>
      </c>
      <c r="M1223">
        <f t="shared" si="229"/>
        <v>0</v>
      </c>
      <c r="N1223" s="9">
        <f t="shared" si="232"/>
        <v>0.49298245614035097</v>
      </c>
      <c r="O1223">
        <f>COUNTIFS($B$2:B1223,B1223,$C$2:C1223,C1223,$D$2:D1223,"&lt;"&amp;D1223,$F$2:F1223,1)</f>
        <v>2</v>
      </c>
      <c r="P1223">
        <f t="shared" si="230"/>
        <v>0</v>
      </c>
      <c r="Q1223" t="str">
        <f t="shared" si="233"/>
        <v>Monitor</v>
      </c>
      <c r="R1223">
        <v>0</v>
      </c>
      <c r="S1223">
        <f t="shared" si="234"/>
        <v>0</v>
      </c>
      <c r="T1223">
        <f t="shared" si="235"/>
        <v>0</v>
      </c>
      <c r="U1223" t="str">
        <f t="shared" si="236"/>
        <v>Not Improved Enough</v>
      </c>
      <c r="V1223" t="str">
        <f t="shared" si="237"/>
        <v>Far</v>
      </c>
      <c r="W1223" t="str">
        <f t="shared" si="238"/>
        <v>Normal</v>
      </c>
      <c r="X1223" t="str">
        <f t="shared" si="239"/>
        <v>Allowed</v>
      </c>
    </row>
    <row r="1224" spans="1:24" x14ac:dyDescent="0.3">
      <c r="A1224" t="s">
        <v>20</v>
      </c>
      <c r="B1224" t="s">
        <v>33</v>
      </c>
      <c r="C1224" t="s">
        <v>22</v>
      </c>
      <c r="D1224" s="3">
        <v>45688</v>
      </c>
      <c r="E1224" s="6">
        <v>0.85499999999999998</v>
      </c>
      <c r="F1224">
        <v>1</v>
      </c>
      <c r="G1224" t="s">
        <v>13</v>
      </c>
      <c r="H1224" s="6">
        <v>0.56999999999999995</v>
      </c>
      <c r="I1224" s="8">
        <v>-4.7003525264394871E-3</v>
      </c>
      <c r="J1224" s="5">
        <f t="shared" si="228"/>
        <v>-2.6703176088529658E-2</v>
      </c>
      <c r="K1224" s="5" cm="1">
        <f t="array" ref="K1224">_xlfn.STDEV.S(IF($C:$C=C1224,$I:$I))</f>
        <v>0.34089784338901952</v>
      </c>
      <c r="L1224" s="7">
        <f t="shared" si="231"/>
        <v>6.4543745256203905E-2</v>
      </c>
      <c r="M1224">
        <f t="shared" si="229"/>
        <v>0</v>
      </c>
      <c r="N1224" s="9">
        <f t="shared" si="232"/>
        <v>0.50000000000000011</v>
      </c>
      <c r="O1224">
        <f>COUNTIFS($B$2:B1224,B1224,$C$2:C1224,C1224,$D$2:D1224,"&lt;"&amp;D1224,$F$2:F1224,1)</f>
        <v>3</v>
      </c>
      <c r="P1224">
        <f t="shared" si="230"/>
        <v>-1</v>
      </c>
      <c r="Q1224" t="str">
        <f t="shared" si="233"/>
        <v>Monitor</v>
      </c>
      <c r="R1224">
        <v>1</v>
      </c>
      <c r="S1224">
        <f t="shared" si="234"/>
        <v>0</v>
      </c>
      <c r="T1224">
        <f t="shared" si="235"/>
        <v>0</v>
      </c>
      <c r="U1224" t="str">
        <f t="shared" si="236"/>
        <v>Not Improved Enough</v>
      </c>
      <c r="V1224" t="str">
        <f t="shared" si="237"/>
        <v>Far</v>
      </c>
      <c r="W1224" t="str">
        <f t="shared" si="238"/>
        <v>Normal</v>
      </c>
      <c r="X1224" t="str">
        <f t="shared" si="239"/>
        <v>Allowed</v>
      </c>
    </row>
    <row r="1225" spans="1:24" x14ac:dyDescent="0.3">
      <c r="A1225" t="s">
        <v>20</v>
      </c>
      <c r="B1225" t="s">
        <v>33</v>
      </c>
      <c r="C1225" t="s">
        <v>22</v>
      </c>
      <c r="D1225" s="3">
        <v>45716</v>
      </c>
      <c r="E1225" s="6">
        <v>0.86899999999999999</v>
      </c>
      <c r="F1225">
        <v>1</v>
      </c>
      <c r="G1225" t="s">
        <v>13</v>
      </c>
      <c r="H1225" s="6">
        <v>0.56999999999999995</v>
      </c>
      <c r="I1225" s="8">
        <v>-1.6374269005847968E-2</v>
      </c>
      <c r="J1225" s="5">
        <f t="shared" si="228"/>
        <v>-2.6703176088529658E-2</v>
      </c>
      <c r="K1225" s="5" cm="1">
        <f t="array" ref="K1225">_xlfn.STDEV.S(IF($C:$C=C1225,$I:$I))</f>
        <v>0.34089784338901952</v>
      </c>
      <c r="L1225" s="7">
        <f t="shared" si="231"/>
        <v>3.0299127093317332E-2</v>
      </c>
      <c r="M1225">
        <f t="shared" si="229"/>
        <v>0</v>
      </c>
      <c r="N1225" s="9">
        <f t="shared" si="232"/>
        <v>0.52456140350877201</v>
      </c>
      <c r="O1225">
        <f>COUNTIFS($B$2:B1225,B1225,$C$2:C1225,C1225,$D$2:D1225,"&lt;"&amp;D1225,$F$2:F1225,1)</f>
        <v>4</v>
      </c>
      <c r="P1225">
        <f t="shared" si="230"/>
        <v>-1</v>
      </c>
      <c r="Q1225" t="str">
        <f t="shared" si="233"/>
        <v>Monitor</v>
      </c>
      <c r="R1225">
        <v>1</v>
      </c>
      <c r="S1225">
        <f t="shared" si="234"/>
        <v>0</v>
      </c>
      <c r="T1225">
        <f t="shared" si="235"/>
        <v>0</v>
      </c>
      <c r="U1225" t="str">
        <f t="shared" si="236"/>
        <v>Not Improved Enough</v>
      </c>
      <c r="V1225" t="str">
        <f t="shared" si="237"/>
        <v>Far</v>
      </c>
      <c r="W1225" t="str">
        <f t="shared" si="238"/>
        <v>Normal</v>
      </c>
      <c r="X1225" t="str">
        <f t="shared" si="239"/>
        <v>Allowed</v>
      </c>
    </row>
    <row r="1226" spans="1:24" x14ac:dyDescent="0.3">
      <c r="A1226" t="s">
        <v>20</v>
      </c>
      <c r="B1226" t="s">
        <v>33</v>
      </c>
      <c r="C1226" t="s">
        <v>22</v>
      </c>
      <c r="D1226" s="3">
        <v>45747</v>
      </c>
      <c r="E1226" s="6">
        <v>0.82599999999999996</v>
      </c>
      <c r="F1226">
        <v>0</v>
      </c>
      <c r="G1226" t="s">
        <v>13</v>
      </c>
      <c r="H1226" s="6">
        <v>0.56999999999999995</v>
      </c>
      <c r="I1226" s="8">
        <v>4.9482163406214093E-2</v>
      </c>
      <c r="J1226" s="5">
        <f t="shared" si="228"/>
        <v>-2.6703176088529658E-2</v>
      </c>
      <c r="K1226" s="5" cm="1">
        <f t="array" ref="K1226">_xlfn.STDEV.S(IF($C:$C=C1226,$I:$I))</f>
        <v>0.34089784338901952</v>
      </c>
      <c r="L1226" s="7">
        <f t="shared" si="231"/>
        <v>0.22348436920970477</v>
      </c>
      <c r="M1226">
        <f t="shared" si="229"/>
        <v>0</v>
      </c>
      <c r="N1226" s="9">
        <f t="shared" si="232"/>
        <v>0.44912280701754392</v>
      </c>
      <c r="O1226">
        <f>COUNTIFS($B$2:B1226,B1226,$C$2:C1226,C1226,$D$2:D1226,"&lt;"&amp;D1226,$F$2:F1226,1)</f>
        <v>5</v>
      </c>
      <c r="P1226">
        <f t="shared" si="230"/>
        <v>1</v>
      </c>
      <c r="Q1226" t="str">
        <f t="shared" si="233"/>
        <v>Monitor</v>
      </c>
      <c r="R1226">
        <v>1</v>
      </c>
      <c r="S1226">
        <f t="shared" si="234"/>
        <v>0</v>
      </c>
      <c r="T1226">
        <f t="shared" si="235"/>
        <v>0</v>
      </c>
      <c r="U1226" t="str">
        <f t="shared" si="236"/>
        <v>Improved Enough</v>
      </c>
      <c r="V1226" t="str">
        <f t="shared" si="237"/>
        <v>Far</v>
      </c>
      <c r="W1226" t="str">
        <f t="shared" si="238"/>
        <v>Normal</v>
      </c>
      <c r="X1226" t="str">
        <f t="shared" si="239"/>
        <v>Maxed Out</v>
      </c>
    </row>
    <row r="1227" spans="1:24" x14ac:dyDescent="0.3">
      <c r="A1227" t="s">
        <v>20</v>
      </c>
      <c r="B1227" t="s">
        <v>33</v>
      </c>
      <c r="C1227" t="s">
        <v>22</v>
      </c>
      <c r="D1227" s="3">
        <v>45777</v>
      </c>
      <c r="E1227" s="6">
        <v>0.871</v>
      </c>
      <c r="F1227">
        <v>1</v>
      </c>
      <c r="G1227" t="s">
        <v>13</v>
      </c>
      <c r="H1227" s="6">
        <v>0.56999999999999995</v>
      </c>
      <c r="I1227" s="8">
        <v>-5.4479418886198602E-2</v>
      </c>
      <c r="J1227" s="5">
        <f t="shared" si="228"/>
        <v>-2.6703176088529658E-2</v>
      </c>
      <c r="K1227" s="5" cm="1">
        <f t="array" ref="K1227">_xlfn.STDEV.S(IF($C:$C=C1227,$I:$I))</f>
        <v>0.34089784338901952</v>
      </c>
      <c r="L1227" s="7">
        <f t="shared" si="231"/>
        <v>-8.1479667109456491E-2</v>
      </c>
      <c r="M1227">
        <f t="shared" si="229"/>
        <v>0</v>
      </c>
      <c r="N1227" s="9">
        <f t="shared" si="232"/>
        <v>0.52807017543859658</v>
      </c>
      <c r="O1227">
        <f>COUNTIFS($B$2:B1227,B1227,$C$2:C1227,C1227,$D$2:D1227,"&lt;"&amp;D1227,$F$2:F1227,1)</f>
        <v>5</v>
      </c>
      <c r="P1227">
        <f t="shared" si="230"/>
        <v>0</v>
      </c>
      <c r="Q1227" t="str">
        <f t="shared" si="233"/>
        <v>Monitor</v>
      </c>
      <c r="R1227">
        <v>0</v>
      </c>
      <c r="S1227">
        <f t="shared" si="234"/>
        <v>0</v>
      </c>
      <c r="T1227">
        <f t="shared" si="235"/>
        <v>0</v>
      </c>
      <c r="U1227" t="str">
        <f t="shared" si="236"/>
        <v>Not Improved Enough</v>
      </c>
      <c r="V1227" t="str">
        <f t="shared" si="237"/>
        <v>Far</v>
      </c>
      <c r="W1227" t="str">
        <f t="shared" si="238"/>
        <v>Normal</v>
      </c>
      <c r="X1227" t="str">
        <f t="shared" si="239"/>
        <v>Maxed Out</v>
      </c>
    </row>
    <row r="1228" spans="1:24" x14ac:dyDescent="0.3">
      <c r="A1228" t="s">
        <v>20</v>
      </c>
      <c r="B1228" t="s">
        <v>33</v>
      </c>
      <c r="C1228" t="s">
        <v>22</v>
      </c>
      <c r="D1228" s="3">
        <v>45808</v>
      </c>
      <c r="E1228" s="6">
        <v>0.85799999999999998</v>
      </c>
      <c r="F1228">
        <v>1</v>
      </c>
      <c r="G1228" t="s">
        <v>13</v>
      </c>
      <c r="H1228" s="6">
        <v>0.56999999999999995</v>
      </c>
      <c r="I1228" s="8">
        <v>1.492537313432837E-2</v>
      </c>
      <c r="J1228" s="5">
        <f t="shared" si="228"/>
        <v>-2.6703176088529658E-2</v>
      </c>
      <c r="K1228" s="5" cm="1">
        <f t="array" ref="K1228">_xlfn.STDEV.S(IF($C:$C=C1228,$I:$I))</f>
        <v>0.34089784338901952</v>
      </c>
      <c r="L1228" s="7">
        <f t="shared" si="231"/>
        <v>0.12211443994191869</v>
      </c>
      <c r="M1228">
        <f t="shared" si="229"/>
        <v>0</v>
      </c>
      <c r="N1228" s="9">
        <f t="shared" si="232"/>
        <v>0.50526315789473697</v>
      </c>
      <c r="O1228">
        <f>COUNTIFS($B$2:B1228,B1228,$C$2:C1228,C1228,$D$2:D1228,"&lt;"&amp;D1228,$F$2:F1228,1)</f>
        <v>6</v>
      </c>
      <c r="P1228">
        <f t="shared" si="230"/>
        <v>1</v>
      </c>
      <c r="Q1228" t="str">
        <f t="shared" si="233"/>
        <v>Monitor</v>
      </c>
      <c r="R1228">
        <v>1</v>
      </c>
      <c r="S1228">
        <f t="shared" si="234"/>
        <v>0</v>
      </c>
      <c r="T1228">
        <f t="shared" si="235"/>
        <v>0</v>
      </c>
      <c r="U1228" t="str">
        <f t="shared" si="236"/>
        <v>Improved Enough</v>
      </c>
      <c r="V1228" t="str">
        <f t="shared" si="237"/>
        <v>Far</v>
      </c>
      <c r="W1228" t="str">
        <f t="shared" si="238"/>
        <v>Normal</v>
      </c>
      <c r="X1228" t="str">
        <f t="shared" si="239"/>
        <v>Maxed Out</v>
      </c>
    </row>
    <row r="1229" spans="1:24" x14ac:dyDescent="0.3">
      <c r="A1229" t="s">
        <v>20</v>
      </c>
      <c r="B1229" t="s">
        <v>33</v>
      </c>
      <c r="C1229" t="s">
        <v>22</v>
      </c>
      <c r="D1229" s="3">
        <v>45838</v>
      </c>
      <c r="E1229" s="6">
        <v>0.86199999999999999</v>
      </c>
      <c r="F1229">
        <v>1</v>
      </c>
      <c r="G1229" t="s">
        <v>13</v>
      </c>
      <c r="H1229" s="6">
        <v>0.56999999999999995</v>
      </c>
      <c r="I1229" s="8">
        <v>-4.6620046620046663E-3</v>
      </c>
      <c r="J1229" s="5">
        <f t="shared" si="228"/>
        <v>-2.6703176088529658E-2</v>
      </c>
      <c r="K1229" s="5" cm="1">
        <f t="array" ref="K1229">_xlfn.STDEV.S(IF($C:$C=C1229,$I:$I))</f>
        <v>0.34089784338901952</v>
      </c>
      <c r="L1229" s="7">
        <f t="shared" si="231"/>
        <v>6.4656236036590153E-2</v>
      </c>
      <c r="M1229">
        <f t="shared" si="229"/>
        <v>0</v>
      </c>
      <c r="N1229" s="9">
        <f t="shared" si="232"/>
        <v>0.51228070175438611</v>
      </c>
      <c r="O1229">
        <f>COUNTIFS($B$2:B1229,B1229,$C$2:C1229,C1229,$D$2:D1229,"&lt;"&amp;D1229,$F$2:F1229,1)</f>
        <v>7</v>
      </c>
      <c r="P1229">
        <f t="shared" si="230"/>
        <v>-1</v>
      </c>
      <c r="Q1229" t="str">
        <f t="shared" si="233"/>
        <v>Monitor</v>
      </c>
      <c r="R1229">
        <v>1</v>
      </c>
      <c r="S1229">
        <f t="shared" si="234"/>
        <v>0</v>
      </c>
      <c r="T1229">
        <f t="shared" si="235"/>
        <v>0</v>
      </c>
      <c r="U1229" t="str">
        <f t="shared" si="236"/>
        <v>Not Improved Enough</v>
      </c>
      <c r="V1229" t="str">
        <f t="shared" si="237"/>
        <v>Far</v>
      </c>
      <c r="W1229" t="str">
        <f t="shared" si="238"/>
        <v>Normal</v>
      </c>
      <c r="X1229" t="str">
        <f t="shared" si="239"/>
        <v>Maxed Out</v>
      </c>
    </row>
    <row r="1230" spans="1:24" x14ac:dyDescent="0.3">
      <c r="A1230" t="s">
        <v>20</v>
      </c>
      <c r="B1230" t="s">
        <v>33</v>
      </c>
      <c r="C1230" t="s">
        <v>22</v>
      </c>
      <c r="D1230" s="3">
        <v>45869</v>
      </c>
      <c r="E1230" s="6">
        <v>0.71</v>
      </c>
      <c r="F1230">
        <v>1</v>
      </c>
      <c r="G1230" t="s">
        <v>13</v>
      </c>
      <c r="H1230" s="6">
        <v>0.56999999999999995</v>
      </c>
      <c r="I1230" s="8">
        <v>0.1763341067285383</v>
      </c>
      <c r="J1230" s="5">
        <f t="shared" si="228"/>
        <v>-2.6703176088529658E-2</v>
      </c>
      <c r="K1230" s="5" cm="1">
        <f t="array" ref="K1230">_xlfn.STDEV.S(IF($C:$C=C1230,$I:$I))</f>
        <v>0.34089784338901952</v>
      </c>
      <c r="L1230" s="7">
        <f t="shared" si="231"/>
        <v>0.59559567992153473</v>
      </c>
      <c r="M1230">
        <f t="shared" si="229"/>
        <v>-1</v>
      </c>
      <c r="N1230" s="9">
        <f t="shared" si="232"/>
        <v>0.24561403508771934</v>
      </c>
      <c r="O1230">
        <f>COUNTIFS($B$2:B1230,B1230,$C$2:C1230,C1230,$D$2:D1230,"&lt;"&amp;D1230,$F$2:F1230,1)</f>
        <v>8</v>
      </c>
      <c r="P1230">
        <f t="shared" si="230"/>
        <v>1</v>
      </c>
      <c r="Q1230" t="str">
        <f t="shared" si="233"/>
        <v>Monitor</v>
      </c>
      <c r="R1230">
        <v>1</v>
      </c>
      <c r="S1230">
        <f t="shared" si="234"/>
        <v>0</v>
      </c>
      <c r="T1230">
        <f t="shared" si="235"/>
        <v>0</v>
      </c>
      <c r="U1230" t="str">
        <f t="shared" si="236"/>
        <v>Improved Enough</v>
      </c>
      <c r="V1230" t="str">
        <f t="shared" si="237"/>
        <v>Far</v>
      </c>
      <c r="W1230" t="str">
        <f t="shared" si="238"/>
        <v>Normal</v>
      </c>
      <c r="X1230" t="str">
        <f t="shared" si="239"/>
        <v>Maxed Out</v>
      </c>
    </row>
    <row r="1231" spans="1:24" x14ac:dyDescent="0.3">
      <c r="A1231" t="s">
        <v>20</v>
      </c>
      <c r="B1231" t="s">
        <v>33</v>
      </c>
      <c r="C1231" t="s">
        <v>22</v>
      </c>
      <c r="D1231" s="3">
        <v>45900</v>
      </c>
      <c r="E1231" s="6">
        <v>0.75</v>
      </c>
      <c r="F1231">
        <v>1</v>
      </c>
      <c r="G1231" t="s">
        <v>13</v>
      </c>
      <c r="H1231" s="6">
        <v>0.56999999999999995</v>
      </c>
      <c r="I1231" s="8">
        <v>-5.6338028169014127E-2</v>
      </c>
      <c r="J1231" s="5">
        <f t="shared" si="228"/>
        <v>-2.6703176088529658E-2</v>
      </c>
      <c r="K1231" s="5" cm="1">
        <f t="array" ref="K1231">_xlfn.STDEV.S(IF($C:$C=C1231,$I:$I))</f>
        <v>0.34089784338901952</v>
      </c>
      <c r="L1231" s="7">
        <f t="shared" si="231"/>
        <v>-8.6931767552035563E-2</v>
      </c>
      <c r="M1231">
        <f t="shared" si="229"/>
        <v>0</v>
      </c>
      <c r="N1231" s="9">
        <f t="shared" si="232"/>
        <v>0.31578947368421062</v>
      </c>
      <c r="O1231">
        <f>COUNTIFS($B$2:B1231,B1231,$C$2:C1231,C1231,$D$2:D1231,"&lt;"&amp;D1231,$F$2:F1231,1)</f>
        <v>9</v>
      </c>
      <c r="P1231">
        <f t="shared" si="230"/>
        <v>-1</v>
      </c>
      <c r="Q1231" t="str">
        <f t="shared" si="233"/>
        <v>Monitor</v>
      </c>
      <c r="R1231">
        <v>1</v>
      </c>
      <c r="S1231">
        <f t="shared" si="234"/>
        <v>0</v>
      </c>
      <c r="T1231">
        <f t="shared" si="235"/>
        <v>0</v>
      </c>
      <c r="U1231" t="str">
        <f t="shared" si="236"/>
        <v>Not Improved Enough</v>
      </c>
      <c r="V1231" t="str">
        <f t="shared" si="237"/>
        <v>Far</v>
      </c>
      <c r="W1231" t="str">
        <f t="shared" si="238"/>
        <v>Normal</v>
      </c>
      <c r="X1231" t="str">
        <f t="shared" si="239"/>
        <v>Maxed Out</v>
      </c>
    </row>
    <row r="1232" spans="1:24" x14ac:dyDescent="0.3">
      <c r="A1232" t="s">
        <v>20</v>
      </c>
      <c r="B1232" t="s">
        <v>33</v>
      </c>
      <c r="C1232" t="s">
        <v>22</v>
      </c>
      <c r="D1232" s="3">
        <v>45930</v>
      </c>
      <c r="E1232" s="6">
        <v>0.65</v>
      </c>
      <c r="F1232">
        <v>1</v>
      </c>
      <c r="G1232" t="s">
        <v>13</v>
      </c>
      <c r="H1232" s="6">
        <v>0.56999999999999995</v>
      </c>
      <c r="I1232" s="8">
        <v>0.1333333333333333</v>
      </c>
      <c r="J1232" s="5">
        <f t="shared" si="228"/>
        <v>-2.6703176088529658E-2</v>
      </c>
      <c r="K1232" s="5" cm="1">
        <f t="array" ref="K1232">_xlfn.STDEV.S(IF($C:$C=C1232,$I:$I))</f>
        <v>0.34089784338901952</v>
      </c>
      <c r="L1232" s="7">
        <f t="shared" si="231"/>
        <v>0.46945591626766453</v>
      </c>
      <c r="M1232">
        <f t="shared" si="229"/>
        <v>0</v>
      </c>
      <c r="N1232" s="9">
        <f t="shared" si="232"/>
        <v>0.14035087719298259</v>
      </c>
      <c r="O1232">
        <f>COUNTIFS($B$2:B1232,B1232,$C$2:C1232,C1232,$D$2:D1232,"&lt;"&amp;D1232,$F$2:F1232,1)</f>
        <v>10</v>
      </c>
      <c r="P1232">
        <f t="shared" si="230"/>
        <v>1</v>
      </c>
      <c r="Q1232" t="str">
        <f t="shared" si="233"/>
        <v>Monitor</v>
      </c>
      <c r="R1232">
        <v>1</v>
      </c>
      <c r="S1232">
        <f t="shared" si="234"/>
        <v>0</v>
      </c>
      <c r="T1232">
        <f t="shared" si="235"/>
        <v>0</v>
      </c>
      <c r="U1232" t="str">
        <f t="shared" si="236"/>
        <v>Improved Enough</v>
      </c>
      <c r="V1232" t="str">
        <f t="shared" si="237"/>
        <v>Far</v>
      </c>
      <c r="W1232" t="str">
        <f t="shared" si="238"/>
        <v>Normal</v>
      </c>
      <c r="X1232" t="str">
        <f t="shared" si="239"/>
        <v>Maxed Out</v>
      </c>
    </row>
    <row r="1233" spans="1:24" x14ac:dyDescent="0.3">
      <c r="A1233" t="s">
        <v>20</v>
      </c>
      <c r="B1233" t="s">
        <v>33</v>
      </c>
      <c r="C1233" t="s">
        <v>22</v>
      </c>
      <c r="D1233" s="3">
        <v>45961</v>
      </c>
      <c r="E1233" s="6">
        <v>0.65</v>
      </c>
      <c r="F1233">
        <v>1</v>
      </c>
      <c r="G1233" t="s">
        <v>13</v>
      </c>
      <c r="H1233" s="6">
        <v>0.56999999999999995</v>
      </c>
      <c r="I1233" s="8">
        <v>0</v>
      </c>
      <c r="J1233" s="5">
        <f t="shared" si="228"/>
        <v>-2.6703176088529658E-2</v>
      </c>
      <c r="K1233" s="5" cm="1">
        <f t="array" ref="K1233">_xlfn.STDEV.S(IF($C:$C=C1233,$I:$I))</f>
        <v>0.34089784338901952</v>
      </c>
      <c r="L1233" s="7">
        <f t="shared" si="231"/>
        <v>7.8331900909261606E-2</v>
      </c>
      <c r="M1233">
        <f t="shared" si="229"/>
        <v>0</v>
      </c>
      <c r="N1233" s="9">
        <f t="shared" si="232"/>
        <v>0.14035087719298259</v>
      </c>
      <c r="O1233">
        <f>COUNTIFS($B$2:B1233,B1233,$C$2:C1233,C1233,$D$2:D1233,"&lt;"&amp;D1233,$F$2:F1233,1)</f>
        <v>11</v>
      </c>
      <c r="P1233">
        <f t="shared" si="230"/>
        <v>-1</v>
      </c>
      <c r="Q1233" t="str">
        <f t="shared" si="233"/>
        <v>Monitor</v>
      </c>
      <c r="R1233">
        <v>1</v>
      </c>
      <c r="S1233">
        <f t="shared" si="234"/>
        <v>0</v>
      </c>
      <c r="T1233">
        <f t="shared" si="235"/>
        <v>0</v>
      </c>
      <c r="U1233" t="str">
        <f t="shared" si="236"/>
        <v>Not Improved Enough</v>
      </c>
      <c r="V1233" t="str">
        <f t="shared" si="237"/>
        <v>Far</v>
      </c>
      <c r="W1233" t="str">
        <f t="shared" si="238"/>
        <v>Normal</v>
      </c>
      <c r="X1233" t="str">
        <f t="shared" si="239"/>
        <v>Maxed Out</v>
      </c>
    </row>
    <row r="1234" spans="1:24" x14ac:dyDescent="0.3">
      <c r="A1234" t="s">
        <v>23</v>
      </c>
      <c r="B1234" t="s">
        <v>33</v>
      </c>
      <c r="C1234" t="s">
        <v>24</v>
      </c>
      <c r="D1234" s="3">
        <v>45535</v>
      </c>
      <c r="E1234" s="6">
        <v>0.72109999999999996</v>
      </c>
      <c r="F1234">
        <v>1</v>
      </c>
      <c r="G1234" t="s">
        <v>17</v>
      </c>
      <c r="H1234" s="6">
        <v>0.85</v>
      </c>
      <c r="I1234" s="8">
        <v>-1.569751569751579E-2</v>
      </c>
      <c r="J1234" s="5">
        <f t="shared" si="228"/>
        <v>4.5902054585511267E-3</v>
      </c>
      <c r="K1234" s="5" cm="1">
        <f t="array" ref="K1234">_xlfn.STDEV.S(IF($C:$C=C1234,$I:$I))</f>
        <v>7.1528610508022367E-2</v>
      </c>
      <c r="L1234" s="7">
        <f t="shared" si="231"/>
        <v>-0.28363085780607367</v>
      </c>
      <c r="M1234">
        <f t="shared" si="229"/>
        <v>0</v>
      </c>
      <c r="N1234" s="9">
        <f t="shared" si="232"/>
        <v>0.15164705882352944</v>
      </c>
      <c r="O1234">
        <f>COUNTIFS($B$2:B1234,B1234,$C$2:C1234,C1234,$D$2:D1234,"&lt;"&amp;D1234,$F$2:F1234,1)</f>
        <v>0</v>
      </c>
      <c r="P1234">
        <f t="shared" si="230"/>
        <v>-1</v>
      </c>
      <c r="Q1234" t="str">
        <f t="shared" si="233"/>
        <v>Monitor</v>
      </c>
      <c r="R1234">
        <v>1</v>
      </c>
      <c r="S1234">
        <f t="shared" si="234"/>
        <v>0</v>
      </c>
      <c r="T1234">
        <f t="shared" si="235"/>
        <v>0</v>
      </c>
      <c r="U1234" t="str">
        <f t="shared" si="236"/>
        <v>Not Improved Enough</v>
      </c>
      <c r="V1234" t="str">
        <f t="shared" si="237"/>
        <v>Far</v>
      </c>
      <c r="W1234" t="str">
        <f t="shared" si="238"/>
        <v>Normal</v>
      </c>
      <c r="X1234" t="str">
        <f t="shared" si="239"/>
        <v>Allowed</v>
      </c>
    </row>
    <row r="1235" spans="1:24" x14ac:dyDescent="0.3">
      <c r="A1235" t="s">
        <v>23</v>
      </c>
      <c r="B1235" t="s">
        <v>33</v>
      </c>
      <c r="C1235" t="s">
        <v>24</v>
      </c>
      <c r="D1235" s="3">
        <v>45565</v>
      </c>
      <c r="E1235" s="6">
        <v>0.75319999999999998</v>
      </c>
      <c r="F1235">
        <v>1</v>
      </c>
      <c r="G1235" t="s">
        <v>17</v>
      </c>
      <c r="H1235" s="6">
        <v>0.85</v>
      </c>
      <c r="I1235" s="8">
        <v>4.4515323810844568E-2</v>
      </c>
      <c r="J1235" s="5">
        <f t="shared" si="228"/>
        <v>4.5902054585511267E-3</v>
      </c>
      <c r="K1235" s="5" cm="1">
        <f t="array" ref="K1235">_xlfn.STDEV.S(IF($C:$C=C1235,$I:$I))</f>
        <v>7.1528610508022367E-2</v>
      </c>
      <c r="L1235" s="7">
        <f t="shared" si="231"/>
        <v>0.55816991367133573</v>
      </c>
      <c r="M1235">
        <f t="shared" si="229"/>
        <v>-1</v>
      </c>
      <c r="N1235" s="9">
        <f t="shared" si="232"/>
        <v>0.11388235294117648</v>
      </c>
      <c r="O1235">
        <f>COUNTIFS($B$2:B1235,B1235,$C$2:C1235,C1235,$D$2:D1235,"&lt;"&amp;D1235,$F$2:F1235,1)</f>
        <v>1</v>
      </c>
      <c r="P1235">
        <f t="shared" si="230"/>
        <v>1</v>
      </c>
      <c r="Q1235" t="str">
        <f t="shared" si="233"/>
        <v>Monitor</v>
      </c>
      <c r="R1235">
        <v>1</v>
      </c>
      <c r="S1235">
        <f t="shared" si="234"/>
        <v>0</v>
      </c>
      <c r="T1235">
        <f t="shared" si="235"/>
        <v>0</v>
      </c>
      <c r="U1235" t="str">
        <f t="shared" si="236"/>
        <v>Improved Enough</v>
      </c>
      <c r="V1235" t="str">
        <f t="shared" si="237"/>
        <v>Far</v>
      </c>
      <c r="W1235" t="str">
        <f t="shared" si="238"/>
        <v>Normal</v>
      </c>
      <c r="X1235" t="str">
        <f t="shared" si="239"/>
        <v>Allowed</v>
      </c>
    </row>
    <row r="1236" spans="1:24" x14ac:dyDescent="0.3">
      <c r="A1236" t="s">
        <v>23</v>
      </c>
      <c r="B1236" t="s">
        <v>33</v>
      </c>
      <c r="C1236" t="s">
        <v>24</v>
      </c>
      <c r="D1236" s="3">
        <v>45596</v>
      </c>
      <c r="E1236" s="6">
        <v>0.83199999999999996</v>
      </c>
      <c r="F1236">
        <v>0</v>
      </c>
      <c r="G1236" t="s">
        <v>17</v>
      </c>
      <c r="H1236" s="6">
        <v>0.85</v>
      </c>
      <c r="I1236" s="8">
        <v>0.1046202867764206</v>
      </c>
      <c r="J1236" s="5">
        <f t="shared" si="228"/>
        <v>4.5902054585511267E-3</v>
      </c>
      <c r="K1236" s="5" cm="1">
        <f t="array" ref="K1236">_xlfn.STDEV.S(IF($C:$C=C1236,$I:$I))</f>
        <v>7.1528610508022367E-2</v>
      </c>
      <c r="L1236" s="7">
        <f t="shared" si="231"/>
        <v>1.3984625257979881</v>
      </c>
      <c r="M1236">
        <f t="shared" si="229"/>
        <v>-1</v>
      </c>
      <c r="N1236" s="9">
        <f t="shared" si="232"/>
        <v>2.1176470588235314E-2</v>
      </c>
      <c r="O1236">
        <f>COUNTIFS($B$2:B1236,B1236,$C$2:C1236,C1236,$D$2:D1236,"&lt;"&amp;D1236,$F$2:F1236,1)</f>
        <v>2</v>
      </c>
      <c r="P1236">
        <f t="shared" si="230"/>
        <v>1</v>
      </c>
      <c r="Q1236" t="str">
        <f t="shared" si="233"/>
        <v>Monitor</v>
      </c>
      <c r="R1236">
        <v>1</v>
      </c>
      <c r="S1236">
        <f t="shared" si="234"/>
        <v>0</v>
      </c>
      <c r="T1236">
        <f t="shared" si="235"/>
        <v>0</v>
      </c>
      <c r="U1236" t="str">
        <f t="shared" si="236"/>
        <v>Improved Enough</v>
      </c>
      <c r="V1236" t="str">
        <f t="shared" si="237"/>
        <v>Far</v>
      </c>
      <c r="W1236" t="str">
        <f t="shared" si="238"/>
        <v>Normal</v>
      </c>
      <c r="X1236" t="str">
        <f t="shared" si="239"/>
        <v>Allowed</v>
      </c>
    </row>
    <row r="1237" spans="1:24" x14ac:dyDescent="0.3">
      <c r="A1237" t="s">
        <v>23</v>
      </c>
      <c r="B1237" t="s">
        <v>33</v>
      </c>
      <c r="C1237" t="s">
        <v>24</v>
      </c>
      <c r="D1237" s="3">
        <v>45626</v>
      </c>
      <c r="E1237" s="6">
        <v>0.84209999999999996</v>
      </c>
      <c r="F1237">
        <v>0</v>
      </c>
      <c r="G1237" t="s">
        <v>17</v>
      </c>
      <c r="H1237" s="6">
        <v>0.85</v>
      </c>
      <c r="I1237" s="8">
        <v>1.2139423076923081E-2</v>
      </c>
      <c r="J1237" s="5">
        <f t="shared" si="228"/>
        <v>4.5902054585511267E-3</v>
      </c>
      <c r="K1237" s="5" cm="1">
        <f t="array" ref="K1237">_xlfn.STDEV.S(IF($C:$C=C1237,$I:$I))</f>
        <v>7.1528610508022367E-2</v>
      </c>
      <c r="L1237" s="7">
        <f t="shared" si="231"/>
        <v>0.10554123119063334</v>
      </c>
      <c r="M1237">
        <f t="shared" si="229"/>
        <v>0</v>
      </c>
      <c r="N1237" s="9">
        <f t="shared" si="232"/>
        <v>9.294117647058845E-3</v>
      </c>
      <c r="O1237">
        <f>COUNTIFS($B$2:B1237,B1237,$C$2:C1237,C1237,$D$2:D1237,"&lt;"&amp;D1237,$F$2:F1237,1)</f>
        <v>2</v>
      </c>
      <c r="P1237">
        <f t="shared" si="230"/>
        <v>0</v>
      </c>
      <c r="Q1237" t="str">
        <f t="shared" si="233"/>
        <v>Monitor</v>
      </c>
      <c r="R1237">
        <v>0</v>
      </c>
      <c r="S1237">
        <f t="shared" si="234"/>
        <v>0</v>
      </c>
      <c r="T1237">
        <f t="shared" si="235"/>
        <v>0</v>
      </c>
      <c r="U1237" t="str">
        <f t="shared" si="236"/>
        <v>Improved Enough</v>
      </c>
      <c r="V1237" t="str">
        <f t="shared" si="237"/>
        <v>Close</v>
      </c>
      <c r="W1237" t="str">
        <f t="shared" si="238"/>
        <v>Normal</v>
      </c>
      <c r="X1237" t="str">
        <f t="shared" si="239"/>
        <v>Allowed</v>
      </c>
    </row>
    <row r="1238" spans="1:24" x14ac:dyDescent="0.3">
      <c r="A1238" t="s">
        <v>23</v>
      </c>
      <c r="B1238" t="s">
        <v>33</v>
      </c>
      <c r="C1238" t="s">
        <v>24</v>
      </c>
      <c r="D1238" s="3">
        <v>45657</v>
      </c>
      <c r="E1238" s="6">
        <v>0.86270000000000002</v>
      </c>
      <c r="F1238">
        <v>1</v>
      </c>
      <c r="G1238" t="s">
        <v>17</v>
      </c>
      <c r="H1238" s="6">
        <v>0.85</v>
      </c>
      <c r="I1238" s="8">
        <v>2.4462652891580651E-2</v>
      </c>
      <c r="J1238" s="5">
        <f t="shared" si="228"/>
        <v>4.5902054585511267E-3</v>
      </c>
      <c r="K1238" s="5" cm="1">
        <f t="array" ref="K1238">_xlfn.STDEV.S(IF($C:$C=C1238,$I:$I))</f>
        <v>7.1528610508022367E-2</v>
      </c>
      <c r="L1238" s="7">
        <f t="shared" si="231"/>
        <v>0.27782515684127135</v>
      </c>
      <c r="M1238">
        <f t="shared" si="229"/>
        <v>0</v>
      </c>
      <c r="N1238" s="9">
        <f t="shared" si="232"/>
        <v>-1.4941176470588288E-2</v>
      </c>
      <c r="O1238">
        <f>COUNTIFS($B$2:B1238,B1238,$C$2:C1238,C1238,$D$2:D1238,"&lt;"&amp;D1238,$F$2:F1238,1)</f>
        <v>2</v>
      </c>
      <c r="P1238">
        <f t="shared" si="230"/>
        <v>0</v>
      </c>
      <c r="Q1238" t="str">
        <f t="shared" si="233"/>
        <v>Monitor</v>
      </c>
      <c r="R1238">
        <v>0</v>
      </c>
      <c r="S1238">
        <f t="shared" si="234"/>
        <v>0</v>
      </c>
      <c r="T1238">
        <f t="shared" si="235"/>
        <v>0</v>
      </c>
      <c r="U1238" t="str">
        <f t="shared" si="236"/>
        <v>Improved Enough</v>
      </c>
      <c r="V1238" t="str">
        <f t="shared" si="237"/>
        <v>Close</v>
      </c>
      <c r="W1238" t="str">
        <f t="shared" si="238"/>
        <v>Normal</v>
      </c>
      <c r="X1238" t="str">
        <f t="shared" si="239"/>
        <v>Allowed</v>
      </c>
    </row>
    <row r="1239" spans="1:24" x14ac:dyDescent="0.3">
      <c r="A1239" t="s">
        <v>23</v>
      </c>
      <c r="B1239" t="s">
        <v>33</v>
      </c>
      <c r="C1239" t="s">
        <v>24</v>
      </c>
      <c r="D1239" s="3">
        <v>45688</v>
      </c>
      <c r="E1239" s="6">
        <v>0.82530000000000003</v>
      </c>
      <c r="F1239">
        <v>1</v>
      </c>
      <c r="G1239" t="s">
        <v>17</v>
      </c>
      <c r="H1239" s="6">
        <v>0.85</v>
      </c>
      <c r="I1239" s="8">
        <v>-4.3352266141184641E-2</v>
      </c>
      <c r="J1239" s="5">
        <f t="shared" si="228"/>
        <v>4.5902054585511267E-3</v>
      </c>
      <c r="K1239" s="5" cm="1">
        <f t="array" ref="K1239">_xlfn.STDEV.S(IF($C:$C=C1239,$I:$I))</f>
        <v>7.1528610508022367E-2</v>
      </c>
      <c r="L1239" s="7">
        <f t="shared" si="231"/>
        <v>-0.67025587746260962</v>
      </c>
      <c r="M1239">
        <f t="shared" si="229"/>
        <v>1</v>
      </c>
      <c r="N1239" s="9">
        <f t="shared" si="232"/>
        <v>2.9058823529411699E-2</v>
      </c>
      <c r="O1239">
        <f>COUNTIFS($B$2:B1239,B1239,$C$2:C1239,C1239,$D$2:D1239,"&lt;"&amp;D1239,$F$2:F1239,1)</f>
        <v>3</v>
      </c>
      <c r="P1239">
        <f t="shared" si="230"/>
        <v>-1</v>
      </c>
      <c r="Q1239" t="str">
        <f t="shared" si="233"/>
        <v>Intervene</v>
      </c>
      <c r="R1239">
        <v>1</v>
      </c>
      <c r="S1239">
        <f t="shared" si="234"/>
        <v>1</v>
      </c>
      <c r="T1239">
        <f t="shared" si="235"/>
        <v>1</v>
      </c>
      <c r="U1239" t="str">
        <f t="shared" si="236"/>
        <v>Not Improved Enough</v>
      </c>
      <c r="V1239" t="str">
        <f t="shared" si="237"/>
        <v>Far</v>
      </c>
      <c r="W1239" t="str">
        <f t="shared" si="238"/>
        <v>Abnormal</v>
      </c>
      <c r="X1239" t="str">
        <f t="shared" si="239"/>
        <v>Allowed</v>
      </c>
    </row>
    <row r="1240" spans="1:24" x14ac:dyDescent="0.3">
      <c r="A1240" t="s">
        <v>23</v>
      </c>
      <c r="B1240" t="s">
        <v>33</v>
      </c>
      <c r="C1240" t="s">
        <v>24</v>
      </c>
      <c r="D1240" s="3">
        <v>45716</v>
      </c>
      <c r="E1240" s="6">
        <v>0.72340000000000004</v>
      </c>
      <c r="F1240">
        <v>1</v>
      </c>
      <c r="G1240" t="s">
        <v>17</v>
      </c>
      <c r="H1240" s="6">
        <v>0.85</v>
      </c>
      <c r="I1240" s="8">
        <v>-0.12347025324124559</v>
      </c>
      <c r="J1240" s="5">
        <f t="shared" si="228"/>
        <v>4.5902054585511267E-3</v>
      </c>
      <c r="K1240" s="5" cm="1">
        <f t="array" ref="K1240">_xlfn.STDEV.S(IF($C:$C=C1240,$I:$I))</f>
        <v>7.1528610508022367E-2</v>
      </c>
      <c r="L1240" s="7">
        <f t="shared" si="231"/>
        <v>-1.7903389677258439</v>
      </c>
      <c r="M1240">
        <f t="shared" si="229"/>
        <v>1</v>
      </c>
      <c r="N1240" s="9">
        <f t="shared" si="232"/>
        <v>0.14894117647058816</v>
      </c>
      <c r="O1240">
        <f>COUNTIFS($B$2:B1240,B1240,$C$2:C1240,C1240,$D$2:D1240,"&lt;"&amp;D1240,$F$2:F1240,1)</f>
        <v>4</v>
      </c>
      <c r="P1240">
        <f t="shared" si="230"/>
        <v>-1</v>
      </c>
      <c r="Q1240" t="str">
        <f t="shared" si="233"/>
        <v>Intervene</v>
      </c>
      <c r="R1240">
        <v>1</v>
      </c>
      <c r="S1240">
        <f t="shared" si="234"/>
        <v>1</v>
      </c>
      <c r="T1240">
        <f t="shared" si="235"/>
        <v>1</v>
      </c>
      <c r="U1240" t="str">
        <f t="shared" si="236"/>
        <v>Not Improved Enough</v>
      </c>
      <c r="V1240" t="str">
        <f t="shared" si="237"/>
        <v>Far</v>
      </c>
      <c r="W1240" t="str">
        <f t="shared" si="238"/>
        <v>Abnormal</v>
      </c>
      <c r="X1240" t="str">
        <f t="shared" si="239"/>
        <v>Allowed</v>
      </c>
    </row>
    <row r="1241" spans="1:24" x14ac:dyDescent="0.3">
      <c r="A1241" t="s">
        <v>23</v>
      </c>
      <c r="B1241" t="s">
        <v>33</v>
      </c>
      <c r="C1241" t="s">
        <v>24</v>
      </c>
      <c r="D1241" s="3">
        <v>45747</v>
      </c>
      <c r="E1241" s="6">
        <v>0.69440000000000002</v>
      </c>
      <c r="F1241">
        <v>1</v>
      </c>
      <c r="G1241" t="s">
        <v>17</v>
      </c>
      <c r="H1241" s="6">
        <v>0.85</v>
      </c>
      <c r="I1241" s="8">
        <v>-4.0088471108653607E-2</v>
      </c>
      <c r="J1241" s="5">
        <f t="shared" si="228"/>
        <v>4.5902054585511267E-3</v>
      </c>
      <c r="K1241" s="5" cm="1">
        <f t="array" ref="K1241">_xlfn.STDEV.S(IF($C:$C=C1241,$I:$I))</f>
        <v>7.1528610508022367E-2</v>
      </c>
      <c r="L1241" s="7">
        <f t="shared" si="231"/>
        <v>-0.62462665288589314</v>
      </c>
      <c r="M1241">
        <f t="shared" si="229"/>
        <v>1</v>
      </c>
      <c r="N1241" s="9">
        <f t="shared" si="232"/>
        <v>0.18305882352941172</v>
      </c>
      <c r="O1241">
        <f>COUNTIFS($B$2:B1241,B1241,$C$2:C1241,C1241,$D$2:D1241,"&lt;"&amp;D1241,$F$2:F1241,1)</f>
        <v>5</v>
      </c>
      <c r="P1241">
        <f t="shared" si="230"/>
        <v>-1</v>
      </c>
      <c r="Q1241" t="str">
        <f t="shared" si="233"/>
        <v>Escalate / Bigger Fix</v>
      </c>
      <c r="R1241">
        <v>1</v>
      </c>
      <c r="S1241">
        <f t="shared" si="234"/>
        <v>-1</v>
      </c>
      <c r="T1241">
        <f t="shared" si="235"/>
        <v>0</v>
      </c>
      <c r="U1241" t="str">
        <f t="shared" si="236"/>
        <v>Not Improved Enough</v>
      </c>
      <c r="V1241" t="str">
        <f t="shared" si="237"/>
        <v>Far</v>
      </c>
      <c r="W1241" t="str">
        <f t="shared" si="238"/>
        <v>Abnormal</v>
      </c>
      <c r="X1241" t="str">
        <f t="shared" si="239"/>
        <v>Maxed Out</v>
      </c>
    </row>
    <row r="1242" spans="1:24" x14ac:dyDescent="0.3">
      <c r="A1242" t="s">
        <v>23</v>
      </c>
      <c r="B1242" t="s">
        <v>33</v>
      </c>
      <c r="C1242" t="s">
        <v>24</v>
      </c>
      <c r="D1242" s="3">
        <v>45777</v>
      </c>
      <c r="E1242" s="6">
        <v>0.79059999999999997</v>
      </c>
      <c r="F1242">
        <v>1</v>
      </c>
      <c r="G1242" t="s">
        <v>17</v>
      </c>
      <c r="H1242" s="6">
        <v>0.85</v>
      </c>
      <c r="I1242" s="8">
        <v>0.1385368663594469</v>
      </c>
      <c r="J1242" s="5">
        <f t="shared" si="228"/>
        <v>4.5902054585511267E-3</v>
      </c>
      <c r="K1242" s="5" cm="1">
        <f t="array" ref="K1242">_xlfn.STDEV.S(IF($C:$C=C1242,$I:$I))</f>
        <v>7.1528610508022367E-2</v>
      </c>
      <c r="L1242" s="7">
        <f t="shared" si="231"/>
        <v>1.8726305453098777</v>
      </c>
      <c r="M1242">
        <f t="shared" si="229"/>
        <v>-1</v>
      </c>
      <c r="N1242" s="9">
        <f t="shared" si="232"/>
        <v>6.9882352941176479E-2</v>
      </c>
      <c r="O1242">
        <f>COUNTIFS($B$2:B1242,B1242,$C$2:C1242,C1242,$D$2:D1242,"&lt;"&amp;D1242,$F$2:F1242,1)</f>
        <v>6</v>
      </c>
      <c r="P1242">
        <f t="shared" si="230"/>
        <v>1</v>
      </c>
      <c r="Q1242" t="str">
        <f t="shared" si="233"/>
        <v>Monitor</v>
      </c>
      <c r="R1242">
        <v>1</v>
      </c>
      <c r="S1242">
        <f t="shared" si="234"/>
        <v>0</v>
      </c>
      <c r="T1242">
        <f t="shared" si="235"/>
        <v>0</v>
      </c>
      <c r="U1242" t="str">
        <f t="shared" si="236"/>
        <v>Improved Enough</v>
      </c>
      <c r="V1242" t="str">
        <f t="shared" si="237"/>
        <v>Far</v>
      </c>
      <c r="W1242" t="str">
        <f t="shared" si="238"/>
        <v>Normal</v>
      </c>
      <c r="X1242" t="str">
        <f t="shared" si="239"/>
        <v>Maxed Out</v>
      </c>
    </row>
    <row r="1243" spans="1:24" x14ac:dyDescent="0.3">
      <c r="A1243" t="s">
        <v>23</v>
      </c>
      <c r="B1243" t="s">
        <v>33</v>
      </c>
      <c r="C1243" t="s">
        <v>24</v>
      </c>
      <c r="D1243" s="3">
        <v>45808</v>
      </c>
      <c r="E1243" s="6">
        <v>0.79749999999999999</v>
      </c>
      <c r="F1243">
        <v>1</v>
      </c>
      <c r="G1243" t="s">
        <v>17</v>
      </c>
      <c r="H1243" s="6">
        <v>0.85</v>
      </c>
      <c r="I1243" s="8">
        <v>8.727548697192028E-3</v>
      </c>
      <c r="J1243" s="5">
        <f t="shared" si="228"/>
        <v>4.5902054585511267E-3</v>
      </c>
      <c r="K1243" s="5" cm="1">
        <f t="array" ref="K1243">_xlfn.STDEV.S(IF($C:$C=C1243,$I:$I))</f>
        <v>7.1528610508022367E-2</v>
      </c>
      <c r="L1243" s="7">
        <f t="shared" si="231"/>
        <v>5.7841795181759796E-2</v>
      </c>
      <c r="M1243">
        <f t="shared" si="229"/>
        <v>0</v>
      </c>
      <c r="N1243" s="9">
        <f t="shared" si="232"/>
        <v>6.176470588235293E-2</v>
      </c>
      <c r="O1243">
        <f>COUNTIFS($B$2:B1243,B1243,$C$2:C1243,C1243,$D$2:D1243,"&lt;"&amp;D1243,$F$2:F1243,1)</f>
        <v>7</v>
      </c>
      <c r="P1243">
        <f t="shared" si="230"/>
        <v>1</v>
      </c>
      <c r="Q1243" t="str">
        <f t="shared" si="233"/>
        <v>Monitor</v>
      </c>
      <c r="R1243">
        <v>1</v>
      </c>
      <c r="S1243">
        <f t="shared" si="234"/>
        <v>0</v>
      </c>
      <c r="T1243">
        <f t="shared" si="235"/>
        <v>0</v>
      </c>
      <c r="U1243" t="str">
        <f t="shared" si="236"/>
        <v>Not Improved Enough</v>
      </c>
      <c r="V1243" t="str">
        <f t="shared" si="237"/>
        <v>Far</v>
      </c>
      <c r="W1243" t="str">
        <f t="shared" si="238"/>
        <v>Normal</v>
      </c>
      <c r="X1243" t="str">
        <f t="shared" si="239"/>
        <v>Maxed Out</v>
      </c>
    </row>
    <row r="1244" spans="1:24" x14ac:dyDescent="0.3">
      <c r="A1244" t="s">
        <v>23</v>
      </c>
      <c r="B1244" t="s">
        <v>33</v>
      </c>
      <c r="C1244" t="s">
        <v>24</v>
      </c>
      <c r="D1244" s="3">
        <v>45838</v>
      </c>
      <c r="E1244" s="6">
        <v>0.7974</v>
      </c>
      <c r="F1244">
        <v>1</v>
      </c>
      <c r="G1244" t="s">
        <v>17</v>
      </c>
      <c r="H1244" s="6">
        <v>0.85</v>
      </c>
      <c r="I1244" s="8">
        <v>-1.2539184952976669E-4</v>
      </c>
      <c r="J1244" s="5">
        <f t="shared" si="228"/>
        <v>4.5902054585511267E-3</v>
      </c>
      <c r="K1244" s="5" cm="1">
        <f t="array" ref="K1244">_xlfn.STDEV.S(IF($C:$C=C1244,$I:$I))</f>
        <v>7.1528610508022367E-2</v>
      </c>
      <c r="L1244" s="7">
        <f t="shared" si="231"/>
        <v>-6.5926029802466396E-2</v>
      </c>
      <c r="M1244">
        <f t="shared" si="229"/>
        <v>0</v>
      </c>
      <c r="N1244" s="9">
        <f t="shared" si="232"/>
        <v>6.1882352941176451E-2</v>
      </c>
      <c r="O1244">
        <f>COUNTIFS($B$2:B1244,B1244,$C$2:C1244,C1244,$D$2:D1244,"&lt;"&amp;D1244,$F$2:F1244,1)</f>
        <v>8</v>
      </c>
      <c r="P1244">
        <f t="shared" si="230"/>
        <v>-1</v>
      </c>
      <c r="Q1244" t="str">
        <f t="shared" si="233"/>
        <v>Monitor</v>
      </c>
      <c r="R1244">
        <v>1</v>
      </c>
      <c r="S1244">
        <f t="shared" si="234"/>
        <v>0</v>
      </c>
      <c r="T1244">
        <f t="shared" si="235"/>
        <v>0</v>
      </c>
      <c r="U1244" t="str">
        <f t="shared" si="236"/>
        <v>Not Improved Enough</v>
      </c>
      <c r="V1244" t="str">
        <f t="shared" si="237"/>
        <v>Far</v>
      </c>
      <c r="W1244" t="str">
        <f t="shared" si="238"/>
        <v>Normal</v>
      </c>
      <c r="X1244" t="str">
        <f t="shared" si="239"/>
        <v>Maxed Out</v>
      </c>
    </row>
    <row r="1245" spans="1:24" x14ac:dyDescent="0.3">
      <c r="A1245" t="s">
        <v>23</v>
      </c>
      <c r="B1245" t="s">
        <v>33</v>
      </c>
      <c r="C1245" t="s">
        <v>24</v>
      </c>
      <c r="D1245" s="3">
        <v>45869</v>
      </c>
      <c r="E1245" s="6">
        <v>0.745</v>
      </c>
      <c r="F1245">
        <v>1</v>
      </c>
      <c r="G1245" t="s">
        <v>17</v>
      </c>
      <c r="H1245" s="6">
        <v>0.85</v>
      </c>
      <c r="I1245" s="8">
        <v>-6.5713569099573613E-2</v>
      </c>
      <c r="J1245" s="5">
        <f t="shared" si="228"/>
        <v>4.5902054585511267E-3</v>
      </c>
      <c r="K1245" s="5" cm="1">
        <f t="array" ref="K1245">_xlfn.STDEV.S(IF($C:$C=C1245,$I:$I))</f>
        <v>7.1528610508022367E-2</v>
      </c>
      <c r="L1245" s="7">
        <f t="shared" si="231"/>
        <v>-0.98287627927904098</v>
      </c>
      <c r="M1245">
        <f t="shared" si="229"/>
        <v>1</v>
      </c>
      <c r="N1245" s="9">
        <f t="shared" si="232"/>
        <v>0.12352941176470586</v>
      </c>
      <c r="O1245">
        <f>COUNTIFS($B$2:B1245,B1245,$C$2:C1245,C1245,$D$2:D1245,"&lt;"&amp;D1245,$F$2:F1245,1)</f>
        <v>9</v>
      </c>
      <c r="P1245">
        <f t="shared" si="230"/>
        <v>-1</v>
      </c>
      <c r="Q1245" t="str">
        <f t="shared" si="233"/>
        <v>Escalate / Bigger Fix</v>
      </c>
      <c r="R1245">
        <v>1</v>
      </c>
      <c r="S1245">
        <f t="shared" si="234"/>
        <v>-1</v>
      </c>
      <c r="T1245">
        <f t="shared" si="235"/>
        <v>0</v>
      </c>
      <c r="U1245" t="str">
        <f t="shared" si="236"/>
        <v>Not Improved Enough</v>
      </c>
      <c r="V1245" t="str">
        <f t="shared" si="237"/>
        <v>Far</v>
      </c>
      <c r="W1245" t="str">
        <f t="shared" si="238"/>
        <v>Abnormal</v>
      </c>
      <c r="X1245" t="str">
        <f t="shared" si="239"/>
        <v>Maxed Out</v>
      </c>
    </row>
    <row r="1246" spans="1:24" x14ac:dyDescent="0.3">
      <c r="A1246" t="s">
        <v>23</v>
      </c>
      <c r="B1246" t="s">
        <v>33</v>
      </c>
      <c r="C1246" t="s">
        <v>24</v>
      </c>
      <c r="D1246" s="3">
        <v>45900</v>
      </c>
      <c r="E1246" s="6">
        <v>0.68100000000000005</v>
      </c>
      <c r="F1246">
        <v>1</v>
      </c>
      <c r="G1246" t="s">
        <v>17</v>
      </c>
      <c r="H1246" s="6">
        <v>0.85</v>
      </c>
      <c r="I1246" s="8">
        <v>-8.5906040268456302E-2</v>
      </c>
      <c r="J1246" s="5">
        <f t="shared" si="228"/>
        <v>4.5902054585511267E-3</v>
      </c>
      <c r="K1246" s="5" cm="1">
        <f t="array" ref="K1246">_xlfn.STDEV.S(IF($C:$C=C1246,$I:$I))</f>
        <v>7.1528610508022367E-2</v>
      </c>
      <c r="L1246" s="7">
        <f t="shared" si="231"/>
        <v>-1.2651755022818139</v>
      </c>
      <c r="M1246">
        <f t="shared" si="229"/>
        <v>1</v>
      </c>
      <c r="N1246" s="9">
        <f t="shared" si="232"/>
        <v>0.19882352941176462</v>
      </c>
      <c r="O1246">
        <f>COUNTIFS($B$2:B1246,B1246,$C$2:C1246,C1246,$D$2:D1246,"&lt;"&amp;D1246,$F$2:F1246,1)</f>
        <v>10</v>
      </c>
      <c r="P1246">
        <f t="shared" si="230"/>
        <v>-1</v>
      </c>
      <c r="Q1246" t="str">
        <f t="shared" si="233"/>
        <v>Escalate / Bigger Fix</v>
      </c>
      <c r="R1246">
        <v>1</v>
      </c>
      <c r="S1246">
        <f t="shared" si="234"/>
        <v>-1</v>
      </c>
      <c r="T1246">
        <f t="shared" si="235"/>
        <v>0</v>
      </c>
      <c r="U1246" t="str">
        <f t="shared" si="236"/>
        <v>Not Improved Enough</v>
      </c>
      <c r="V1246" t="str">
        <f t="shared" si="237"/>
        <v>Far</v>
      </c>
      <c r="W1246" t="str">
        <f t="shared" si="238"/>
        <v>Abnormal</v>
      </c>
      <c r="X1246" t="str">
        <f t="shared" si="239"/>
        <v>Maxed Out</v>
      </c>
    </row>
    <row r="1247" spans="1:24" x14ac:dyDescent="0.3">
      <c r="A1247" t="s">
        <v>23</v>
      </c>
      <c r="B1247" t="s">
        <v>33</v>
      </c>
      <c r="C1247" t="s">
        <v>24</v>
      </c>
      <c r="D1247" s="3">
        <v>45930</v>
      </c>
      <c r="E1247" s="6">
        <v>0.73099999999999998</v>
      </c>
      <c r="F1247">
        <v>1</v>
      </c>
      <c r="G1247" t="s">
        <v>17</v>
      </c>
      <c r="H1247" s="6">
        <v>0.85</v>
      </c>
      <c r="I1247" s="8">
        <v>7.3421439060205471E-2</v>
      </c>
      <c r="J1247" s="5">
        <f t="shared" si="228"/>
        <v>4.5902054585511267E-3</v>
      </c>
      <c r="K1247" s="5" cm="1">
        <f t="array" ref="K1247">_xlfn.STDEV.S(IF($C:$C=C1247,$I:$I))</f>
        <v>7.1528610508022367E-2</v>
      </c>
      <c r="L1247" s="7">
        <f t="shared" si="231"/>
        <v>0.96228953858868127</v>
      </c>
      <c r="M1247">
        <f t="shared" si="229"/>
        <v>-1</v>
      </c>
      <c r="N1247" s="9">
        <f t="shared" si="232"/>
        <v>0.13999999999999999</v>
      </c>
      <c r="O1247">
        <f>COUNTIFS($B$2:B1247,B1247,$C$2:C1247,C1247,$D$2:D1247,"&lt;"&amp;D1247,$F$2:F1247,1)</f>
        <v>11</v>
      </c>
      <c r="P1247">
        <f t="shared" si="230"/>
        <v>1</v>
      </c>
      <c r="Q1247" t="str">
        <f t="shared" si="233"/>
        <v>Monitor</v>
      </c>
      <c r="R1247">
        <v>1</v>
      </c>
      <c r="S1247">
        <f t="shared" si="234"/>
        <v>0</v>
      </c>
      <c r="T1247">
        <f t="shared" si="235"/>
        <v>0</v>
      </c>
      <c r="U1247" t="str">
        <f t="shared" si="236"/>
        <v>Improved Enough</v>
      </c>
      <c r="V1247" t="str">
        <f t="shared" si="237"/>
        <v>Far</v>
      </c>
      <c r="W1247" t="str">
        <f t="shared" si="238"/>
        <v>Normal</v>
      </c>
      <c r="X1247" t="str">
        <f t="shared" si="239"/>
        <v>Maxed Out</v>
      </c>
    </row>
    <row r="1248" spans="1:24" x14ac:dyDescent="0.3">
      <c r="A1248" t="s">
        <v>23</v>
      </c>
      <c r="B1248" t="s">
        <v>33</v>
      </c>
      <c r="C1248" t="s">
        <v>24</v>
      </c>
      <c r="D1248" s="3">
        <v>45961</v>
      </c>
      <c r="E1248" s="6">
        <v>0.74099999999999999</v>
      </c>
      <c r="F1248">
        <v>1</v>
      </c>
      <c r="G1248" t="s">
        <v>17</v>
      </c>
      <c r="H1248" s="6">
        <v>0.85</v>
      </c>
      <c r="I1248" s="8">
        <v>1.367989056087552E-2</v>
      </c>
      <c r="J1248" s="5">
        <f t="shared" si="228"/>
        <v>4.5902054585511267E-3</v>
      </c>
      <c r="K1248" s="5" cm="1">
        <f t="array" ref="K1248">_xlfn.STDEV.S(IF($C:$C=C1248,$I:$I))</f>
        <v>7.1528610508022367E-2</v>
      </c>
      <c r="L1248" s="7">
        <f t="shared" si="231"/>
        <v>0.127077613248267</v>
      </c>
      <c r="M1248">
        <f t="shared" si="229"/>
        <v>0</v>
      </c>
      <c r="N1248" s="9">
        <f t="shared" si="232"/>
        <v>0.12823529411764706</v>
      </c>
      <c r="O1248">
        <f>COUNTIFS($B$2:B1248,B1248,$C$2:C1248,C1248,$D$2:D1248,"&lt;"&amp;D1248,$F$2:F1248,1)</f>
        <v>12</v>
      </c>
      <c r="P1248">
        <f t="shared" si="230"/>
        <v>1</v>
      </c>
      <c r="Q1248" t="str">
        <f t="shared" si="233"/>
        <v>Monitor</v>
      </c>
      <c r="R1248">
        <v>1</v>
      </c>
      <c r="S1248">
        <f t="shared" si="234"/>
        <v>0</v>
      </c>
      <c r="T1248">
        <f t="shared" si="235"/>
        <v>0</v>
      </c>
      <c r="U1248" t="str">
        <f t="shared" si="236"/>
        <v>Improved Enough</v>
      </c>
      <c r="V1248" t="str">
        <f t="shared" si="237"/>
        <v>Far</v>
      </c>
      <c r="W1248" t="str">
        <f t="shared" si="238"/>
        <v>Normal</v>
      </c>
      <c r="X1248" t="str">
        <f t="shared" si="239"/>
        <v>Maxed Out</v>
      </c>
    </row>
    <row r="1249" spans="1:24" x14ac:dyDescent="0.3">
      <c r="A1249" t="s">
        <v>23</v>
      </c>
      <c r="B1249" t="s">
        <v>33</v>
      </c>
      <c r="C1249" t="s">
        <v>24</v>
      </c>
      <c r="D1249" s="3">
        <v>45991</v>
      </c>
      <c r="E1249" s="6">
        <v>0.79500000000000004</v>
      </c>
      <c r="F1249">
        <v>1</v>
      </c>
      <c r="G1249" t="s">
        <v>17</v>
      </c>
      <c r="H1249" s="6">
        <v>0.85</v>
      </c>
      <c r="I1249" s="8">
        <v>7.2874493927125569E-2</v>
      </c>
      <c r="J1249" s="5">
        <f t="shared" si="228"/>
        <v>4.5902054585511267E-3</v>
      </c>
      <c r="K1249" s="5" cm="1">
        <f t="array" ref="K1249">_xlfn.STDEV.S(IF($C:$C=C1249,$I:$I))</f>
        <v>7.1528610508022367E-2</v>
      </c>
      <c r="L1249" s="7">
        <f t="shared" si="231"/>
        <v>0.95464301604063662</v>
      </c>
      <c r="M1249">
        <f t="shared" si="229"/>
        <v>-1</v>
      </c>
      <c r="N1249" s="9">
        <f t="shared" si="232"/>
        <v>6.4705882352941099E-2</v>
      </c>
      <c r="O1249">
        <f>COUNTIFS($B$2:B1249,B1249,$C$2:C1249,C1249,$D$2:D1249,"&lt;"&amp;D1249,$F$2:F1249,1)</f>
        <v>13</v>
      </c>
      <c r="P1249">
        <f t="shared" si="230"/>
        <v>1</v>
      </c>
      <c r="Q1249" t="str">
        <f t="shared" si="233"/>
        <v>Monitor</v>
      </c>
      <c r="R1249">
        <v>1</v>
      </c>
      <c r="S1249">
        <f t="shared" si="234"/>
        <v>0</v>
      </c>
      <c r="T1249">
        <f t="shared" si="235"/>
        <v>0</v>
      </c>
      <c r="U1249" t="str">
        <f t="shared" si="236"/>
        <v>Improved Enough</v>
      </c>
      <c r="V1249" t="str">
        <f t="shared" si="237"/>
        <v>Far</v>
      </c>
      <c r="W1249" t="str">
        <f t="shared" si="238"/>
        <v>Normal</v>
      </c>
      <c r="X1249" t="str">
        <f t="shared" si="239"/>
        <v>Maxed Out</v>
      </c>
    </row>
    <row r="1250" spans="1:24" x14ac:dyDescent="0.3">
      <c r="A1250" t="s">
        <v>23</v>
      </c>
      <c r="B1250" t="s">
        <v>33</v>
      </c>
      <c r="C1250" t="s">
        <v>25</v>
      </c>
      <c r="D1250" s="3">
        <v>45535</v>
      </c>
      <c r="E1250" s="6">
        <v>0.64959999999999996</v>
      </c>
      <c r="F1250">
        <v>0</v>
      </c>
      <c r="G1250" t="s">
        <v>17</v>
      </c>
      <c r="H1250" s="6">
        <v>0.65</v>
      </c>
      <c r="I1250" s="8">
        <v>-6.8807339449541344E-2</v>
      </c>
      <c r="J1250" s="5">
        <f t="shared" si="228"/>
        <v>1.2057533289701232E-2</v>
      </c>
      <c r="K1250" s="5" cm="1">
        <f t="array" ref="K1250">_xlfn.STDEV.S(IF($C:$C=C1250,$I:$I))</f>
        <v>0.17981498891186962</v>
      </c>
      <c r="L1250" s="7">
        <f t="shared" si="231"/>
        <v>-0.44971152420934063</v>
      </c>
      <c r="M1250">
        <f t="shared" si="229"/>
        <v>0</v>
      </c>
      <c r="N1250" s="9">
        <f t="shared" si="232"/>
        <v>6.153846153847184E-4</v>
      </c>
      <c r="O1250">
        <f>COUNTIFS($B$2:B1250,B1250,$C$2:C1250,C1250,$D$2:D1250,"&lt;"&amp;D1250,$F$2:F1250,1)</f>
        <v>0</v>
      </c>
      <c r="P1250">
        <f t="shared" si="230"/>
        <v>0</v>
      </c>
      <c r="Q1250" t="str">
        <f t="shared" si="233"/>
        <v>Monitor</v>
      </c>
      <c r="R1250">
        <v>0</v>
      </c>
      <c r="S1250">
        <f t="shared" si="234"/>
        <v>0</v>
      </c>
      <c r="T1250">
        <f t="shared" si="235"/>
        <v>0</v>
      </c>
      <c r="U1250" t="str">
        <f t="shared" si="236"/>
        <v>Not Improved Enough</v>
      </c>
      <c r="V1250" t="str">
        <f t="shared" si="237"/>
        <v>Close</v>
      </c>
      <c r="W1250" t="str">
        <f t="shared" si="238"/>
        <v>Normal</v>
      </c>
      <c r="X1250" t="str">
        <f t="shared" si="239"/>
        <v>Allowed</v>
      </c>
    </row>
    <row r="1251" spans="1:24" x14ac:dyDescent="0.3">
      <c r="A1251" t="s">
        <v>23</v>
      </c>
      <c r="B1251" t="s">
        <v>33</v>
      </c>
      <c r="C1251" t="s">
        <v>25</v>
      </c>
      <c r="D1251" s="3">
        <v>45565</v>
      </c>
      <c r="E1251" s="6">
        <v>0.62549999999999994</v>
      </c>
      <c r="F1251">
        <v>1</v>
      </c>
      <c r="G1251" t="s">
        <v>17</v>
      </c>
      <c r="H1251" s="6">
        <v>0.65</v>
      </c>
      <c r="I1251" s="8">
        <v>-3.7099753694581301E-2</v>
      </c>
      <c r="J1251" s="5">
        <f t="shared" si="228"/>
        <v>1.2057533289701232E-2</v>
      </c>
      <c r="K1251" s="5" cm="1">
        <f t="array" ref="K1251">_xlfn.STDEV.S(IF($C:$C=C1251,$I:$I))</f>
        <v>0.17981498891186962</v>
      </c>
      <c r="L1251" s="7">
        <f t="shared" si="231"/>
        <v>-0.27337702647455797</v>
      </c>
      <c r="M1251">
        <f t="shared" si="229"/>
        <v>0</v>
      </c>
      <c r="N1251" s="9">
        <f t="shared" si="232"/>
        <v>3.769230769230781E-2</v>
      </c>
      <c r="O1251">
        <f>COUNTIFS($B$2:B1251,B1251,$C$2:C1251,C1251,$D$2:D1251,"&lt;"&amp;D1251,$F$2:F1251,1)</f>
        <v>0</v>
      </c>
      <c r="P1251">
        <f t="shared" si="230"/>
        <v>0</v>
      </c>
      <c r="Q1251" t="str">
        <f t="shared" si="233"/>
        <v>Monitor</v>
      </c>
      <c r="R1251">
        <v>0</v>
      </c>
      <c r="S1251">
        <f t="shared" si="234"/>
        <v>0</v>
      </c>
      <c r="T1251">
        <f t="shared" si="235"/>
        <v>0</v>
      </c>
      <c r="U1251" t="str">
        <f t="shared" si="236"/>
        <v>Not Improved Enough</v>
      </c>
      <c r="V1251" t="str">
        <f t="shared" si="237"/>
        <v>Far</v>
      </c>
      <c r="W1251" t="str">
        <f t="shared" si="238"/>
        <v>Normal</v>
      </c>
      <c r="X1251" t="str">
        <f t="shared" si="239"/>
        <v>Allowed</v>
      </c>
    </row>
    <row r="1252" spans="1:24" x14ac:dyDescent="0.3">
      <c r="A1252" t="s">
        <v>23</v>
      </c>
      <c r="B1252" t="s">
        <v>33</v>
      </c>
      <c r="C1252" t="s">
        <v>25</v>
      </c>
      <c r="D1252" s="3">
        <v>45596</v>
      </c>
      <c r="E1252" s="6">
        <v>0.6321</v>
      </c>
      <c r="F1252">
        <v>0</v>
      </c>
      <c r="G1252" t="s">
        <v>17</v>
      </c>
      <c r="H1252" s="6">
        <v>0.65</v>
      </c>
      <c r="I1252" s="8">
        <v>1.0551558752997681E-2</v>
      </c>
      <c r="J1252" s="5">
        <f t="shared" si="228"/>
        <v>1.2057533289701232E-2</v>
      </c>
      <c r="K1252" s="5" cm="1">
        <f t="array" ref="K1252">_xlfn.STDEV.S(IF($C:$C=C1252,$I:$I))</f>
        <v>0.17981498891186962</v>
      </c>
      <c r="L1252" s="7">
        <f t="shared" si="231"/>
        <v>-8.3751334959159349E-3</v>
      </c>
      <c r="M1252">
        <f t="shared" si="229"/>
        <v>0</v>
      </c>
      <c r="N1252" s="9">
        <f t="shared" si="232"/>
        <v>2.7538461538461578E-2</v>
      </c>
      <c r="O1252">
        <f>COUNTIFS($B$2:B1252,B1252,$C$2:C1252,C1252,$D$2:D1252,"&lt;"&amp;D1252,$F$2:F1252,1)</f>
        <v>1</v>
      </c>
      <c r="P1252">
        <f t="shared" si="230"/>
        <v>1</v>
      </c>
      <c r="Q1252" t="str">
        <f t="shared" si="233"/>
        <v>Monitor</v>
      </c>
      <c r="R1252">
        <v>1</v>
      </c>
      <c r="S1252">
        <f t="shared" si="234"/>
        <v>0</v>
      </c>
      <c r="T1252">
        <f t="shared" si="235"/>
        <v>0</v>
      </c>
      <c r="U1252" t="str">
        <f t="shared" si="236"/>
        <v>Improved Enough</v>
      </c>
      <c r="V1252" t="str">
        <f t="shared" si="237"/>
        <v>Far</v>
      </c>
      <c r="W1252" t="str">
        <f t="shared" si="238"/>
        <v>Normal</v>
      </c>
      <c r="X1252" t="str">
        <f t="shared" si="239"/>
        <v>Allowed</v>
      </c>
    </row>
    <row r="1253" spans="1:24" x14ac:dyDescent="0.3">
      <c r="A1253" t="s">
        <v>23</v>
      </c>
      <c r="B1253" t="s">
        <v>33</v>
      </c>
      <c r="C1253" t="s">
        <v>25</v>
      </c>
      <c r="D1253" s="3">
        <v>45626</v>
      </c>
      <c r="E1253" s="6">
        <v>0.64190000000000003</v>
      </c>
      <c r="F1253">
        <v>0</v>
      </c>
      <c r="G1253" t="s">
        <v>17</v>
      </c>
      <c r="H1253" s="6">
        <v>0.65</v>
      </c>
      <c r="I1253" s="8">
        <v>1.55038759689923E-2</v>
      </c>
      <c r="J1253" s="5">
        <f t="shared" si="228"/>
        <v>1.2057533289701232E-2</v>
      </c>
      <c r="K1253" s="5" cm="1">
        <f t="array" ref="K1253">_xlfn.STDEV.S(IF($C:$C=C1253,$I:$I))</f>
        <v>0.17981498891186962</v>
      </c>
      <c r="L1253" s="7">
        <f t="shared" si="231"/>
        <v>1.9166047836980813E-2</v>
      </c>
      <c r="M1253">
        <f t="shared" si="229"/>
        <v>0</v>
      </c>
      <c r="N1253" s="9">
        <f t="shared" si="232"/>
        <v>1.2461538461538454E-2</v>
      </c>
      <c r="O1253">
        <f>COUNTIFS($B$2:B1253,B1253,$C$2:C1253,C1253,$D$2:D1253,"&lt;"&amp;D1253,$F$2:F1253,1)</f>
        <v>1</v>
      </c>
      <c r="P1253">
        <f t="shared" si="230"/>
        <v>0</v>
      </c>
      <c r="Q1253" t="str">
        <f t="shared" si="233"/>
        <v>Monitor</v>
      </c>
      <c r="R1253">
        <v>0</v>
      </c>
      <c r="S1253">
        <f t="shared" si="234"/>
        <v>0</v>
      </c>
      <c r="T1253">
        <f t="shared" si="235"/>
        <v>0</v>
      </c>
      <c r="U1253" t="str">
        <f t="shared" si="236"/>
        <v>Improved Enough</v>
      </c>
      <c r="V1253" t="str">
        <f t="shared" si="237"/>
        <v>Close</v>
      </c>
      <c r="W1253" t="str">
        <f t="shared" si="238"/>
        <v>Normal</v>
      </c>
      <c r="X1253" t="str">
        <f t="shared" si="239"/>
        <v>Allowed</v>
      </c>
    </row>
    <row r="1254" spans="1:24" x14ac:dyDescent="0.3">
      <c r="A1254" t="s">
        <v>23</v>
      </c>
      <c r="B1254" t="s">
        <v>33</v>
      </c>
      <c r="C1254" t="s">
        <v>25</v>
      </c>
      <c r="D1254" s="3">
        <v>45657</v>
      </c>
      <c r="E1254" s="6">
        <v>0.64219999999999999</v>
      </c>
      <c r="F1254">
        <v>1</v>
      </c>
      <c r="G1254" t="s">
        <v>17</v>
      </c>
      <c r="H1254" s="6">
        <v>0.65</v>
      </c>
      <c r="I1254" s="8">
        <v>4.6736251752604288E-4</v>
      </c>
      <c r="J1254" s="5">
        <f t="shared" si="228"/>
        <v>1.2057533289701232E-2</v>
      </c>
      <c r="K1254" s="5" cm="1">
        <f t="array" ref="K1254">_xlfn.STDEV.S(IF($C:$C=C1254,$I:$I))</f>
        <v>0.17981498891186962</v>
      </c>
      <c r="L1254" s="7">
        <f t="shared" si="231"/>
        <v>-6.4456088128758429E-2</v>
      </c>
      <c r="M1254">
        <f t="shared" si="229"/>
        <v>0</v>
      </c>
      <c r="N1254" s="9">
        <f t="shared" si="232"/>
        <v>1.2000000000000044E-2</v>
      </c>
      <c r="O1254">
        <f>COUNTIFS($B$2:B1254,B1254,$C$2:C1254,C1254,$D$2:D1254,"&lt;"&amp;D1254,$F$2:F1254,1)</f>
        <v>1</v>
      </c>
      <c r="P1254">
        <f t="shared" si="230"/>
        <v>0</v>
      </c>
      <c r="Q1254" t="str">
        <f t="shared" si="233"/>
        <v>Monitor</v>
      </c>
      <c r="R1254">
        <v>0</v>
      </c>
      <c r="S1254">
        <f t="shared" si="234"/>
        <v>0</v>
      </c>
      <c r="T1254">
        <f t="shared" si="235"/>
        <v>0</v>
      </c>
      <c r="U1254" t="str">
        <f t="shared" si="236"/>
        <v>Not Improved Enough</v>
      </c>
      <c r="V1254" t="str">
        <f t="shared" si="237"/>
        <v>Close</v>
      </c>
      <c r="W1254" t="str">
        <f t="shared" si="238"/>
        <v>Normal</v>
      </c>
      <c r="X1254" t="str">
        <f t="shared" si="239"/>
        <v>Allowed</v>
      </c>
    </row>
    <row r="1255" spans="1:24" x14ac:dyDescent="0.3">
      <c r="A1255" t="s">
        <v>23</v>
      </c>
      <c r="B1255" t="s">
        <v>33</v>
      </c>
      <c r="C1255" t="s">
        <v>25</v>
      </c>
      <c r="D1255" s="3">
        <v>45688</v>
      </c>
      <c r="E1255" s="6">
        <v>0.65969999999999995</v>
      </c>
      <c r="F1255">
        <v>1</v>
      </c>
      <c r="G1255" t="s">
        <v>17</v>
      </c>
      <c r="H1255" s="6">
        <v>0.65</v>
      </c>
      <c r="I1255" s="8">
        <v>2.7250077857365249E-2</v>
      </c>
      <c r="J1255" s="5">
        <f t="shared" si="228"/>
        <v>1.2057533289701232E-2</v>
      </c>
      <c r="K1255" s="5" cm="1">
        <f t="array" ref="K1255">_xlfn.STDEV.S(IF($C:$C=C1255,$I:$I))</f>
        <v>0.17981498891186962</v>
      </c>
      <c r="L1255" s="7">
        <f t="shared" si="231"/>
        <v>8.4489867388697737E-2</v>
      </c>
      <c r="M1255">
        <f t="shared" si="229"/>
        <v>0</v>
      </c>
      <c r="N1255" s="9">
        <f t="shared" si="232"/>
        <v>-1.4923076923076817E-2</v>
      </c>
      <c r="O1255">
        <f>COUNTIFS($B$2:B1255,B1255,$C$2:C1255,C1255,$D$2:D1255,"&lt;"&amp;D1255,$F$2:F1255,1)</f>
        <v>2</v>
      </c>
      <c r="P1255">
        <f t="shared" si="230"/>
        <v>1</v>
      </c>
      <c r="Q1255" t="str">
        <f t="shared" si="233"/>
        <v>Monitor</v>
      </c>
      <c r="R1255">
        <v>1</v>
      </c>
      <c r="S1255">
        <f t="shared" si="234"/>
        <v>0</v>
      </c>
      <c r="T1255">
        <f t="shared" si="235"/>
        <v>0</v>
      </c>
      <c r="U1255" t="str">
        <f t="shared" si="236"/>
        <v>Improved Enough</v>
      </c>
      <c r="V1255" t="str">
        <f t="shared" si="237"/>
        <v>Close</v>
      </c>
      <c r="W1255" t="str">
        <f t="shared" si="238"/>
        <v>Normal</v>
      </c>
      <c r="X1255" t="str">
        <f t="shared" si="239"/>
        <v>Allowed</v>
      </c>
    </row>
    <row r="1256" spans="1:24" x14ac:dyDescent="0.3">
      <c r="A1256" t="s">
        <v>23</v>
      </c>
      <c r="B1256" t="s">
        <v>33</v>
      </c>
      <c r="C1256" t="s">
        <v>25</v>
      </c>
      <c r="D1256" s="3">
        <v>45716</v>
      </c>
      <c r="E1256" s="6">
        <v>0.629</v>
      </c>
      <c r="F1256">
        <v>1</v>
      </c>
      <c r="G1256" t="s">
        <v>17</v>
      </c>
      <c r="H1256" s="6">
        <v>0.65</v>
      </c>
      <c r="I1256" s="8">
        <v>-4.6536304380779069E-2</v>
      </c>
      <c r="J1256" s="5">
        <f t="shared" si="228"/>
        <v>1.2057533289701232E-2</v>
      </c>
      <c r="K1256" s="5" cm="1">
        <f t="array" ref="K1256">_xlfn.STDEV.S(IF($C:$C=C1256,$I:$I))</f>
        <v>0.17981498891186962</v>
      </c>
      <c r="L1256" s="7">
        <f t="shared" si="231"/>
        <v>-0.32585624827526549</v>
      </c>
      <c r="M1256">
        <f t="shared" si="229"/>
        <v>0</v>
      </c>
      <c r="N1256" s="9">
        <f t="shared" si="232"/>
        <v>3.2307692307692336E-2</v>
      </c>
      <c r="O1256">
        <f>COUNTIFS($B$2:B1256,B1256,$C$2:C1256,C1256,$D$2:D1256,"&lt;"&amp;D1256,$F$2:F1256,1)</f>
        <v>3</v>
      </c>
      <c r="P1256">
        <f t="shared" si="230"/>
        <v>-1</v>
      </c>
      <c r="Q1256" t="str">
        <f t="shared" si="233"/>
        <v>Monitor</v>
      </c>
      <c r="R1256">
        <v>1</v>
      </c>
      <c r="S1256">
        <f t="shared" si="234"/>
        <v>0</v>
      </c>
      <c r="T1256">
        <f t="shared" si="235"/>
        <v>0</v>
      </c>
      <c r="U1256" t="str">
        <f t="shared" si="236"/>
        <v>Not Improved Enough</v>
      </c>
      <c r="V1256" t="str">
        <f t="shared" si="237"/>
        <v>Far</v>
      </c>
      <c r="W1256" t="str">
        <f t="shared" si="238"/>
        <v>Normal</v>
      </c>
      <c r="X1256" t="str">
        <f t="shared" si="239"/>
        <v>Allowed</v>
      </c>
    </row>
    <row r="1257" spans="1:24" x14ac:dyDescent="0.3">
      <c r="A1257" t="s">
        <v>23</v>
      </c>
      <c r="B1257" t="s">
        <v>33</v>
      </c>
      <c r="C1257" t="s">
        <v>25</v>
      </c>
      <c r="D1257" s="3">
        <v>45747</v>
      </c>
      <c r="E1257" s="6">
        <v>0.64680000000000004</v>
      </c>
      <c r="F1257">
        <v>1</v>
      </c>
      <c r="G1257" t="s">
        <v>17</v>
      </c>
      <c r="H1257" s="6">
        <v>0.65</v>
      </c>
      <c r="I1257" s="8">
        <v>2.8298887122416599E-2</v>
      </c>
      <c r="J1257" s="5">
        <f t="shared" si="228"/>
        <v>1.2057533289701232E-2</v>
      </c>
      <c r="K1257" s="5" cm="1">
        <f t="array" ref="K1257">_xlfn.STDEV.S(IF($C:$C=C1257,$I:$I))</f>
        <v>0.17981498891186962</v>
      </c>
      <c r="L1257" s="7">
        <f t="shared" si="231"/>
        <v>9.0322580620214768E-2</v>
      </c>
      <c r="M1257">
        <f t="shared" si="229"/>
        <v>0</v>
      </c>
      <c r="N1257" s="9">
        <f t="shared" si="232"/>
        <v>4.9230769230768929E-3</v>
      </c>
      <c r="O1257">
        <f>COUNTIFS($B$2:B1257,B1257,$C$2:C1257,C1257,$D$2:D1257,"&lt;"&amp;D1257,$F$2:F1257,1)</f>
        <v>4</v>
      </c>
      <c r="P1257">
        <f t="shared" si="230"/>
        <v>1</v>
      </c>
      <c r="Q1257" t="str">
        <f t="shared" si="233"/>
        <v>Monitor</v>
      </c>
      <c r="R1257">
        <v>1</v>
      </c>
      <c r="S1257">
        <f t="shared" si="234"/>
        <v>0</v>
      </c>
      <c r="T1257">
        <f t="shared" si="235"/>
        <v>0</v>
      </c>
      <c r="U1257" t="str">
        <f t="shared" si="236"/>
        <v>Improved Enough</v>
      </c>
      <c r="V1257" t="str">
        <f t="shared" si="237"/>
        <v>Close</v>
      </c>
      <c r="W1257" t="str">
        <f t="shared" si="238"/>
        <v>Normal</v>
      </c>
      <c r="X1257" t="str">
        <f t="shared" si="239"/>
        <v>Allowed</v>
      </c>
    </row>
    <row r="1258" spans="1:24" x14ac:dyDescent="0.3">
      <c r="A1258" t="s">
        <v>23</v>
      </c>
      <c r="B1258" t="s">
        <v>33</v>
      </c>
      <c r="C1258" t="s">
        <v>25</v>
      </c>
      <c r="D1258" s="3">
        <v>45777</v>
      </c>
      <c r="E1258" s="6">
        <v>0.64900000000000002</v>
      </c>
      <c r="F1258">
        <v>1</v>
      </c>
      <c r="G1258" t="s">
        <v>17</v>
      </c>
      <c r="H1258" s="6">
        <v>0.65</v>
      </c>
      <c r="I1258" s="8">
        <v>3.4013605442176562E-3</v>
      </c>
      <c r="J1258" s="5">
        <f t="shared" si="228"/>
        <v>1.2057533289701232E-2</v>
      </c>
      <c r="K1258" s="5" cm="1">
        <f t="array" ref="K1258">_xlfn.STDEV.S(IF($C:$C=C1258,$I:$I))</f>
        <v>0.17981498891186962</v>
      </c>
      <c r="L1258" s="7">
        <f t="shared" si="231"/>
        <v>-4.8139328083078289E-2</v>
      </c>
      <c r="M1258">
        <f t="shared" si="229"/>
        <v>0</v>
      </c>
      <c r="N1258" s="9">
        <f t="shared" si="232"/>
        <v>1.5384615384615398E-3</v>
      </c>
      <c r="O1258">
        <f>COUNTIFS($B$2:B1258,B1258,$C$2:C1258,C1258,$D$2:D1258,"&lt;"&amp;D1258,$F$2:F1258,1)</f>
        <v>5</v>
      </c>
      <c r="P1258">
        <f t="shared" si="230"/>
        <v>1</v>
      </c>
      <c r="Q1258" t="str">
        <f t="shared" si="233"/>
        <v>Monitor</v>
      </c>
      <c r="R1258">
        <v>1</v>
      </c>
      <c r="S1258">
        <f t="shared" si="234"/>
        <v>0</v>
      </c>
      <c r="T1258">
        <f t="shared" si="235"/>
        <v>0</v>
      </c>
      <c r="U1258" t="str">
        <f t="shared" si="236"/>
        <v>Not Improved Enough</v>
      </c>
      <c r="V1258" t="str">
        <f t="shared" si="237"/>
        <v>Close</v>
      </c>
      <c r="W1258" t="str">
        <f t="shared" si="238"/>
        <v>Normal</v>
      </c>
      <c r="X1258" t="str">
        <f t="shared" si="239"/>
        <v>Maxed Out</v>
      </c>
    </row>
    <row r="1259" spans="1:24" x14ac:dyDescent="0.3">
      <c r="A1259" t="s">
        <v>23</v>
      </c>
      <c r="B1259" t="s">
        <v>33</v>
      </c>
      <c r="C1259" t="s">
        <v>25</v>
      </c>
      <c r="D1259" s="3">
        <v>45808</v>
      </c>
      <c r="E1259" s="6">
        <v>0.65359999999999996</v>
      </c>
      <c r="F1259">
        <v>1</v>
      </c>
      <c r="G1259" t="s">
        <v>17</v>
      </c>
      <c r="H1259" s="6">
        <v>0.65</v>
      </c>
      <c r="I1259" s="8">
        <v>7.087827426810381E-3</v>
      </c>
      <c r="J1259" s="5">
        <f t="shared" si="228"/>
        <v>1.2057533289701232E-2</v>
      </c>
      <c r="K1259" s="5" cm="1">
        <f t="array" ref="K1259">_xlfn.STDEV.S(IF($C:$C=C1259,$I:$I))</f>
        <v>0.17981498891186962</v>
      </c>
      <c r="L1259" s="7">
        <f t="shared" si="231"/>
        <v>-2.7637884321904824E-2</v>
      </c>
      <c r="M1259">
        <f t="shared" si="229"/>
        <v>0</v>
      </c>
      <c r="N1259" s="9">
        <f t="shared" si="232"/>
        <v>-5.538461538461441E-3</v>
      </c>
      <c r="O1259">
        <f>COUNTIFS($B$2:B1259,B1259,$C$2:C1259,C1259,$D$2:D1259,"&lt;"&amp;D1259,$F$2:F1259,1)</f>
        <v>6</v>
      </c>
      <c r="P1259">
        <f t="shared" si="230"/>
        <v>1</v>
      </c>
      <c r="Q1259" t="str">
        <f t="shared" si="233"/>
        <v>Monitor</v>
      </c>
      <c r="R1259">
        <v>1</v>
      </c>
      <c r="S1259">
        <f t="shared" si="234"/>
        <v>0</v>
      </c>
      <c r="T1259">
        <f t="shared" si="235"/>
        <v>0</v>
      </c>
      <c r="U1259" t="str">
        <f t="shared" si="236"/>
        <v>Not Improved Enough</v>
      </c>
      <c r="V1259" t="str">
        <f t="shared" si="237"/>
        <v>Close</v>
      </c>
      <c r="W1259" t="str">
        <f t="shared" si="238"/>
        <v>Normal</v>
      </c>
      <c r="X1259" t="str">
        <f t="shared" si="239"/>
        <v>Maxed Out</v>
      </c>
    </row>
    <row r="1260" spans="1:24" x14ac:dyDescent="0.3">
      <c r="A1260" t="s">
        <v>23</v>
      </c>
      <c r="B1260" t="s">
        <v>33</v>
      </c>
      <c r="C1260" t="s">
        <v>25</v>
      </c>
      <c r="D1260" s="3">
        <v>45838</v>
      </c>
      <c r="E1260" s="6">
        <v>0.68240000000000001</v>
      </c>
      <c r="F1260">
        <v>1</v>
      </c>
      <c r="G1260" t="s">
        <v>17</v>
      </c>
      <c r="H1260" s="6">
        <v>0.65</v>
      </c>
      <c r="I1260" s="8">
        <v>4.4063647490820153E-2</v>
      </c>
      <c r="J1260" s="5">
        <f t="shared" si="228"/>
        <v>1.2057533289701232E-2</v>
      </c>
      <c r="K1260" s="5" cm="1">
        <f t="array" ref="K1260">_xlfn.STDEV.S(IF($C:$C=C1260,$I:$I))</f>
        <v>0.17981498891186962</v>
      </c>
      <c r="L1260" s="7">
        <f t="shared" si="231"/>
        <v>0.17799469551899069</v>
      </c>
      <c r="M1260">
        <f t="shared" si="229"/>
        <v>0</v>
      </c>
      <c r="N1260" s="9">
        <f t="shared" si="232"/>
        <v>-4.9846153846153818E-2</v>
      </c>
      <c r="O1260">
        <f>COUNTIFS($B$2:B1260,B1260,$C$2:C1260,C1260,$D$2:D1260,"&lt;"&amp;D1260,$F$2:F1260,1)</f>
        <v>7</v>
      </c>
      <c r="P1260">
        <f t="shared" si="230"/>
        <v>1</v>
      </c>
      <c r="Q1260" t="str">
        <f t="shared" si="233"/>
        <v>Monitor</v>
      </c>
      <c r="R1260">
        <v>1</v>
      </c>
      <c r="S1260">
        <f t="shared" si="234"/>
        <v>0</v>
      </c>
      <c r="T1260">
        <f t="shared" si="235"/>
        <v>0</v>
      </c>
      <c r="U1260" t="str">
        <f t="shared" si="236"/>
        <v>Improved Enough</v>
      </c>
      <c r="V1260" t="str">
        <f t="shared" si="237"/>
        <v>Close</v>
      </c>
      <c r="W1260" t="str">
        <f t="shared" si="238"/>
        <v>Normal</v>
      </c>
      <c r="X1260" t="str">
        <f t="shared" si="239"/>
        <v>Maxed Out</v>
      </c>
    </row>
    <row r="1261" spans="1:24" x14ac:dyDescent="0.3">
      <c r="A1261" t="s">
        <v>23</v>
      </c>
      <c r="B1261" t="s">
        <v>33</v>
      </c>
      <c r="C1261" t="s">
        <v>25</v>
      </c>
      <c r="D1261" s="3">
        <v>45869</v>
      </c>
      <c r="E1261" s="6">
        <v>0.68899999999999995</v>
      </c>
      <c r="F1261">
        <v>0</v>
      </c>
      <c r="G1261" t="s">
        <v>17</v>
      </c>
      <c r="H1261" s="6">
        <v>0.65</v>
      </c>
      <c r="I1261" s="8">
        <v>9.6717467760843185E-3</v>
      </c>
      <c r="J1261" s="5">
        <f t="shared" si="228"/>
        <v>1.2057533289701232E-2</v>
      </c>
      <c r="K1261" s="5" cm="1">
        <f t="array" ref="K1261">_xlfn.STDEV.S(IF($C:$C=C1261,$I:$I))</f>
        <v>0.17981498891186962</v>
      </c>
      <c r="L1261" s="7">
        <f t="shared" si="231"/>
        <v>-1.3268006900060084E-2</v>
      </c>
      <c r="M1261">
        <f t="shared" si="229"/>
        <v>0</v>
      </c>
      <c r="N1261" s="9">
        <f t="shared" si="232"/>
        <v>-5.999999999999988E-2</v>
      </c>
      <c r="O1261">
        <f>COUNTIFS($B$2:B1261,B1261,$C$2:C1261,C1261,$D$2:D1261,"&lt;"&amp;D1261,$F$2:F1261,1)</f>
        <v>8</v>
      </c>
      <c r="P1261">
        <f t="shared" si="230"/>
        <v>1</v>
      </c>
      <c r="Q1261" t="str">
        <f t="shared" si="233"/>
        <v>Monitor</v>
      </c>
      <c r="R1261">
        <v>1</v>
      </c>
      <c r="S1261">
        <f t="shared" si="234"/>
        <v>0</v>
      </c>
      <c r="T1261">
        <f t="shared" si="235"/>
        <v>0</v>
      </c>
      <c r="U1261" t="str">
        <f t="shared" si="236"/>
        <v>Not Improved Enough</v>
      </c>
      <c r="V1261" t="str">
        <f t="shared" si="237"/>
        <v>Close</v>
      </c>
      <c r="W1261" t="str">
        <f t="shared" si="238"/>
        <v>Normal</v>
      </c>
      <c r="X1261" t="str">
        <f t="shared" si="239"/>
        <v>Maxed Out</v>
      </c>
    </row>
    <row r="1262" spans="1:24" x14ac:dyDescent="0.3">
      <c r="A1262" t="s">
        <v>23</v>
      </c>
      <c r="B1262" t="s">
        <v>33</v>
      </c>
      <c r="C1262" t="s">
        <v>25</v>
      </c>
      <c r="D1262" s="3">
        <v>45900</v>
      </c>
      <c r="E1262" s="6">
        <v>0.67400000000000004</v>
      </c>
      <c r="F1262">
        <v>0</v>
      </c>
      <c r="G1262" t="s">
        <v>17</v>
      </c>
      <c r="H1262" s="6">
        <v>0.65</v>
      </c>
      <c r="I1262" s="8">
        <v>-2.17706821480405E-2</v>
      </c>
      <c r="J1262" s="5">
        <f t="shared" si="228"/>
        <v>1.2057533289701232E-2</v>
      </c>
      <c r="K1262" s="5" cm="1">
        <f t="array" ref="K1262">_xlfn.STDEV.S(IF($C:$C=C1262,$I:$I))</f>
        <v>0.17981498891186962</v>
      </c>
      <c r="L1262" s="7">
        <f t="shared" si="231"/>
        <v>-0.18812789546883391</v>
      </c>
      <c r="M1262">
        <f t="shared" si="229"/>
        <v>0</v>
      </c>
      <c r="N1262" s="9">
        <f t="shared" si="232"/>
        <v>-3.6923076923076954E-2</v>
      </c>
      <c r="O1262">
        <f>COUNTIFS($B$2:B1262,B1262,$C$2:C1262,C1262,$D$2:D1262,"&lt;"&amp;D1262,$F$2:F1262,1)</f>
        <v>8</v>
      </c>
      <c r="P1262">
        <f t="shared" si="230"/>
        <v>0</v>
      </c>
      <c r="Q1262" t="str">
        <f t="shared" si="233"/>
        <v>Monitor</v>
      </c>
      <c r="R1262">
        <v>0</v>
      </c>
      <c r="S1262">
        <f t="shared" si="234"/>
        <v>0</v>
      </c>
      <c r="T1262">
        <f t="shared" si="235"/>
        <v>0</v>
      </c>
      <c r="U1262" t="str">
        <f t="shared" si="236"/>
        <v>Not Improved Enough</v>
      </c>
      <c r="V1262" t="str">
        <f t="shared" si="237"/>
        <v>Close</v>
      </c>
      <c r="W1262" t="str">
        <f t="shared" si="238"/>
        <v>Normal</v>
      </c>
      <c r="X1262" t="str">
        <f t="shared" si="239"/>
        <v>Maxed Out</v>
      </c>
    </row>
    <row r="1263" spans="1:24" x14ac:dyDescent="0.3">
      <c r="A1263" t="s">
        <v>23</v>
      </c>
      <c r="B1263" t="s">
        <v>33</v>
      </c>
      <c r="C1263" t="s">
        <v>25</v>
      </c>
      <c r="D1263" s="3">
        <v>45930</v>
      </c>
      <c r="E1263" s="6">
        <v>0.64800000000000002</v>
      </c>
      <c r="F1263">
        <v>0</v>
      </c>
      <c r="G1263" t="s">
        <v>17</v>
      </c>
      <c r="H1263" s="6">
        <v>0.65</v>
      </c>
      <c r="I1263" s="8">
        <v>-3.8575667655786378E-2</v>
      </c>
      <c r="J1263" s="5">
        <f t="shared" si="228"/>
        <v>1.2057533289701232E-2</v>
      </c>
      <c r="K1263" s="5" cm="1">
        <f t="array" ref="K1263">_xlfn.STDEV.S(IF($C:$C=C1263,$I:$I))</f>
        <v>0.17981498891186962</v>
      </c>
      <c r="L1263" s="7">
        <f t="shared" si="231"/>
        <v>-0.28158498494418505</v>
      </c>
      <c r="M1263">
        <f t="shared" si="229"/>
        <v>0</v>
      </c>
      <c r="N1263" s="9">
        <f t="shared" si="232"/>
        <v>3.0769230769230795E-3</v>
      </c>
      <c r="O1263">
        <f>COUNTIFS($B$2:B1263,B1263,$C$2:C1263,C1263,$D$2:D1263,"&lt;"&amp;D1263,$F$2:F1263,1)</f>
        <v>8</v>
      </c>
      <c r="P1263">
        <f t="shared" si="230"/>
        <v>0</v>
      </c>
      <c r="Q1263" t="str">
        <f t="shared" si="233"/>
        <v>Monitor</v>
      </c>
      <c r="R1263">
        <v>0</v>
      </c>
      <c r="S1263">
        <f t="shared" si="234"/>
        <v>0</v>
      </c>
      <c r="T1263">
        <f t="shared" si="235"/>
        <v>0</v>
      </c>
      <c r="U1263" t="str">
        <f t="shared" si="236"/>
        <v>Not Improved Enough</v>
      </c>
      <c r="V1263" t="str">
        <f t="shared" si="237"/>
        <v>Close</v>
      </c>
      <c r="W1263" t="str">
        <f t="shared" si="238"/>
        <v>Normal</v>
      </c>
      <c r="X1263" t="str">
        <f t="shared" si="239"/>
        <v>Maxed Out</v>
      </c>
    </row>
    <row r="1264" spans="1:24" x14ac:dyDescent="0.3">
      <c r="A1264" t="s">
        <v>23</v>
      </c>
      <c r="B1264" t="s">
        <v>33</v>
      </c>
      <c r="C1264" t="s">
        <v>25</v>
      </c>
      <c r="D1264" s="3">
        <v>45961</v>
      </c>
      <c r="E1264" s="6">
        <v>0.68</v>
      </c>
      <c r="F1264">
        <v>0</v>
      </c>
      <c r="G1264" t="s">
        <v>17</v>
      </c>
      <c r="H1264" s="6">
        <v>0.65</v>
      </c>
      <c r="I1264" s="8">
        <v>4.9382716049382748E-2</v>
      </c>
      <c r="J1264" s="5">
        <f t="shared" si="228"/>
        <v>1.2057533289701232E-2</v>
      </c>
      <c r="K1264" s="5" cm="1">
        <f t="array" ref="K1264">_xlfn.STDEV.S(IF($C:$C=C1264,$I:$I))</f>
        <v>0.17981498891186962</v>
      </c>
      <c r="L1264" s="7">
        <f t="shared" si="231"/>
        <v>0.20757548069574569</v>
      </c>
      <c r="M1264">
        <f t="shared" si="229"/>
        <v>0</v>
      </c>
      <c r="N1264" s="9">
        <f t="shared" si="232"/>
        <v>-4.6153846153846191E-2</v>
      </c>
      <c r="O1264">
        <f>COUNTIFS($B$2:B1264,B1264,$C$2:C1264,C1264,$D$2:D1264,"&lt;"&amp;D1264,$F$2:F1264,1)</f>
        <v>8</v>
      </c>
      <c r="P1264">
        <f t="shared" si="230"/>
        <v>0</v>
      </c>
      <c r="Q1264" t="str">
        <f t="shared" si="233"/>
        <v>Monitor</v>
      </c>
      <c r="R1264">
        <v>0</v>
      </c>
      <c r="S1264">
        <f t="shared" si="234"/>
        <v>0</v>
      </c>
      <c r="T1264">
        <f t="shared" si="235"/>
        <v>0</v>
      </c>
      <c r="U1264" t="str">
        <f t="shared" si="236"/>
        <v>Improved Enough</v>
      </c>
      <c r="V1264" t="str">
        <f t="shared" si="237"/>
        <v>Close</v>
      </c>
      <c r="W1264" t="str">
        <f t="shared" si="238"/>
        <v>Normal</v>
      </c>
      <c r="X1264" t="str">
        <f t="shared" si="239"/>
        <v>Maxed Out</v>
      </c>
    </row>
    <row r="1265" spans="1:24" x14ac:dyDescent="0.3">
      <c r="A1265" t="s">
        <v>23</v>
      </c>
      <c r="B1265" t="s">
        <v>33</v>
      </c>
      <c r="C1265" t="s">
        <v>25</v>
      </c>
      <c r="D1265" s="3">
        <v>45991</v>
      </c>
      <c r="E1265" s="6">
        <v>0.69099999999999995</v>
      </c>
      <c r="F1265">
        <v>0</v>
      </c>
      <c r="G1265" t="s">
        <v>17</v>
      </c>
      <c r="H1265" s="6">
        <v>0.65</v>
      </c>
      <c r="I1265" s="8">
        <v>1.617647058823514E-2</v>
      </c>
      <c r="J1265" s="5">
        <f t="shared" si="228"/>
        <v>1.2057533289701232E-2</v>
      </c>
      <c r="K1265" s="5" cm="1">
        <f t="array" ref="K1265">_xlfn.STDEV.S(IF($C:$C=C1265,$I:$I))</f>
        <v>0.17981498891186962</v>
      </c>
      <c r="L1265" s="7">
        <f t="shared" si="231"/>
        <v>2.290652922461691E-2</v>
      </c>
      <c r="M1265">
        <f t="shared" si="229"/>
        <v>0</v>
      </c>
      <c r="N1265" s="9">
        <f t="shared" si="232"/>
        <v>-6.3076923076922961E-2</v>
      </c>
      <c r="O1265">
        <f>COUNTIFS($B$2:B1265,B1265,$C$2:C1265,C1265,$D$2:D1265,"&lt;"&amp;D1265,$F$2:F1265,1)</f>
        <v>8</v>
      </c>
      <c r="P1265">
        <f t="shared" si="230"/>
        <v>0</v>
      </c>
      <c r="Q1265" t="str">
        <f t="shared" si="233"/>
        <v>Monitor</v>
      </c>
      <c r="R1265">
        <v>0</v>
      </c>
      <c r="S1265">
        <f t="shared" si="234"/>
        <v>0</v>
      </c>
      <c r="T1265">
        <f t="shared" si="235"/>
        <v>0</v>
      </c>
      <c r="U1265" t="str">
        <f t="shared" si="236"/>
        <v>Improved Enough</v>
      </c>
      <c r="V1265" t="str">
        <f t="shared" si="237"/>
        <v>Close</v>
      </c>
      <c r="W1265" t="str">
        <f t="shared" si="238"/>
        <v>Normal</v>
      </c>
      <c r="X1265" t="str">
        <f t="shared" si="239"/>
        <v>Maxed Out</v>
      </c>
    </row>
    <row r="1266" spans="1:24" x14ac:dyDescent="0.3">
      <c r="A1266" t="s">
        <v>23</v>
      </c>
      <c r="B1266" t="s">
        <v>33</v>
      </c>
      <c r="C1266" t="s">
        <v>26</v>
      </c>
      <c r="D1266" s="3">
        <v>45535</v>
      </c>
      <c r="E1266" s="6">
        <v>0.83779999999999999</v>
      </c>
      <c r="F1266">
        <v>1</v>
      </c>
      <c r="G1266" t="s">
        <v>17</v>
      </c>
      <c r="H1266" s="6">
        <v>0.85</v>
      </c>
      <c r="I1266" s="8">
        <v>-7.2283445905912957E-3</v>
      </c>
      <c r="J1266" s="5">
        <f t="shared" si="228"/>
        <v>1.8209321594669165E-2</v>
      </c>
      <c r="K1266" s="5" cm="1">
        <f t="array" ref="K1266">_xlfn.STDEV.S(IF($C:$C=C1266,$I:$I))</f>
        <v>0.22834931756330515</v>
      </c>
      <c r="L1266" s="7">
        <f t="shared" si="231"/>
        <v>-0.11139803900753235</v>
      </c>
      <c r="M1266">
        <f t="shared" si="229"/>
        <v>0</v>
      </c>
      <c r="N1266" s="9">
        <f t="shared" si="232"/>
        <v>1.4352941176470575E-2</v>
      </c>
      <c r="O1266">
        <f>COUNTIFS($B$2:B1266,B1266,$C$2:C1266,C1266,$D$2:D1266,"&lt;"&amp;D1266,$F$2:F1266,1)</f>
        <v>0</v>
      </c>
      <c r="P1266">
        <f t="shared" si="230"/>
        <v>0</v>
      </c>
      <c r="Q1266" t="str">
        <f t="shared" si="233"/>
        <v>Monitor</v>
      </c>
      <c r="R1266">
        <v>0</v>
      </c>
      <c r="S1266">
        <f t="shared" si="234"/>
        <v>0</v>
      </c>
      <c r="T1266">
        <f t="shared" si="235"/>
        <v>0</v>
      </c>
      <c r="U1266" t="str">
        <f t="shared" si="236"/>
        <v>Not Improved Enough</v>
      </c>
      <c r="V1266" t="str">
        <f t="shared" si="237"/>
        <v>Close</v>
      </c>
      <c r="W1266" t="str">
        <f t="shared" si="238"/>
        <v>Normal</v>
      </c>
      <c r="X1266" t="str">
        <f t="shared" si="239"/>
        <v>Allowed</v>
      </c>
    </row>
    <row r="1267" spans="1:24" x14ac:dyDescent="0.3">
      <c r="A1267" t="s">
        <v>23</v>
      </c>
      <c r="B1267" t="s">
        <v>33</v>
      </c>
      <c r="C1267" t="s">
        <v>26</v>
      </c>
      <c r="D1267" s="3">
        <v>45565</v>
      </c>
      <c r="E1267" s="6">
        <v>0.82869999999999999</v>
      </c>
      <c r="F1267">
        <v>1</v>
      </c>
      <c r="G1267" t="s">
        <v>17</v>
      </c>
      <c r="H1267" s="6">
        <v>0.85</v>
      </c>
      <c r="I1267" s="8">
        <v>-1.086178085461924E-2</v>
      </c>
      <c r="J1267" s="5">
        <f t="shared" si="228"/>
        <v>1.8209321594669165E-2</v>
      </c>
      <c r="K1267" s="5" cm="1">
        <f t="array" ref="K1267">_xlfn.STDEV.S(IF($C:$C=C1267,$I:$I))</f>
        <v>0.22834931756330515</v>
      </c>
      <c r="L1267" s="7">
        <f t="shared" si="231"/>
        <v>-0.12730978467333953</v>
      </c>
      <c r="M1267">
        <f t="shared" si="229"/>
        <v>0</v>
      </c>
      <c r="N1267" s="9">
        <f t="shared" si="232"/>
        <v>2.5058823529411748E-2</v>
      </c>
      <c r="O1267">
        <f>COUNTIFS($B$2:B1267,B1267,$C$2:C1267,C1267,$D$2:D1267,"&lt;"&amp;D1267,$F$2:F1267,1)</f>
        <v>1</v>
      </c>
      <c r="P1267">
        <f t="shared" si="230"/>
        <v>-1</v>
      </c>
      <c r="Q1267" t="str">
        <f t="shared" si="233"/>
        <v>Monitor</v>
      </c>
      <c r="R1267">
        <v>1</v>
      </c>
      <c r="S1267">
        <f t="shared" si="234"/>
        <v>0</v>
      </c>
      <c r="T1267">
        <f t="shared" si="235"/>
        <v>0</v>
      </c>
      <c r="U1267" t="str">
        <f t="shared" si="236"/>
        <v>Not Improved Enough</v>
      </c>
      <c r="V1267" t="str">
        <f t="shared" si="237"/>
        <v>Far</v>
      </c>
      <c r="W1267" t="str">
        <f t="shared" si="238"/>
        <v>Normal</v>
      </c>
      <c r="X1267" t="str">
        <f t="shared" si="239"/>
        <v>Allowed</v>
      </c>
    </row>
    <row r="1268" spans="1:24" x14ac:dyDescent="0.3">
      <c r="A1268" t="s">
        <v>23</v>
      </c>
      <c r="B1268" t="s">
        <v>33</v>
      </c>
      <c r="C1268" t="s">
        <v>26</v>
      </c>
      <c r="D1268" s="3">
        <v>45596</v>
      </c>
      <c r="E1268" s="6">
        <v>0.82720000000000005</v>
      </c>
      <c r="F1268">
        <v>1</v>
      </c>
      <c r="G1268" t="s">
        <v>17</v>
      </c>
      <c r="H1268" s="6">
        <v>0.85</v>
      </c>
      <c r="I1268" s="8">
        <v>-1.810063955593032E-3</v>
      </c>
      <c r="J1268" s="5">
        <f t="shared" si="228"/>
        <v>1.8209321594669165E-2</v>
      </c>
      <c r="K1268" s="5" cm="1">
        <f t="array" ref="K1268">_xlfn.STDEV.S(IF($C:$C=C1268,$I:$I))</f>
        <v>0.22834931756330515</v>
      </c>
      <c r="L1268" s="7">
        <f t="shared" si="231"/>
        <v>-8.7670003851499298E-2</v>
      </c>
      <c r="M1268">
        <f t="shared" si="229"/>
        <v>0</v>
      </c>
      <c r="N1268" s="9">
        <f t="shared" si="232"/>
        <v>2.6823529411764625E-2</v>
      </c>
      <c r="O1268">
        <f>COUNTIFS($B$2:B1268,B1268,$C$2:C1268,C1268,$D$2:D1268,"&lt;"&amp;D1268,$F$2:F1268,1)</f>
        <v>2</v>
      </c>
      <c r="P1268">
        <f t="shared" si="230"/>
        <v>-1</v>
      </c>
      <c r="Q1268" t="str">
        <f t="shared" si="233"/>
        <v>Monitor</v>
      </c>
      <c r="R1268">
        <v>1</v>
      </c>
      <c r="S1268">
        <f t="shared" si="234"/>
        <v>0</v>
      </c>
      <c r="T1268">
        <f t="shared" si="235"/>
        <v>0</v>
      </c>
      <c r="U1268" t="str">
        <f t="shared" si="236"/>
        <v>Not Improved Enough</v>
      </c>
      <c r="V1268" t="str">
        <f t="shared" si="237"/>
        <v>Far</v>
      </c>
      <c r="W1268" t="str">
        <f t="shared" si="238"/>
        <v>Normal</v>
      </c>
      <c r="X1268" t="str">
        <f t="shared" si="239"/>
        <v>Allowed</v>
      </c>
    </row>
    <row r="1269" spans="1:24" x14ac:dyDescent="0.3">
      <c r="A1269" t="s">
        <v>23</v>
      </c>
      <c r="B1269" t="s">
        <v>33</v>
      </c>
      <c r="C1269" t="s">
        <v>26</v>
      </c>
      <c r="D1269" s="3">
        <v>45626</v>
      </c>
      <c r="E1269" s="6">
        <v>0.81679999999999997</v>
      </c>
      <c r="F1269">
        <v>0</v>
      </c>
      <c r="G1269" t="s">
        <v>17</v>
      </c>
      <c r="H1269" s="6">
        <v>0.85</v>
      </c>
      <c r="I1269" s="8">
        <v>-1.257253384912969E-2</v>
      </c>
      <c r="J1269" s="5">
        <f t="shared" si="228"/>
        <v>1.8209321594669165E-2</v>
      </c>
      <c r="K1269" s="5" cm="1">
        <f t="array" ref="K1269">_xlfn.STDEV.S(IF($C:$C=C1269,$I:$I))</f>
        <v>0.22834931756330515</v>
      </c>
      <c r="L1269" s="7">
        <f t="shared" si="231"/>
        <v>-0.13480160909727798</v>
      </c>
      <c r="M1269">
        <f t="shared" si="229"/>
        <v>0</v>
      </c>
      <c r="N1269" s="9">
        <f t="shared" si="232"/>
        <v>3.9058823529411771E-2</v>
      </c>
      <c r="O1269">
        <f>COUNTIFS($B$2:B1269,B1269,$C$2:C1269,C1269,$D$2:D1269,"&lt;"&amp;D1269,$F$2:F1269,1)</f>
        <v>3</v>
      </c>
      <c r="P1269">
        <f t="shared" si="230"/>
        <v>-1</v>
      </c>
      <c r="Q1269" t="str">
        <f t="shared" si="233"/>
        <v>Monitor</v>
      </c>
      <c r="R1269">
        <v>1</v>
      </c>
      <c r="S1269">
        <f t="shared" si="234"/>
        <v>0</v>
      </c>
      <c r="T1269">
        <f t="shared" si="235"/>
        <v>0</v>
      </c>
      <c r="U1269" t="str">
        <f t="shared" si="236"/>
        <v>Not Improved Enough</v>
      </c>
      <c r="V1269" t="str">
        <f t="shared" si="237"/>
        <v>Far</v>
      </c>
      <c r="W1269" t="str">
        <f t="shared" si="238"/>
        <v>Normal</v>
      </c>
      <c r="X1269" t="str">
        <f t="shared" si="239"/>
        <v>Allowed</v>
      </c>
    </row>
    <row r="1270" spans="1:24" x14ac:dyDescent="0.3">
      <c r="A1270" t="s">
        <v>23</v>
      </c>
      <c r="B1270" t="s">
        <v>33</v>
      </c>
      <c r="C1270" t="s">
        <v>26</v>
      </c>
      <c r="D1270" s="3">
        <v>45657</v>
      </c>
      <c r="E1270" s="6">
        <v>0.83979999999999999</v>
      </c>
      <c r="F1270">
        <v>1</v>
      </c>
      <c r="G1270" t="s">
        <v>17</v>
      </c>
      <c r="H1270" s="6">
        <v>0.85</v>
      </c>
      <c r="I1270" s="8">
        <v>2.8158667972575931E-2</v>
      </c>
      <c r="J1270" s="5">
        <f t="shared" si="228"/>
        <v>1.8209321594669165E-2</v>
      </c>
      <c r="K1270" s="5" cm="1">
        <f t="array" ref="K1270">_xlfn.STDEV.S(IF($C:$C=C1270,$I:$I))</f>
        <v>0.22834931756330515</v>
      </c>
      <c r="L1270" s="7">
        <f t="shared" si="231"/>
        <v>4.3570729635084259E-2</v>
      </c>
      <c r="M1270">
        <f t="shared" si="229"/>
        <v>0</v>
      </c>
      <c r="N1270" s="9">
        <f t="shared" si="232"/>
        <v>1.1999999999999985E-2</v>
      </c>
      <c r="O1270">
        <f>COUNTIFS($B$2:B1270,B1270,$C$2:C1270,C1270,$D$2:D1270,"&lt;"&amp;D1270,$F$2:F1270,1)</f>
        <v>3</v>
      </c>
      <c r="P1270">
        <f t="shared" si="230"/>
        <v>0</v>
      </c>
      <c r="Q1270" t="str">
        <f t="shared" si="233"/>
        <v>Monitor</v>
      </c>
      <c r="R1270">
        <v>0</v>
      </c>
      <c r="S1270">
        <f t="shared" si="234"/>
        <v>0</v>
      </c>
      <c r="T1270">
        <f t="shared" si="235"/>
        <v>0</v>
      </c>
      <c r="U1270" t="str">
        <f t="shared" si="236"/>
        <v>Improved Enough</v>
      </c>
      <c r="V1270" t="str">
        <f t="shared" si="237"/>
        <v>Close</v>
      </c>
      <c r="W1270" t="str">
        <f t="shared" si="238"/>
        <v>Normal</v>
      </c>
      <c r="X1270" t="str">
        <f t="shared" si="239"/>
        <v>Allowed</v>
      </c>
    </row>
    <row r="1271" spans="1:24" x14ac:dyDescent="0.3">
      <c r="A1271" t="s">
        <v>23</v>
      </c>
      <c r="B1271" t="s">
        <v>33</v>
      </c>
      <c r="C1271" t="s">
        <v>26</v>
      </c>
      <c r="D1271" s="3">
        <v>45688</v>
      </c>
      <c r="E1271" s="6">
        <v>0.83919999999999995</v>
      </c>
      <c r="F1271">
        <v>1</v>
      </c>
      <c r="G1271" t="s">
        <v>17</v>
      </c>
      <c r="H1271" s="6">
        <v>0.85</v>
      </c>
      <c r="I1271" s="8">
        <v>-7.144558228150095E-4</v>
      </c>
      <c r="J1271" s="5">
        <f t="shared" si="228"/>
        <v>1.8209321594669165E-2</v>
      </c>
      <c r="K1271" s="5" cm="1">
        <f t="array" ref="K1271">_xlfn.STDEV.S(IF($C:$C=C1271,$I:$I))</f>
        <v>0.22834931756330515</v>
      </c>
      <c r="L1271" s="7">
        <f t="shared" si="231"/>
        <v>-8.287205593350612E-2</v>
      </c>
      <c r="M1271">
        <f t="shared" si="229"/>
        <v>0</v>
      </c>
      <c r="N1271" s="9">
        <f t="shared" si="232"/>
        <v>1.2705882352941214E-2</v>
      </c>
      <c r="O1271">
        <f>COUNTIFS($B$2:B1271,B1271,$C$2:C1271,C1271,$D$2:D1271,"&lt;"&amp;D1271,$F$2:F1271,1)</f>
        <v>4</v>
      </c>
      <c r="P1271">
        <f t="shared" si="230"/>
        <v>-1</v>
      </c>
      <c r="Q1271" t="str">
        <f t="shared" si="233"/>
        <v>Monitor</v>
      </c>
      <c r="R1271">
        <v>1</v>
      </c>
      <c r="S1271">
        <f t="shared" si="234"/>
        <v>0</v>
      </c>
      <c r="T1271">
        <f t="shared" si="235"/>
        <v>0</v>
      </c>
      <c r="U1271" t="str">
        <f t="shared" si="236"/>
        <v>Not Improved Enough</v>
      </c>
      <c r="V1271" t="str">
        <f t="shared" si="237"/>
        <v>Close</v>
      </c>
      <c r="W1271" t="str">
        <f t="shared" si="238"/>
        <v>Normal</v>
      </c>
      <c r="X1271" t="str">
        <f t="shared" si="239"/>
        <v>Allowed</v>
      </c>
    </row>
    <row r="1272" spans="1:24" x14ac:dyDescent="0.3">
      <c r="A1272" t="s">
        <v>23</v>
      </c>
      <c r="B1272" t="s">
        <v>33</v>
      </c>
      <c r="C1272" t="s">
        <v>26</v>
      </c>
      <c r="D1272" s="3">
        <v>45716</v>
      </c>
      <c r="E1272" s="6">
        <v>0.82450000000000001</v>
      </c>
      <c r="F1272">
        <v>1</v>
      </c>
      <c r="G1272" t="s">
        <v>17</v>
      </c>
      <c r="H1272" s="6">
        <v>0.85</v>
      </c>
      <c r="I1272" s="8">
        <v>-1.751668255481403E-2</v>
      </c>
      <c r="J1272" s="5">
        <f t="shared" si="228"/>
        <v>1.8209321594669165E-2</v>
      </c>
      <c r="K1272" s="5" cm="1">
        <f t="array" ref="K1272">_xlfn.STDEV.S(IF($C:$C=C1272,$I:$I))</f>
        <v>0.22834931756330515</v>
      </c>
      <c r="L1272" s="7">
        <f t="shared" si="231"/>
        <v>-0.1564532994042292</v>
      </c>
      <c r="M1272">
        <f t="shared" si="229"/>
        <v>0</v>
      </c>
      <c r="N1272" s="9">
        <f t="shared" si="232"/>
        <v>2.9999999999999961E-2</v>
      </c>
      <c r="O1272">
        <f>COUNTIFS($B$2:B1272,B1272,$C$2:C1272,C1272,$D$2:D1272,"&lt;"&amp;D1272,$F$2:F1272,1)</f>
        <v>5</v>
      </c>
      <c r="P1272">
        <f t="shared" si="230"/>
        <v>-1</v>
      </c>
      <c r="Q1272" t="str">
        <f t="shared" si="233"/>
        <v>Monitor</v>
      </c>
      <c r="R1272">
        <v>1</v>
      </c>
      <c r="S1272">
        <f t="shared" si="234"/>
        <v>0</v>
      </c>
      <c r="T1272">
        <f t="shared" si="235"/>
        <v>0</v>
      </c>
      <c r="U1272" t="str">
        <f t="shared" si="236"/>
        <v>Not Improved Enough</v>
      </c>
      <c r="V1272" t="str">
        <f t="shared" si="237"/>
        <v>Far</v>
      </c>
      <c r="W1272" t="str">
        <f t="shared" si="238"/>
        <v>Normal</v>
      </c>
      <c r="X1272" t="str">
        <f t="shared" si="239"/>
        <v>Maxed Out</v>
      </c>
    </row>
    <row r="1273" spans="1:24" x14ac:dyDescent="0.3">
      <c r="A1273" t="s">
        <v>23</v>
      </c>
      <c r="B1273" t="s">
        <v>33</v>
      </c>
      <c r="C1273" t="s">
        <v>26</v>
      </c>
      <c r="D1273" s="3">
        <v>45747</v>
      </c>
      <c r="E1273" s="6">
        <v>0.84240000000000004</v>
      </c>
      <c r="F1273">
        <v>1</v>
      </c>
      <c r="G1273" t="s">
        <v>17</v>
      </c>
      <c r="H1273" s="6">
        <v>0.85</v>
      </c>
      <c r="I1273" s="8">
        <v>2.171012734990907E-2</v>
      </c>
      <c r="J1273" s="5">
        <f t="shared" si="228"/>
        <v>1.8209321594669165E-2</v>
      </c>
      <c r="K1273" s="5" cm="1">
        <f t="array" ref="K1273">_xlfn.STDEV.S(IF($C:$C=C1273,$I:$I))</f>
        <v>0.22834931756330515</v>
      </c>
      <c r="L1273" s="7">
        <f t="shared" si="231"/>
        <v>1.5330922783552345E-2</v>
      </c>
      <c r="M1273">
        <f t="shared" si="229"/>
        <v>0</v>
      </c>
      <c r="N1273" s="9">
        <f t="shared" si="232"/>
        <v>8.9411764705881643E-3</v>
      </c>
      <c r="O1273">
        <f>COUNTIFS($B$2:B1273,B1273,$C$2:C1273,C1273,$D$2:D1273,"&lt;"&amp;D1273,$F$2:F1273,1)</f>
        <v>6</v>
      </c>
      <c r="P1273">
        <f t="shared" si="230"/>
        <v>1</v>
      </c>
      <c r="Q1273" t="str">
        <f t="shared" si="233"/>
        <v>Monitor</v>
      </c>
      <c r="R1273">
        <v>1</v>
      </c>
      <c r="S1273">
        <f t="shared" si="234"/>
        <v>0</v>
      </c>
      <c r="T1273">
        <f t="shared" si="235"/>
        <v>0</v>
      </c>
      <c r="U1273" t="str">
        <f t="shared" si="236"/>
        <v>Improved Enough</v>
      </c>
      <c r="V1273" t="str">
        <f t="shared" si="237"/>
        <v>Close</v>
      </c>
      <c r="W1273" t="str">
        <f t="shared" si="238"/>
        <v>Normal</v>
      </c>
      <c r="X1273" t="str">
        <f t="shared" si="239"/>
        <v>Maxed Out</v>
      </c>
    </row>
    <row r="1274" spans="1:24" x14ac:dyDescent="0.3">
      <c r="A1274" t="s">
        <v>23</v>
      </c>
      <c r="B1274" t="s">
        <v>33</v>
      </c>
      <c r="C1274" t="s">
        <v>26</v>
      </c>
      <c r="D1274" s="3">
        <v>45777</v>
      </c>
      <c r="E1274" s="6">
        <v>0.84750000000000003</v>
      </c>
      <c r="F1274">
        <v>1</v>
      </c>
      <c r="G1274" t="s">
        <v>17</v>
      </c>
      <c r="H1274" s="6">
        <v>0.85</v>
      </c>
      <c r="I1274" s="8">
        <v>6.0541310541310459E-3</v>
      </c>
      <c r="J1274" s="5">
        <f t="shared" si="228"/>
        <v>1.8209321594669165E-2</v>
      </c>
      <c r="K1274" s="5" cm="1">
        <f t="array" ref="K1274">_xlfn.STDEV.S(IF($C:$C=C1274,$I:$I))</f>
        <v>0.22834931756330515</v>
      </c>
      <c r="L1274" s="7">
        <f t="shared" si="231"/>
        <v>-5.3230684769479737E-2</v>
      </c>
      <c r="M1274">
        <f t="shared" si="229"/>
        <v>0</v>
      </c>
      <c r="N1274" s="9">
        <f t="shared" si="232"/>
        <v>2.9411764705881728E-3</v>
      </c>
      <c r="O1274">
        <f>COUNTIFS($B$2:B1274,B1274,$C$2:C1274,C1274,$D$2:D1274,"&lt;"&amp;D1274,$F$2:F1274,1)</f>
        <v>7</v>
      </c>
      <c r="P1274">
        <f t="shared" si="230"/>
        <v>1</v>
      </c>
      <c r="Q1274" t="str">
        <f t="shared" si="233"/>
        <v>Monitor</v>
      </c>
      <c r="R1274">
        <v>1</v>
      </c>
      <c r="S1274">
        <f t="shared" si="234"/>
        <v>0</v>
      </c>
      <c r="T1274">
        <f t="shared" si="235"/>
        <v>0</v>
      </c>
      <c r="U1274" t="str">
        <f t="shared" si="236"/>
        <v>Not Improved Enough</v>
      </c>
      <c r="V1274" t="str">
        <f t="shared" si="237"/>
        <v>Close</v>
      </c>
      <c r="W1274" t="str">
        <f t="shared" si="238"/>
        <v>Normal</v>
      </c>
      <c r="X1274" t="str">
        <f t="shared" si="239"/>
        <v>Maxed Out</v>
      </c>
    </row>
    <row r="1275" spans="1:24" x14ac:dyDescent="0.3">
      <c r="A1275" t="s">
        <v>23</v>
      </c>
      <c r="B1275" t="s">
        <v>33</v>
      </c>
      <c r="C1275" t="s">
        <v>26</v>
      </c>
      <c r="D1275" s="3">
        <v>45808</v>
      </c>
      <c r="E1275" s="6">
        <v>0.79479999999999995</v>
      </c>
      <c r="F1275">
        <v>1</v>
      </c>
      <c r="G1275" t="s">
        <v>17</v>
      </c>
      <c r="H1275" s="6">
        <v>0.85</v>
      </c>
      <c r="I1275" s="8">
        <v>-6.2182890855457321E-2</v>
      </c>
      <c r="J1275" s="5">
        <f t="shared" si="228"/>
        <v>1.8209321594669165E-2</v>
      </c>
      <c r="K1275" s="5" cm="1">
        <f t="array" ref="K1275">_xlfn.STDEV.S(IF($C:$C=C1275,$I:$I))</f>
        <v>0.22834931756330515</v>
      </c>
      <c r="L1275" s="7">
        <f t="shared" si="231"/>
        <v>-0.35205803681825937</v>
      </c>
      <c r="M1275">
        <f t="shared" si="229"/>
        <v>0</v>
      </c>
      <c r="N1275" s="9">
        <f t="shared" si="232"/>
        <v>6.4941176470588266E-2</v>
      </c>
      <c r="O1275">
        <f>COUNTIFS($B$2:B1275,B1275,$C$2:C1275,C1275,$D$2:D1275,"&lt;"&amp;D1275,$F$2:F1275,1)</f>
        <v>8</v>
      </c>
      <c r="P1275">
        <f t="shared" si="230"/>
        <v>-1</v>
      </c>
      <c r="Q1275" t="str">
        <f t="shared" si="233"/>
        <v>Monitor</v>
      </c>
      <c r="R1275">
        <v>1</v>
      </c>
      <c r="S1275">
        <f t="shared" si="234"/>
        <v>0</v>
      </c>
      <c r="T1275">
        <f t="shared" si="235"/>
        <v>0</v>
      </c>
      <c r="U1275" t="str">
        <f t="shared" si="236"/>
        <v>Not Improved Enough</v>
      </c>
      <c r="V1275" t="str">
        <f t="shared" si="237"/>
        <v>Far</v>
      </c>
      <c r="W1275" t="str">
        <f t="shared" si="238"/>
        <v>Normal</v>
      </c>
      <c r="X1275" t="str">
        <f t="shared" si="239"/>
        <v>Maxed Out</v>
      </c>
    </row>
    <row r="1276" spans="1:24" x14ac:dyDescent="0.3">
      <c r="A1276" t="s">
        <v>23</v>
      </c>
      <c r="B1276" t="s">
        <v>33</v>
      </c>
      <c r="C1276" t="s">
        <v>26</v>
      </c>
      <c r="D1276" s="3">
        <v>45838</v>
      </c>
      <c r="E1276" s="6">
        <v>0.85229999999999995</v>
      </c>
      <c r="F1276">
        <v>1</v>
      </c>
      <c r="G1276" t="s">
        <v>17</v>
      </c>
      <c r="H1276" s="6">
        <v>0.85</v>
      </c>
      <c r="I1276" s="8">
        <v>7.2345244086562663E-2</v>
      </c>
      <c r="J1276" s="5">
        <f t="shared" si="228"/>
        <v>1.8209321594669165E-2</v>
      </c>
      <c r="K1276" s="5" cm="1">
        <f t="array" ref="K1276">_xlfn.STDEV.S(IF($C:$C=C1276,$I:$I))</f>
        <v>0.22834931756330515</v>
      </c>
      <c r="L1276" s="7">
        <f t="shared" si="231"/>
        <v>0.23707503516793052</v>
      </c>
      <c r="M1276">
        <f t="shared" si="229"/>
        <v>0</v>
      </c>
      <c r="N1276" s="9">
        <f t="shared" si="232"/>
        <v>-2.7058823529411396E-3</v>
      </c>
      <c r="O1276">
        <f>COUNTIFS($B$2:B1276,B1276,$C$2:C1276,C1276,$D$2:D1276,"&lt;"&amp;D1276,$F$2:F1276,1)</f>
        <v>9</v>
      </c>
      <c r="P1276">
        <f t="shared" si="230"/>
        <v>1</v>
      </c>
      <c r="Q1276" t="str">
        <f t="shared" si="233"/>
        <v>Monitor</v>
      </c>
      <c r="R1276">
        <v>1</v>
      </c>
      <c r="S1276">
        <f t="shared" si="234"/>
        <v>0</v>
      </c>
      <c r="T1276">
        <f t="shared" si="235"/>
        <v>0</v>
      </c>
      <c r="U1276" t="str">
        <f t="shared" si="236"/>
        <v>Improved Enough</v>
      </c>
      <c r="V1276" t="str">
        <f t="shared" si="237"/>
        <v>Close</v>
      </c>
      <c r="W1276" t="str">
        <f t="shared" si="238"/>
        <v>Normal</v>
      </c>
      <c r="X1276" t="str">
        <f t="shared" si="239"/>
        <v>Maxed Out</v>
      </c>
    </row>
    <row r="1277" spans="1:24" x14ac:dyDescent="0.3">
      <c r="A1277" t="s">
        <v>23</v>
      </c>
      <c r="B1277" t="s">
        <v>33</v>
      </c>
      <c r="C1277" t="s">
        <v>26</v>
      </c>
      <c r="D1277" s="3">
        <v>45869</v>
      </c>
      <c r="E1277" s="6">
        <v>0.81499999999999995</v>
      </c>
      <c r="F1277">
        <v>0</v>
      </c>
      <c r="G1277" t="s">
        <v>17</v>
      </c>
      <c r="H1277" s="6">
        <v>0.85</v>
      </c>
      <c r="I1277" s="8">
        <v>-4.3763932887480927E-2</v>
      </c>
      <c r="J1277" s="5">
        <f t="shared" si="228"/>
        <v>1.8209321594669165E-2</v>
      </c>
      <c r="K1277" s="5" cm="1">
        <f t="array" ref="K1277">_xlfn.STDEV.S(IF($C:$C=C1277,$I:$I))</f>
        <v>0.22834931756330515</v>
      </c>
      <c r="L1277" s="7">
        <f t="shared" si="231"/>
        <v>-0.27139671422477224</v>
      </c>
      <c r="M1277">
        <f t="shared" si="229"/>
        <v>0</v>
      </c>
      <c r="N1277" s="9">
        <f t="shared" si="232"/>
        <v>4.1176470588235335E-2</v>
      </c>
      <c r="O1277">
        <f>COUNTIFS($B$2:B1277,B1277,$C$2:C1277,C1277,$D$2:D1277,"&lt;"&amp;D1277,$F$2:F1277,1)</f>
        <v>10</v>
      </c>
      <c r="P1277">
        <f t="shared" si="230"/>
        <v>-1</v>
      </c>
      <c r="Q1277" t="str">
        <f t="shared" si="233"/>
        <v>Monitor</v>
      </c>
      <c r="R1277">
        <v>1</v>
      </c>
      <c r="S1277">
        <f t="shared" si="234"/>
        <v>0</v>
      </c>
      <c r="T1277">
        <f t="shared" si="235"/>
        <v>0</v>
      </c>
      <c r="U1277" t="str">
        <f t="shared" si="236"/>
        <v>Not Improved Enough</v>
      </c>
      <c r="V1277" t="str">
        <f t="shared" si="237"/>
        <v>Far</v>
      </c>
      <c r="W1277" t="str">
        <f t="shared" si="238"/>
        <v>Normal</v>
      </c>
      <c r="X1277" t="str">
        <f t="shared" si="239"/>
        <v>Maxed Out</v>
      </c>
    </row>
    <row r="1278" spans="1:24" x14ac:dyDescent="0.3">
      <c r="A1278" t="s">
        <v>23</v>
      </c>
      <c r="B1278" t="s">
        <v>33</v>
      </c>
      <c r="C1278" t="s">
        <v>26</v>
      </c>
      <c r="D1278" s="3">
        <v>45900</v>
      </c>
      <c r="E1278" s="6">
        <v>0.84099999999999997</v>
      </c>
      <c r="F1278">
        <v>0</v>
      </c>
      <c r="G1278" t="s">
        <v>17</v>
      </c>
      <c r="H1278" s="6">
        <v>0.85</v>
      </c>
      <c r="I1278" s="8">
        <v>3.1901840490797577E-2</v>
      </c>
      <c r="J1278" s="5">
        <f t="shared" si="228"/>
        <v>1.8209321594669165E-2</v>
      </c>
      <c r="K1278" s="5" cm="1">
        <f t="array" ref="K1278">_xlfn.STDEV.S(IF($C:$C=C1278,$I:$I))</f>
        <v>0.22834931756330515</v>
      </c>
      <c r="L1278" s="7">
        <f t="shared" si="231"/>
        <v>5.9963038393282882E-2</v>
      </c>
      <c r="M1278">
        <f t="shared" si="229"/>
        <v>0</v>
      </c>
      <c r="N1278" s="9">
        <f t="shared" si="232"/>
        <v>1.0588235294117657E-2</v>
      </c>
      <c r="O1278">
        <f>COUNTIFS($B$2:B1278,B1278,$C$2:C1278,C1278,$D$2:D1278,"&lt;"&amp;D1278,$F$2:F1278,1)</f>
        <v>10</v>
      </c>
      <c r="P1278">
        <f t="shared" si="230"/>
        <v>0</v>
      </c>
      <c r="Q1278" t="str">
        <f t="shared" si="233"/>
        <v>Monitor</v>
      </c>
      <c r="R1278">
        <v>0</v>
      </c>
      <c r="S1278">
        <f t="shared" si="234"/>
        <v>0</v>
      </c>
      <c r="T1278">
        <f t="shared" si="235"/>
        <v>0</v>
      </c>
      <c r="U1278" t="str">
        <f t="shared" si="236"/>
        <v>Improved Enough</v>
      </c>
      <c r="V1278" t="str">
        <f t="shared" si="237"/>
        <v>Close</v>
      </c>
      <c r="W1278" t="str">
        <f t="shared" si="238"/>
        <v>Normal</v>
      </c>
      <c r="X1278" t="str">
        <f t="shared" si="239"/>
        <v>Maxed Out</v>
      </c>
    </row>
    <row r="1279" spans="1:24" x14ac:dyDescent="0.3">
      <c r="A1279" t="s">
        <v>23</v>
      </c>
      <c r="B1279" t="s">
        <v>33</v>
      </c>
      <c r="C1279" t="s">
        <v>26</v>
      </c>
      <c r="D1279" s="3">
        <v>45930</v>
      </c>
      <c r="E1279" s="6">
        <v>0.80600000000000005</v>
      </c>
      <c r="F1279">
        <v>1</v>
      </c>
      <c r="G1279" t="s">
        <v>17</v>
      </c>
      <c r="H1279" s="6">
        <v>0.85</v>
      </c>
      <c r="I1279" s="8">
        <v>-4.1617122473246039E-2</v>
      </c>
      <c r="J1279" s="5">
        <f t="shared" si="228"/>
        <v>1.8209321594669165E-2</v>
      </c>
      <c r="K1279" s="5" cm="1">
        <f t="array" ref="K1279">_xlfn.STDEV.S(IF($C:$C=C1279,$I:$I))</f>
        <v>0.22834931756330515</v>
      </c>
      <c r="L1279" s="7">
        <f t="shared" si="231"/>
        <v>-0.26199528295647112</v>
      </c>
      <c r="M1279">
        <f t="shared" si="229"/>
        <v>0</v>
      </c>
      <c r="N1279" s="9">
        <f t="shared" si="232"/>
        <v>5.1764705882352859E-2</v>
      </c>
      <c r="O1279">
        <f>COUNTIFS($B$2:B1279,B1279,$C$2:C1279,C1279,$D$2:D1279,"&lt;"&amp;D1279,$F$2:F1279,1)</f>
        <v>10</v>
      </c>
      <c r="P1279">
        <f t="shared" si="230"/>
        <v>0</v>
      </c>
      <c r="Q1279" t="str">
        <f t="shared" si="233"/>
        <v>Monitor</v>
      </c>
      <c r="R1279">
        <v>0</v>
      </c>
      <c r="S1279">
        <f t="shared" si="234"/>
        <v>0</v>
      </c>
      <c r="T1279">
        <f t="shared" si="235"/>
        <v>0</v>
      </c>
      <c r="U1279" t="str">
        <f t="shared" si="236"/>
        <v>Not Improved Enough</v>
      </c>
      <c r="V1279" t="str">
        <f t="shared" si="237"/>
        <v>Far</v>
      </c>
      <c r="W1279" t="str">
        <f t="shared" si="238"/>
        <v>Normal</v>
      </c>
      <c r="X1279" t="str">
        <f t="shared" si="239"/>
        <v>Maxed Out</v>
      </c>
    </row>
    <row r="1280" spans="1:24" x14ac:dyDescent="0.3">
      <c r="A1280" t="s">
        <v>23</v>
      </c>
      <c r="B1280" t="s">
        <v>33</v>
      </c>
      <c r="C1280" t="s">
        <v>26</v>
      </c>
      <c r="D1280" s="3">
        <v>45961</v>
      </c>
      <c r="E1280" s="6">
        <v>0.85199999999999998</v>
      </c>
      <c r="F1280">
        <v>0</v>
      </c>
      <c r="G1280" t="s">
        <v>17</v>
      </c>
      <c r="H1280" s="6">
        <v>0.85</v>
      </c>
      <c r="I1280" s="8">
        <v>5.7071960297766663E-2</v>
      </c>
      <c r="J1280" s="5">
        <f t="shared" si="228"/>
        <v>1.8209321594669165E-2</v>
      </c>
      <c r="K1280" s="5" cm="1">
        <f t="array" ref="K1280">_xlfn.STDEV.S(IF($C:$C=C1280,$I:$I))</f>
        <v>0.22834931756330515</v>
      </c>
      <c r="L1280" s="7">
        <f t="shared" si="231"/>
        <v>0.17018942345787233</v>
      </c>
      <c r="M1280">
        <f t="shared" si="229"/>
        <v>0</v>
      </c>
      <c r="N1280" s="9">
        <f t="shared" si="232"/>
        <v>-2.3529411764705902E-3</v>
      </c>
      <c r="O1280">
        <f>COUNTIFS($B$2:B1280,B1280,$C$2:C1280,C1280,$D$2:D1280,"&lt;"&amp;D1280,$F$2:F1280,1)</f>
        <v>11</v>
      </c>
      <c r="P1280">
        <f t="shared" si="230"/>
        <v>1</v>
      </c>
      <c r="Q1280" t="str">
        <f t="shared" si="233"/>
        <v>Monitor</v>
      </c>
      <c r="R1280">
        <v>1</v>
      </c>
      <c r="S1280">
        <f t="shared" si="234"/>
        <v>0</v>
      </c>
      <c r="T1280">
        <f t="shared" si="235"/>
        <v>0</v>
      </c>
      <c r="U1280" t="str">
        <f t="shared" si="236"/>
        <v>Improved Enough</v>
      </c>
      <c r="V1280" t="str">
        <f t="shared" si="237"/>
        <v>Close</v>
      </c>
      <c r="W1280" t="str">
        <f t="shared" si="238"/>
        <v>Normal</v>
      </c>
      <c r="X1280" t="str">
        <f t="shared" si="239"/>
        <v>Maxed Out</v>
      </c>
    </row>
    <row r="1281" spans="1:24" x14ac:dyDescent="0.3">
      <c r="A1281" t="s">
        <v>23</v>
      </c>
      <c r="B1281" t="s">
        <v>33</v>
      </c>
      <c r="C1281" t="s">
        <v>26</v>
      </c>
      <c r="D1281" s="3">
        <v>45991</v>
      </c>
      <c r="E1281" s="6">
        <v>0.79900000000000004</v>
      </c>
      <c r="F1281">
        <v>0</v>
      </c>
      <c r="G1281" t="s">
        <v>17</v>
      </c>
      <c r="H1281" s="6">
        <v>0.85</v>
      </c>
      <c r="I1281" s="8">
        <v>-6.2206572769952978E-2</v>
      </c>
      <c r="J1281" s="5">
        <f t="shared" si="228"/>
        <v>1.8209321594669165E-2</v>
      </c>
      <c r="K1281" s="5" cm="1">
        <f t="array" ref="K1281">_xlfn.STDEV.S(IF($C:$C=C1281,$I:$I))</f>
        <v>0.22834931756330515</v>
      </c>
      <c r="L1281" s="7">
        <f t="shared" si="231"/>
        <v>-0.35216174597206096</v>
      </c>
      <c r="M1281">
        <f t="shared" si="229"/>
        <v>0</v>
      </c>
      <c r="N1281" s="9">
        <f t="shared" si="232"/>
        <v>5.9999999999999921E-2</v>
      </c>
      <c r="O1281">
        <f>COUNTIFS($B$2:B1281,B1281,$C$2:C1281,C1281,$D$2:D1281,"&lt;"&amp;D1281,$F$2:F1281,1)</f>
        <v>11</v>
      </c>
      <c r="P1281">
        <f t="shared" si="230"/>
        <v>0</v>
      </c>
      <c r="Q1281" t="str">
        <f t="shared" si="233"/>
        <v>Monitor</v>
      </c>
      <c r="R1281">
        <v>0</v>
      </c>
      <c r="S1281">
        <f t="shared" si="234"/>
        <v>0</v>
      </c>
      <c r="T1281">
        <f t="shared" si="235"/>
        <v>0</v>
      </c>
      <c r="U1281" t="str">
        <f t="shared" si="236"/>
        <v>Not Improved Enough</v>
      </c>
      <c r="V1281" t="str">
        <f t="shared" si="237"/>
        <v>Far</v>
      </c>
      <c r="W1281" t="str">
        <f t="shared" si="238"/>
        <v>Normal</v>
      </c>
      <c r="X1281" t="str">
        <f t="shared" si="239"/>
        <v>Maxed Out</v>
      </c>
    </row>
    <row r="1282" spans="1:24" x14ac:dyDescent="0.3">
      <c r="A1282" t="s">
        <v>23</v>
      </c>
      <c r="B1282" t="s">
        <v>33</v>
      </c>
      <c r="C1282" t="s">
        <v>27</v>
      </c>
      <c r="D1282" s="3">
        <v>45535</v>
      </c>
      <c r="E1282" s="6">
        <v>0.67390000000000005</v>
      </c>
      <c r="F1282">
        <v>0</v>
      </c>
      <c r="G1282" t="s">
        <v>17</v>
      </c>
      <c r="H1282" s="6">
        <v>0.7</v>
      </c>
      <c r="I1282" s="8">
        <v>-5.7877813504823128E-2</v>
      </c>
      <c r="J1282" s="5">
        <f t="shared" ref="J1282:J1297" si="240">AVERAGEIF($C:$C,C1282,$I:$I)</f>
        <v>1.9288787744816144E-2</v>
      </c>
      <c r="K1282" s="5" cm="1">
        <f t="array" ref="K1282">_xlfn.STDEV.S(IF($C:$C=C1282,$I:$I))</f>
        <v>0.27585788879837708</v>
      </c>
      <c r="L1282" s="7">
        <f t="shared" si="231"/>
        <v>-0.27973316835626144</v>
      </c>
      <c r="M1282">
        <f t="shared" ref="M1282:M1297" si="241">IF(L1282&lt;=-$Z$4,1,IF(L1282&gt;=$Z$4,-1,0))</f>
        <v>0</v>
      </c>
      <c r="N1282" s="9">
        <f t="shared" si="232"/>
        <v>3.7285714285714144E-2</v>
      </c>
      <c r="O1282">
        <f>COUNTIFS($B$2:B1282,B1282,$C$2:C1282,C1282,$D$2:D1282,"&lt;"&amp;D1282,$F$2:F1282,1)</f>
        <v>0</v>
      </c>
      <c r="P1282">
        <f t="shared" ref="P1282:P1297" si="242">IF(AND(R1282=1,I1282&gt;0),1,IF(R1282=1,-1,0))</f>
        <v>0</v>
      </c>
      <c r="Q1282" t="str">
        <f t="shared" si="233"/>
        <v>Monitor</v>
      </c>
      <c r="R1282">
        <v>0</v>
      </c>
      <c r="S1282">
        <f t="shared" si="234"/>
        <v>0</v>
      </c>
      <c r="T1282">
        <f t="shared" si="235"/>
        <v>0</v>
      </c>
      <c r="U1282" t="str">
        <f t="shared" si="236"/>
        <v>Not Improved Enough</v>
      </c>
      <c r="V1282" t="str">
        <f t="shared" si="237"/>
        <v>Far</v>
      </c>
      <c r="W1282" t="str">
        <f t="shared" si="238"/>
        <v>Normal</v>
      </c>
      <c r="X1282" t="str">
        <f t="shared" si="239"/>
        <v>Allowed</v>
      </c>
    </row>
    <row r="1283" spans="1:24" x14ac:dyDescent="0.3">
      <c r="A1283" t="s">
        <v>23</v>
      </c>
      <c r="B1283" t="s">
        <v>33</v>
      </c>
      <c r="C1283" t="s">
        <v>27</v>
      </c>
      <c r="D1283" s="3">
        <v>45565</v>
      </c>
      <c r="E1283" s="6">
        <v>0.66790000000000005</v>
      </c>
      <c r="F1283">
        <v>1</v>
      </c>
      <c r="G1283" t="s">
        <v>17</v>
      </c>
      <c r="H1283" s="6">
        <v>0.7</v>
      </c>
      <c r="I1283" s="8">
        <v>-8.9033981302863996E-3</v>
      </c>
      <c r="J1283" s="5">
        <f t="shared" si="240"/>
        <v>1.9288787744816144E-2</v>
      </c>
      <c r="K1283" s="5" cm="1">
        <f t="array" ref="K1283">_xlfn.STDEV.S(IF($C:$C=C1283,$I:$I))</f>
        <v>0.27585788879837708</v>
      </c>
      <c r="L1283" s="7">
        <f t="shared" ref="L1283:L1297" si="243">IFERROR((I1283-J1283)/K1283,0)</f>
        <v>-0.10219822241773208</v>
      </c>
      <c r="M1283">
        <f t="shared" si="241"/>
        <v>0</v>
      </c>
      <c r="N1283" s="9">
        <f t="shared" ref="N1283:N1297" si="244">IFERROR(IF(G1283="DOWN",(E1283-H1283)/H1283,(H1283-E1283)/H1283),0)</f>
        <v>4.5857142857142728E-2</v>
      </c>
      <c r="O1283">
        <f>COUNTIFS($B$2:B1283,B1283,$C$2:C1283,C1283,$D$2:D1283,"&lt;"&amp;D1283,$F$2:F1283,1)</f>
        <v>0</v>
      </c>
      <c r="P1283">
        <f t="shared" si="242"/>
        <v>0</v>
      </c>
      <c r="Q1283" t="str">
        <f t="shared" ref="Q1283:Q1297" si="245">IF(I1283&gt;=$Z$1,"Monitor",IF(AND(N1283&gt;=$Z$2,L1283&lt;=-$Z$4),IF(O1283&lt;$Z$3,"Intervene","Escalate / Bigger Fix"),"Monitor"))</f>
        <v>Monitor</v>
      </c>
      <c r="R1283">
        <v>0</v>
      </c>
      <c r="S1283">
        <f t="shared" ref="S1283:S1297" si="246">IF(Q1283="Intervene",1,IF(Q1283="Escalate / Bigger Fix",-1,0))</f>
        <v>0</v>
      </c>
      <c r="T1283">
        <f t="shared" ref="T1283:T1297" si="247">IF(Q1283="Intervene",1,0)</f>
        <v>0</v>
      </c>
      <c r="U1283" t="str">
        <f t="shared" ref="U1283:U1297" si="248">IF(I1283&gt;=$Z$1,"Improved Enough","Not Improved Enough")</f>
        <v>Not Improved Enough</v>
      </c>
      <c r="V1283" t="str">
        <f t="shared" ref="V1283:V1297" si="249">IF(N1283&gt;=$Z$2,"Far","Close")</f>
        <v>Far</v>
      </c>
      <c r="W1283" t="str">
        <f t="shared" ref="W1283:W1297" si="250">IF(L1283&lt;=-$Z$4,"Abnormal","Normal")</f>
        <v>Normal</v>
      </c>
      <c r="X1283" t="str">
        <f t="shared" ref="X1283:X1297" si="251">IF(O1283&lt;$Z$3,"Allowed","Maxed Out")</f>
        <v>Allowed</v>
      </c>
    </row>
    <row r="1284" spans="1:24" x14ac:dyDescent="0.3">
      <c r="A1284" t="s">
        <v>23</v>
      </c>
      <c r="B1284" t="s">
        <v>33</v>
      </c>
      <c r="C1284" t="s">
        <v>27</v>
      </c>
      <c r="D1284" s="3">
        <v>45596</v>
      </c>
      <c r="E1284" s="6">
        <v>0.70789999999999997</v>
      </c>
      <c r="F1284">
        <v>0</v>
      </c>
      <c r="G1284" t="s">
        <v>17</v>
      </c>
      <c r="H1284" s="6">
        <v>0.7</v>
      </c>
      <c r="I1284" s="8">
        <v>5.9889204970803897E-2</v>
      </c>
      <c r="J1284" s="5">
        <f t="shared" si="240"/>
        <v>1.9288787744816144E-2</v>
      </c>
      <c r="K1284" s="5" cm="1">
        <f t="array" ref="K1284">_xlfn.STDEV.S(IF($C:$C=C1284,$I:$I))</f>
        <v>0.27585788879837708</v>
      </c>
      <c r="L1284" s="7">
        <f t="shared" si="243"/>
        <v>0.14717874265927686</v>
      </c>
      <c r="M1284">
        <f t="shared" si="241"/>
        <v>0</v>
      </c>
      <c r="N1284" s="9">
        <f t="shared" si="244"/>
        <v>-1.1285714285714312E-2</v>
      </c>
      <c r="O1284">
        <f>COUNTIFS($B$2:B1284,B1284,$C$2:C1284,C1284,$D$2:D1284,"&lt;"&amp;D1284,$F$2:F1284,1)</f>
        <v>1</v>
      </c>
      <c r="P1284">
        <f t="shared" si="242"/>
        <v>1</v>
      </c>
      <c r="Q1284" t="str">
        <f t="shared" si="245"/>
        <v>Monitor</v>
      </c>
      <c r="R1284">
        <v>1</v>
      </c>
      <c r="S1284">
        <f t="shared" si="246"/>
        <v>0</v>
      </c>
      <c r="T1284">
        <f t="shared" si="247"/>
        <v>0</v>
      </c>
      <c r="U1284" t="str">
        <f t="shared" si="248"/>
        <v>Improved Enough</v>
      </c>
      <c r="V1284" t="str">
        <f t="shared" si="249"/>
        <v>Close</v>
      </c>
      <c r="W1284" t="str">
        <f t="shared" si="250"/>
        <v>Normal</v>
      </c>
      <c r="X1284" t="str">
        <f t="shared" si="251"/>
        <v>Allowed</v>
      </c>
    </row>
    <row r="1285" spans="1:24" x14ac:dyDescent="0.3">
      <c r="A1285" t="s">
        <v>23</v>
      </c>
      <c r="B1285" t="s">
        <v>33</v>
      </c>
      <c r="C1285" t="s">
        <v>27</v>
      </c>
      <c r="D1285" s="3">
        <v>45626</v>
      </c>
      <c r="E1285" s="6">
        <v>0.72589999999999999</v>
      </c>
      <c r="F1285">
        <v>0</v>
      </c>
      <c r="G1285" t="s">
        <v>17</v>
      </c>
      <c r="H1285" s="6">
        <v>0.7</v>
      </c>
      <c r="I1285" s="8">
        <v>2.5427320242972191E-2</v>
      </c>
      <c r="J1285" s="5">
        <f t="shared" si="240"/>
        <v>1.9288787744816144E-2</v>
      </c>
      <c r="K1285" s="5" cm="1">
        <f t="array" ref="K1285">_xlfn.STDEV.S(IF($C:$C=C1285,$I:$I))</f>
        <v>0.27585788879837708</v>
      </c>
      <c r="L1285" s="7">
        <f t="shared" si="243"/>
        <v>2.2252517500569519E-2</v>
      </c>
      <c r="M1285">
        <f t="shared" si="241"/>
        <v>0</v>
      </c>
      <c r="N1285" s="9">
        <f t="shared" si="244"/>
        <v>-3.7000000000000054E-2</v>
      </c>
      <c r="O1285">
        <f>COUNTIFS($B$2:B1285,B1285,$C$2:C1285,C1285,$D$2:D1285,"&lt;"&amp;D1285,$F$2:F1285,1)</f>
        <v>1</v>
      </c>
      <c r="P1285">
        <f t="shared" si="242"/>
        <v>0</v>
      </c>
      <c r="Q1285" t="str">
        <f t="shared" si="245"/>
        <v>Monitor</v>
      </c>
      <c r="R1285">
        <v>0</v>
      </c>
      <c r="S1285">
        <f t="shared" si="246"/>
        <v>0</v>
      </c>
      <c r="T1285">
        <f t="shared" si="247"/>
        <v>0</v>
      </c>
      <c r="U1285" t="str">
        <f t="shared" si="248"/>
        <v>Improved Enough</v>
      </c>
      <c r="V1285" t="str">
        <f t="shared" si="249"/>
        <v>Close</v>
      </c>
      <c r="W1285" t="str">
        <f t="shared" si="250"/>
        <v>Normal</v>
      </c>
      <c r="X1285" t="str">
        <f t="shared" si="251"/>
        <v>Allowed</v>
      </c>
    </row>
    <row r="1286" spans="1:24" x14ac:dyDescent="0.3">
      <c r="A1286" t="s">
        <v>23</v>
      </c>
      <c r="B1286" t="s">
        <v>33</v>
      </c>
      <c r="C1286" t="s">
        <v>27</v>
      </c>
      <c r="D1286" s="3">
        <v>45657</v>
      </c>
      <c r="E1286" s="6">
        <v>0.70020000000000004</v>
      </c>
      <c r="F1286">
        <v>1</v>
      </c>
      <c r="G1286" t="s">
        <v>17</v>
      </c>
      <c r="H1286" s="6">
        <v>0.7</v>
      </c>
      <c r="I1286" s="8">
        <v>-3.5404325664692031E-2</v>
      </c>
      <c r="J1286" s="5">
        <f t="shared" si="240"/>
        <v>1.9288787744816144E-2</v>
      </c>
      <c r="K1286" s="5" cm="1">
        <f t="array" ref="K1286">_xlfn.STDEV.S(IF($C:$C=C1286,$I:$I))</f>
        <v>0.27585788879837708</v>
      </c>
      <c r="L1286" s="7">
        <f t="shared" si="243"/>
        <v>-0.19826554044819453</v>
      </c>
      <c r="M1286">
        <f t="shared" si="241"/>
        <v>0</v>
      </c>
      <c r="N1286" s="9">
        <f t="shared" si="244"/>
        <v>-2.8571428571441286E-4</v>
      </c>
      <c r="O1286">
        <f>COUNTIFS($B$2:B1286,B1286,$C$2:C1286,C1286,$D$2:D1286,"&lt;"&amp;D1286,$F$2:F1286,1)</f>
        <v>1</v>
      </c>
      <c r="P1286">
        <f t="shared" si="242"/>
        <v>0</v>
      </c>
      <c r="Q1286" t="str">
        <f t="shared" si="245"/>
        <v>Monitor</v>
      </c>
      <c r="R1286">
        <v>0</v>
      </c>
      <c r="S1286">
        <f t="shared" si="246"/>
        <v>0</v>
      </c>
      <c r="T1286">
        <f t="shared" si="247"/>
        <v>0</v>
      </c>
      <c r="U1286" t="str">
        <f t="shared" si="248"/>
        <v>Not Improved Enough</v>
      </c>
      <c r="V1286" t="str">
        <f t="shared" si="249"/>
        <v>Close</v>
      </c>
      <c r="W1286" t="str">
        <f t="shared" si="250"/>
        <v>Normal</v>
      </c>
      <c r="X1286" t="str">
        <f t="shared" si="251"/>
        <v>Allowed</v>
      </c>
    </row>
    <row r="1287" spans="1:24" x14ac:dyDescent="0.3">
      <c r="A1287" t="s">
        <v>23</v>
      </c>
      <c r="B1287" t="s">
        <v>33</v>
      </c>
      <c r="C1287" t="s">
        <v>27</v>
      </c>
      <c r="D1287" s="3">
        <v>45688</v>
      </c>
      <c r="E1287" s="6">
        <v>0.6996</v>
      </c>
      <c r="F1287">
        <v>1</v>
      </c>
      <c r="G1287" t="s">
        <v>17</v>
      </c>
      <c r="H1287" s="6">
        <v>0.7</v>
      </c>
      <c r="I1287" s="8">
        <v>-8.5689802913459711E-4</v>
      </c>
      <c r="J1287" s="5">
        <f t="shared" si="240"/>
        <v>1.9288787744816144E-2</v>
      </c>
      <c r="K1287" s="5" cm="1">
        <f t="array" ref="K1287">_xlfn.STDEV.S(IF($C:$C=C1287,$I:$I))</f>
        <v>0.27585788879837708</v>
      </c>
      <c r="L1287" s="7">
        <f t="shared" si="243"/>
        <v>-7.3029217550037523E-2</v>
      </c>
      <c r="M1287">
        <f t="shared" si="241"/>
        <v>0</v>
      </c>
      <c r="N1287" s="9">
        <f t="shared" si="244"/>
        <v>5.7142857142850848E-4</v>
      </c>
      <c r="O1287">
        <f>COUNTIFS($B$2:B1287,B1287,$C$2:C1287,C1287,$D$2:D1287,"&lt;"&amp;D1287,$F$2:F1287,1)</f>
        <v>2</v>
      </c>
      <c r="P1287">
        <f t="shared" si="242"/>
        <v>-1</v>
      </c>
      <c r="Q1287" t="str">
        <f t="shared" si="245"/>
        <v>Monitor</v>
      </c>
      <c r="R1287">
        <v>1</v>
      </c>
      <c r="S1287">
        <f t="shared" si="246"/>
        <v>0</v>
      </c>
      <c r="T1287">
        <f t="shared" si="247"/>
        <v>0</v>
      </c>
      <c r="U1287" t="str">
        <f t="shared" si="248"/>
        <v>Not Improved Enough</v>
      </c>
      <c r="V1287" t="str">
        <f t="shared" si="249"/>
        <v>Close</v>
      </c>
      <c r="W1287" t="str">
        <f t="shared" si="250"/>
        <v>Normal</v>
      </c>
      <c r="X1287" t="str">
        <f t="shared" si="251"/>
        <v>Allowed</v>
      </c>
    </row>
    <row r="1288" spans="1:24" x14ac:dyDescent="0.3">
      <c r="A1288" t="s">
        <v>23</v>
      </c>
      <c r="B1288" t="s">
        <v>33</v>
      </c>
      <c r="C1288" t="s">
        <v>27</v>
      </c>
      <c r="D1288" s="3">
        <v>45716</v>
      </c>
      <c r="E1288" s="6">
        <v>0.72540000000000004</v>
      </c>
      <c r="F1288">
        <v>1</v>
      </c>
      <c r="G1288" t="s">
        <v>17</v>
      </c>
      <c r="H1288" s="6">
        <v>0.7</v>
      </c>
      <c r="I1288" s="8">
        <v>3.6878216123499209E-2</v>
      </c>
      <c r="J1288" s="5">
        <f t="shared" si="240"/>
        <v>1.9288787744816144E-2</v>
      </c>
      <c r="K1288" s="5" cm="1">
        <f t="array" ref="K1288">_xlfn.STDEV.S(IF($C:$C=C1288,$I:$I))</f>
        <v>0.27585788879837708</v>
      </c>
      <c r="L1288" s="7">
        <f t="shared" si="243"/>
        <v>6.3762644074823155E-2</v>
      </c>
      <c r="M1288">
        <f t="shared" si="241"/>
        <v>0</v>
      </c>
      <c r="N1288" s="9">
        <f t="shared" si="244"/>
        <v>-3.6285714285714414E-2</v>
      </c>
      <c r="O1288">
        <f>COUNTIFS($B$2:B1288,B1288,$C$2:C1288,C1288,$D$2:D1288,"&lt;"&amp;D1288,$F$2:F1288,1)</f>
        <v>3</v>
      </c>
      <c r="P1288">
        <f t="shared" si="242"/>
        <v>1</v>
      </c>
      <c r="Q1288" t="str">
        <f t="shared" si="245"/>
        <v>Monitor</v>
      </c>
      <c r="R1288">
        <v>1</v>
      </c>
      <c r="S1288">
        <f t="shared" si="246"/>
        <v>0</v>
      </c>
      <c r="T1288">
        <f t="shared" si="247"/>
        <v>0</v>
      </c>
      <c r="U1288" t="str">
        <f t="shared" si="248"/>
        <v>Improved Enough</v>
      </c>
      <c r="V1288" t="str">
        <f t="shared" si="249"/>
        <v>Close</v>
      </c>
      <c r="W1288" t="str">
        <f t="shared" si="250"/>
        <v>Normal</v>
      </c>
      <c r="X1288" t="str">
        <f t="shared" si="251"/>
        <v>Allowed</v>
      </c>
    </row>
    <row r="1289" spans="1:24" x14ac:dyDescent="0.3">
      <c r="A1289" t="s">
        <v>23</v>
      </c>
      <c r="B1289" t="s">
        <v>33</v>
      </c>
      <c r="C1289" t="s">
        <v>27</v>
      </c>
      <c r="D1289" s="3">
        <v>45747</v>
      </c>
      <c r="E1289" s="6">
        <v>0.74609999999999999</v>
      </c>
      <c r="F1289">
        <v>1</v>
      </c>
      <c r="G1289" t="s">
        <v>17</v>
      </c>
      <c r="H1289" s="6">
        <v>0.7</v>
      </c>
      <c r="I1289" s="8">
        <v>2.853598014888329E-2</v>
      </c>
      <c r="J1289" s="5">
        <f t="shared" si="240"/>
        <v>1.9288787744816144E-2</v>
      </c>
      <c r="K1289" s="5" cm="1">
        <f t="array" ref="K1289">_xlfn.STDEV.S(IF($C:$C=C1289,$I:$I))</f>
        <v>0.27585788879837708</v>
      </c>
      <c r="L1289" s="7">
        <f t="shared" si="243"/>
        <v>3.3521580420800889E-2</v>
      </c>
      <c r="M1289">
        <f t="shared" si="241"/>
        <v>0</v>
      </c>
      <c r="N1289" s="9">
        <f t="shared" si="244"/>
        <v>-6.5857142857142906E-2</v>
      </c>
      <c r="O1289">
        <f>COUNTIFS($B$2:B1289,B1289,$C$2:C1289,C1289,$D$2:D1289,"&lt;"&amp;D1289,$F$2:F1289,1)</f>
        <v>4</v>
      </c>
      <c r="P1289">
        <f t="shared" si="242"/>
        <v>1</v>
      </c>
      <c r="Q1289" t="str">
        <f t="shared" si="245"/>
        <v>Monitor</v>
      </c>
      <c r="R1289">
        <v>1</v>
      </c>
      <c r="S1289">
        <f t="shared" si="246"/>
        <v>0</v>
      </c>
      <c r="T1289">
        <f t="shared" si="247"/>
        <v>0</v>
      </c>
      <c r="U1289" t="str">
        <f t="shared" si="248"/>
        <v>Improved Enough</v>
      </c>
      <c r="V1289" t="str">
        <f t="shared" si="249"/>
        <v>Close</v>
      </c>
      <c r="W1289" t="str">
        <f t="shared" si="250"/>
        <v>Normal</v>
      </c>
      <c r="X1289" t="str">
        <f t="shared" si="251"/>
        <v>Allowed</v>
      </c>
    </row>
    <row r="1290" spans="1:24" x14ac:dyDescent="0.3">
      <c r="A1290" t="s">
        <v>23</v>
      </c>
      <c r="B1290" t="s">
        <v>33</v>
      </c>
      <c r="C1290" t="s">
        <v>27</v>
      </c>
      <c r="D1290" s="3">
        <v>45777</v>
      </c>
      <c r="E1290" s="6">
        <v>0.75349999999999995</v>
      </c>
      <c r="F1290">
        <v>1</v>
      </c>
      <c r="G1290" t="s">
        <v>17</v>
      </c>
      <c r="H1290" s="6">
        <v>0.7</v>
      </c>
      <c r="I1290" s="8">
        <v>9.9182415225840537E-3</v>
      </c>
      <c r="J1290" s="5">
        <f t="shared" si="240"/>
        <v>1.9288787744816144E-2</v>
      </c>
      <c r="K1290" s="5" cm="1">
        <f t="array" ref="K1290">_xlfn.STDEV.S(IF($C:$C=C1290,$I:$I))</f>
        <v>0.27585788879837708</v>
      </c>
      <c r="L1290" s="7">
        <f t="shared" si="243"/>
        <v>-3.3968744787577811E-2</v>
      </c>
      <c r="M1290">
        <f t="shared" si="241"/>
        <v>0</v>
      </c>
      <c r="N1290" s="9">
        <f t="shared" si="244"/>
        <v>-7.6428571428571415E-2</v>
      </c>
      <c r="O1290">
        <f>COUNTIFS($B$2:B1290,B1290,$C$2:C1290,C1290,$D$2:D1290,"&lt;"&amp;D1290,$F$2:F1290,1)</f>
        <v>5</v>
      </c>
      <c r="P1290">
        <f t="shared" si="242"/>
        <v>1</v>
      </c>
      <c r="Q1290" t="str">
        <f t="shared" si="245"/>
        <v>Monitor</v>
      </c>
      <c r="R1290">
        <v>1</v>
      </c>
      <c r="S1290">
        <f t="shared" si="246"/>
        <v>0</v>
      </c>
      <c r="T1290">
        <f t="shared" si="247"/>
        <v>0</v>
      </c>
      <c r="U1290" t="str">
        <f t="shared" si="248"/>
        <v>Not Improved Enough</v>
      </c>
      <c r="V1290" t="str">
        <f t="shared" si="249"/>
        <v>Close</v>
      </c>
      <c r="W1290" t="str">
        <f t="shared" si="250"/>
        <v>Normal</v>
      </c>
      <c r="X1290" t="str">
        <f t="shared" si="251"/>
        <v>Maxed Out</v>
      </c>
    </row>
    <row r="1291" spans="1:24" x14ac:dyDescent="0.3">
      <c r="A1291" t="s">
        <v>23</v>
      </c>
      <c r="B1291" t="s">
        <v>33</v>
      </c>
      <c r="C1291" t="s">
        <v>27</v>
      </c>
      <c r="D1291" s="3">
        <v>45808</v>
      </c>
      <c r="E1291" s="6">
        <v>0.73970000000000002</v>
      </c>
      <c r="F1291">
        <v>1</v>
      </c>
      <c r="G1291" t="s">
        <v>17</v>
      </c>
      <c r="H1291" s="6">
        <v>0.7</v>
      </c>
      <c r="I1291" s="8">
        <v>-1.8314532183145219E-2</v>
      </c>
      <c r="J1291" s="5">
        <f t="shared" si="240"/>
        <v>1.9288787744816144E-2</v>
      </c>
      <c r="K1291" s="5" cm="1">
        <f t="array" ref="K1291">_xlfn.STDEV.S(IF($C:$C=C1291,$I:$I))</f>
        <v>0.27585788879837708</v>
      </c>
      <c r="L1291" s="7">
        <f t="shared" si="243"/>
        <v>-0.13631410032085547</v>
      </c>
      <c r="M1291">
        <f t="shared" si="241"/>
        <v>0</v>
      </c>
      <c r="N1291" s="9">
        <f t="shared" si="244"/>
        <v>-5.6714285714285814E-2</v>
      </c>
      <c r="O1291">
        <f>COUNTIFS($B$2:B1291,B1291,$C$2:C1291,C1291,$D$2:D1291,"&lt;"&amp;D1291,$F$2:F1291,1)</f>
        <v>6</v>
      </c>
      <c r="P1291">
        <f t="shared" si="242"/>
        <v>-1</v>
      </c>
      <c r="Q1291" t="str">
        <f t="shared" si="245"/>
        <v>Monitor</v>
      </c>
      <c r="R1291">
        <v>1</v>
      </c>
      <c r="S1291">
        <f t="shared" si="246"/>
        <v>0</v>
      </c>
      <c r="T1291">
        <f t="shared" si="247"/>
        <v>0</v>
      </c>
      <c r="U1291" t="str">
        <f t="shared" si="248"/>
        <v>Not Improved Enough</v>
      </c>
      <c r="V1291" t="str">
        <f t="shared" si="249"/>
        <v>Close</v>
      </c>
      <c r="W1291" t="str">
        <f t="shared" si="250"/>
        <v>Normal</v>
      </c>
      <c r="X1291" t="str">
        <f t="shared" si="251"/>
        <v>Maxed Out</v>
      </c>
    </row>
    <row r="1292" spans="1:24" x14ac:dyDescent="0.3">
      <c r="A1292" t="s">
        <v>23</v>
      </c>
      <c r="B1292" t="s">
        <v>33</v>
      </c>
      <c r="C1292" t="s">
        <v>27</v>
      </c>
      <c r="D1292" s="3">
        <v>45838</v>
      </c>
      <c r="E1292" s="6">
        <v>0.78200000000000003</v>
      </c>
      <c r="F1292">
        <v>1</v>
      </c>
      <c r="G1292" t="s">
        <v>17</v>
      </c>
      <c r="H1292" s="6">
        <v>0.7</v>
      </c>
      <c r="I1292" s="8">
        <v>5.7185345410301479E-2</v>
      </c>
      <c r="J1292" s="5">
        <f t="shared" si="240"/>
        <v>1.9288787744816144E-2</v>
      </c>
      <c r="K1292" s="5" cm="1">
        <f t="array" ref="K1292">_xlfn.STDEV.S(IF($C:$C=C1292,$I:$I))</f>
        <v>0.27585788879837708</v>
      </c>
      <c r="L1292" s="7">
        <f t="shared" si="243"/>
        <v>0.13737710322717545</v>
      </c>
      <c r="M1292">
        <f t="shared" si="241"/>
        <v>0</v>
      </c>
      <c r="N1292" s="9">
        <f t="shared" si="244"/>
        <v>-0.11714285714285726</v>
      </c>
      <c r="O1292">
        <f>COUNTIFS($B$2:B1292,B1292,$C$2:C1292,C1292,$D$2:D1292,"&lt;"&amp;D1292,$F$2:F1292,1)</f>
        <v>7</v>
      </c>
      <c r="P1292">
        <f t="shared" si="242"/>
        <v>1</v>
      </c>
      <c r="Q1292" t="str">
        <f t="shared" si="245"/>
        <v>Monitor</v>
      </c>
      <c r="R1292">
        <v>1</v>
      </c>
      <c r="S1292">
        <f t="shared" si="246"/>
        <v>0</v>
      </c>
      <c r="T1292">
        <f t="shared" si="247"/>
        <v>0</v>
      </c>
      <c r="U1292" t="str">
        <f t="shared" si="248"/>
        <v>Improved Enough</v>
      </c>
      <c r="V1292" t="str">
        <f t="shared" si="249"/>
        <v>Close</v>
      </c>
      <c r="W1292" t="str">
        <f t="shared" si="250"/>
        <v>Normal</v>
      </c>
      <c r="X1292" t="str">
        <f t="shared" si="251"/>
        <v>Maxed Out</v>
      </c>
    </row>
    <row r="1293" spans="1:24" x14ac:dyDescent="0.3">
      <c r="A1293" t="s">
        <v>23</v>
      </c>
      <c r="B1293" t="s">
        <v>33</v>
      </c>
      <c r="C1293" t="s">
        <v>27</v>
      </c>
      <c r="D1293" s="3">
        <v>45869</v>
      </c>
      <c r="E1293" s="6">
        <v>0.72099999999999997</v>
      </c>
      <c r="F1293">
        <v>0</v>
      </c>
      <c r="G1293" t="s">
        <v>17</v>
      </c>
      <c r="H1293" s="6">
        <v>0.7</v>
      </c>
      <c r="I1293" s="8">
        <v>-7.8005115089514132E-2</v>
      </c>
      <c r="J1293" s="5">
        <f t="shared" si="240"/>
        <v>1.9288787744816144E-2</v>
      </c>
      <c r="K1293" s="5" cm="1">
        <f t="array" ref="K1293">_xlfn.STDEV.S(IF($C:$C=C1293,$I:$I))</f>
        <v>0.27585788879837708</v>
      </c>
      <c r="L1293" s="7">
        <f t="shared" si="243"/>
        <v>-0.35269574221037348</v>
      </c>
      <c r="M1293">
        <f t="shared" si="241"/>
        <v>0</v>
      </c>
      <c r="N1293" s="9">
        <f t="shared" si="244"/>
        <v>-3.000000000000003E-2</v>
      </c>
      <c r="O1293">
        <f>COUNTIFS($B$2:B1293,B1293,$C$2:C1293,C1293,$D$2:D1293,"&lt;"&amp;D1293,$F$2:F1293,1)</f>
        <v>8</v>
      </c>
      <c r="P1293">
        <f t="shared" si="242"/>
        <v>-1</v>
      </c>
      <c r="Q1293" t="str">
        <f t="shared" si="245"/>
        <v>Monitor</v>
      </c>
      <c r="R1293">
        <v>1</v>
      </c>
      <c r="S1293">
        <f t="shared" si="246"/>
        <v>0</v>
      </c>
      <c r="T1293">
        <f t="shared" si="247"/>
        <v>0</v>
      </c>
      <c r="U1293" t="str">
        <f t="shared" si="248"/>
        <v>Not Improved Enough</v>
      </c>
      <c r="V1293" t="str">
        <f t="shared" si="249"/>
        <v>Close</v>
      </c>
      <c r="W1293" t="str">
        <f t="shared" si="250"/>
        <v>Normal</v>
      </c>
      <c r="X1293" t="str">
        <f t="shared" si="251"/>
        <v>Maxed Out</v>
      </c>
    </row>
    <row r="1294" spans="1:24" x14ac:dyDescent="0.3">
      <c r="A1294" t="s">
        <v>23</v>
      </c>
      <c r="B1294" t="s">
        <v>33</v>
      </c>
      <c r="C1294" t="s">
        <v>27</v>
      </c>
      <c r="D1294" s="3">
        <v>45900</v>
      </c>
      <c r="E1294" s="6">
        <v>0.755</v>
      </c>
      <c r="F1294">
        <v>0</v>
      </c>
      <c r="G1294" t="s">
        <v>17</v>
      </c>
      <c r="H1294" s="6">
        <v>0.7</v>
      </c>
      <c r="I1294" s="8">
        <v>4.7156726768377302E-2</v>
      </c>
      <c r="J1294" s="5">
        <f t="shared" si="240"/>
        <v>1.9288787744816144E-2</v>
      </c>
      <c r="K1294" s="5" cm="1">
        <f t="array" ref="K1294">_xlfn.STDEV.S(IF($C:$C=C1294,$I:$I))</f>
        <v>0.27585788879837708</v>
      </c>
      <c r="L1294" s="7">
        <f t="shared" si="243"/>
        <v>0.10102280976974225</v>
      </c>
      <c r="M1294">
        <f t="shared" si="241"/>
        <v>0</v>
      </c>
      <c r="N1294" s="9">
        <f t="shared" si="244"/>
        <v>-7.8571428571428653E-2</v>
      </c>
      <c r="O1294">
        <f>COUNTIFS($B$2:B1294,B1294,$C$2:C1294,C1294,$D$2:D1294,"&lt;"&amp;D1294,$F$2:F1294,1)</f>
        <v>8</v>
      </c>
      <c r="P1294">
        <f t="shared" si="242"/>
        <v>0</v>
      </c>
      <c r="Q1294" t="str">
        <f t="shared" si="245"/>
        <v>Monitor</v>
      </c>
      <c r="R1294">
        <v>0</v>
      </c>
      <c r="S1294">
        <f t="shared" si="246"/>
        <v>0</v>
      </c>
      <c r="T1294">
        <f t="shared" si="247"/>
        <v>0</v>
      </c>
      <c r="U1294" t="str">
        <f t="shared" si="248"/>
        <v>Improved Enough</v>
      </c>
      <c r="V1294" t="str">
        <f t="shared" si="249"/>
        <v>Close</v>
      </c>
      <c r="W1294" t="str">
        <f t="shared" si="250"/>
        <v>Normal</v>
      </c>
      <c r="X1294" t="str">
        <f t="shared" si="251"/>
        <v>Maxed Out</v>
      </c>
    </row>
    <row r="1295" spans="1:24" x14ac:dyDescent="0.3">
      <c r="A1295" t="s">
        <v>23</v>
      </c>
      <c r="B1295" t="s">
        <v>33</v>
      </c>
      <c r="C1295" t="s">
        <v>27</v>
      </c>
      <c r="D1295" s="3">
        <v>45930</v>
      </c>
      <c r="E1295" s="6">
        <v>0.72899999999999998</v>
      </c>
      <c r="F1295">
        <v>0</v>
      </c>
      <c r="G1295" t="s">
        <v>17</v>
      </c>
      <c r="H1295" s="6">
        <v>0.7</v>
      </c>
      <c r="I1295" s="8">
        <v>-3.4437086092715258E-2</v>
      </c>
      <c r="J1295" s="5">
        <f t="shared" si="240"/>
        <v>1.9288787744816144E-2</v>
      </c>
      <c r="K1295" s="5" cm="1">
        <f t="array" ref="K1295">_xlfn.STDEV.S(IF($C:$C=C1295,$I:$I))</f>
        <v>0.27585788879837708</v>
      </c>
      <c r="L1295" s="7">
        <f t="shared" si="243"/>
        <v>-0.19475924386849536</v>
      </c>
      <c r="M1295">
        <f t="shared" si="241"/>
        <v>0</v>
      </c>
      <c r="N1295" s="9">
        <f t="shared" si="244"/>
        <v>-4.1428571428571467E-2</v>
      </c>
      <c r="O1295">
        <f>COUNTIFS($B$2:B1295,B1295,$C$2:C1295,C1295,$D$2:D1295,"&lt;"&amp;D1295,$F$2:F1295,1)</f>
        <v>8</v>
      </c>
      <c r="P1295">
        <f t="shared" si="242"/>
        <v>0</v>
      </c>
      <c r="Q1295" t="str">
        <f t="shared" si="245"/>
        <v>Monitor</v>
      </c>
      <c r="R1295">
        <v>0</v>
      </c>
      <c r="S1295">
        <f t="shared" si="246"/>
        <v>0</v>
      </c>
      <c r="T1295">
        <f t="shared" si="247"/>
        <v>0</v>
      </c>
      <c r="U1295" t="str">
        <f t="shared" si="248"/>
        <v>Not Improved Enough</v>
      </c>
      <c r="V1295" t="str">
        <f t="shared" si="249"/>
        <v>Close</v>
      </c>
      <c r="W1295" t="str">
        <f t="shared" si="250"/>
        <v>Normal</v>
      </c>
      <c r="X1295" t="str">
        <f t="shared" si="251"/>
        <v>Maxed Out</v>
      </c>
    </row>
    <row r="1296" spans="1:24" x14ac:dyDescent="0.3">
      <c r="A1296" t="s">
        <v>23</v>
      </c>
      <c r="B1296" t="s">
        <v>33</v>
      </c>
      <c r="C1296" t="s">
        <v>27</v>
      </c>
      <c r="D1296" s="3">
        <v>45961</v>
      </c>
      <c r="E1296" s="6">
        <v>0.75800000000000001</v>
      </c>
      <c r="F1296">
        <v>0</v>
      </c>
      <c r="G1296" t="s">
        <v>17</v>
      </c>
      <c r="H1296" s="6">
        <v>0.7</v>
      </c>
      <c r="I1296" s="8">
        <v>3.978052126200278E-2</v>
      </c>
      <c r="J1296" s="5">
        <f t="shared" si="240"/>
        <v>1.9288787744816144E-2</v>
      </c>
      <c r="K1296" s="5" cm="1">
        <f t="array" ref="K1296">_xlfn.STDEV.S(IF($C:$C=C1296,$I:$I))</f>
        <v>0.27585788879837708</v>
      </c>
      <c r="L1296" s="7">
        <f t="shared" si="243"/>
        <v>7.4283659627961282E-2</v>
      </c>
      <c r="M1296">
        <f t="shared" si="241"/>
        <v>0</v>
      </c>
      <c r="N1296" s="9">
        <f t="shared" si="244"/>
        <v>-8.2857142857142935E-2</v>
      </c>
      <c r="O1296">
        <f>COUNTIFS($B$2:B1296,B1296,$C$2:C1296,C1296,$D$2:D1296,"&lt;"&amp;D1296,$F$2:F1296,1)</f>
        <v>8</v>
      </c>
      <c r="P1296">
        <f t="shared" si="242"/>
        <v>0</v>
      </c>
      <c r="Q1296" t="str">
        <f t="shared" si="245"/>
        <v>Monitor</v>
      </c>
      <c r="R1296">
        <v>0</v>
      </c>
      <c r="S1296">
        <f t="shared" si="246"/>
        <v>0</v>
      </c>
      <c r="T1296">
        <f t="shared" si="247"/>
        <v>0</v>
      </c>
      <c r="U1296" t="str">
        <f t="shared" si="248"/>
        <v>Improved Enough</v>
      </c>
      <c r="V1296" t="str">
        <f t="shared" si="249"/>
        <v>Close</v>
      </c>
      <c r="W1296" t="str">
        <f t="shared" si="250"/>
        <v>Normal</v>
      </c>
      <c r="X1296" t="str">
        <f t="shared" si="251"/>
        <v>Maxed Out</v>
      </c>
    </row>
    <row r="1297" spans="1:24" x14ac:dyDescent="0.3">
      <c r="A1297" t="s">
        <v>23</v>
      </c>
      <c r="B1297" t="s">
        <v>33</v>
      </c>
      <c r="C1297" t="s">
        <v>27</v>
      </c>
      <c r="D1297" s="3">
        <v>45991</v>
      </c>
      <c r="E1297" s="6">
        <v>0.73299999999999998</v>
      </c>
      <c r="F1297">
        <v>0</v>
      </c>
      <c r="G1297" t="s">
        <v>17</v>
      </c>
      <c r="H1297" s="6">
        <v>0.7</v>
      </c>
      <c r="I1297" s="8">
        <v>-3.2981530343007943E-2</v>
      </c>
      <c r="J1297" s="5">
        <f t="shared" si="240"/>
        <v>1.9288787744816144E-2</v>
      </c>
      <c r="K1297" s="5" cm="1">
        <f t="array" ref="K1297">_xlfn.STDEV.S(IF($C:$C=C1297,$I:$I))</f>
        <v>0.27585788879837708</v>
      </c>
      <c r="L1297" s="7">
        <f t="shared" si="243"/>
        <v>-0.18948277432090463</v>
      </c>
      <c r="M1297">
        <f t="shared" si="241"/>
        <v>0</v>
      </c>
      <c r="N1297" s="9">
        <f t="shared" si="244"/>
        <v>-4.7142857142857188E-2</v>
      </c>
      <c r="O1297">
        <f>COUNTIFS($B$2:B1297,B1297,$C$2:C1297,C1297,$D$2:D1297,"&lt;"&amp;D1297,$F$2:F1297,1)</f>
        <v>8</v>
      </c>
      <c r="P1297">
        <f t="shared" si="242"/>
        <v>0</v>
      </c>
      <c r="Q1297" t="str">
        <f t="shared" si="245"/>
        <v>Monitor</v>
      </c>
      <c r="R1297">
        <v>0</v>
      </c>
      <c r="S1297">
        <f t="shared" si="246"/>
        <v>0</v>
      </c>
      <c r="T1297">
        <f t="shared" si="247"/>
        <v>0</v>
      </c>
      <c r="U1297" t="str">
        <f t="shared" si="248"/>
        <v>Not Improved Enough</v>
      </c>
      <c r="V1297" t="str">
        <f t="shared" si="249"/>
        <v>Close</v>
      </c>
      <c r="W1297" t="str">
        <f t="shared" si="250"/>
        <v>Normal</v>
      </c>
      <c r="X1297" t="str">
        <f t="shared" si="251"/>
        <v>Maxed Out</v>
      </c>
    </row>
    <row r="1300" spans="1:24" x14ac:dyDescent="0.3">
      <c r="K130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FD43-8BC1-437E-AE50-79B2EC187162}">
  <dimension ref="B1:AS69"/>
  <sheetViews>
    <sheetView showGridLines="0" topLeftCell="P1" zoomScale="33" zoomScaleNormal="47" workbookViewId="0">
      <pane ySplit="1" topLeftCell="A18" activePane="bottomLeft" state="frozen"/>
      <selection pane="bottomLeft" activeCell="U16" sqref="U16"/>
    </sheetView>
  </sheetViews>
  <sheetFormatPr defaultRowHeight="33.6" x14ac:dyDescent="0.65"/>
  <cols>
    <col min="1" max="1" width="9.77734375" customWidth="1"/>
    <col min="2" max="2" width="87.109375" style="15" bestFit="1" customWidth="1"/>
    <col min="3" max="3" width="48" style="15" bestFit="1" customWidth="1"/>
    <col min="4" max="4" width="48" style="15" customWidth="1"/>
    <col min="5" max="5" width="58.6640625" style="15" bestFit="1" customWidth="1"/>
    <col min="6" max="6" width="59.21875" style="15" bestFit="1" customWidth="1"/>
    <col min="7" max="12" width="48" style="15" bestFit="1" customWidth="1"/>
    <col min="13" max="13" width="64.44140625" style="15" bestFit="1" customWidth="1"/>
    <col min="14" max="18" width="48" style="15" bestFit="1" customWidth="1"/>
    <col min="20" max="20" width="21.33203125" bestFit="1" customWidth="1"/>
    <col min="21" max="21" width="21.88671875" bestFit="1" customWidth="1"/>
    <col min="23" max="23" width="15.21875" customWidth="1"/>
    <col min="24" max="24" width="62.88671875" bestFit="1" customWidth="1"/>
    <col min="25" max="25" width="24.88671875" customWidth="1"/>
    <col min="26" max="26" width="53.109375" bestFit="1" customWidth="1"/>
    <col min="27" max="27" width="87.77734375" bestFit="1" customWidth="1"/>
    <col min="28" max="28" width="145.44140625" customWidth="1"/>
    <col min="29" max="29" width="203" bestFit="1" customWidth="1"/>
    <col min="30" max="30" width="70.5546875" bestFit="1" customWidth="1"/>
    <col min="31" max="31" width="43.44140625" bestFit="1" customWidth="1"/>
    <col min="32" max="32" width="89.33203125" bestFit="1" customWidth="1"/>
    <col min="33" max="33" width="67.109375" bestFit="1" customWidth="1"/>
    <col min="34" max="34" width="48.109375" bestFit="1" customWidth="1"/>
    <col min="35" max="35" width="72.109375" bestFit="1" customWidth="1"/>
  </cols>
  <sheetData>
    <row r="1" spans="2:29" s="11" customFormat="1" ht="222" customHeight="1" x14ac:dyDescent="0.65">
      <c r="B1" s="22"/>
      <c r="C1" s="22"/>
      <c r="D1" s="22"/>
      <c r="E1" s="22"/>
      <c r="F1" s="22"/>
      <c r="G1" s="22"/>
      <c r="H1" s="22"/>
      <c r="I1" s="22"/>
      <c r="J1" s="22"/>
      <c r="K1" s="22"/>
      <c r="L1" s="22"/>
      <c r="M1" s="22"/>
      <c r="N1" s="22"/>
      <c r="O1" s="22"/>
      <c r="P1" s="22"/>
      <c r="Q1" s="22"/>
      <c r="R1" s="22"/>
    </row>
    <row r="2" spans="2:29" ht="7.8" customHeight="1" x14ac:dyDescent="0.65"/>
    <row r="3" spans="2:29" ht="7.2" customHeight="1" x14ac:dyDescent="0.65"/>
    <row r="4" spans="2:29" hidden="1" x14ac:dyDescent="0.65"/>
    <row r="5" spans="2:29" ht="5.4" customHeight="1" x14ac:dyDescent="0.65"/>
    <row r="6" spans="2:29" hidden="1" x14ac:dyDescent="0.65"/>
    <row r="7" spans="2:29" hidden="1" x14ac:dyDescent="0.65"/>
    <row r="8" spans="2:29" ht="18.600000000000001" customHeight="1" x14ac:dyDescent="0.65"/>
    <row r="9" spans="2:29" ht="46.2" x14ac:dyDescent="0.85">
      <c r="B9" s="51" t="s">
        <v>67</v>
      </c>
      <c r="C9" s="14"/>
      <c r="D9" s="51"/>
      <c r="E9" s="51"/>
      <c r="F9" s="51"/>
      <c r="G9" s="51"/>
      <c r="H9" s="51"/>
      <c r="I9" s="51"/>
      <c r="J9" s="51"/>
      <c r="K9" s="51"/>
      <c r="L9" s="51"/>
      <c r="M9" s="51"/>
      <c r="N9" s="51"/>
      <c r="O9" s="51"/>
      <c r="P9" s="51"/>
      <c r="Q9" s="51"/>
      <c r="R9" s="51"/>
      <c r="S9" s="2"/>
      <c r="T9" s="2"/>
      <c r="U9" s="2"/>
    </row>
    <row r="10" spans="2:29" ht="46.8" thickBot="1" x14ac:dyDescent="0.9">
      <c r="B10" s="14"/>
      <c r="C10" s="81">
        <v>45535</v>
      </c>
      <c r="D10" s="81">
        <v>45565</v>
      </c>
      <c r="E10" s="81">
        <v>45596</v>
      </c>
      <c r="F10" s="81">
        <v>45626</v>
      </c>
      <c r="G10" s="81">
        <v>45657</v>
      </c>
      <c r="H10" s="81">
        <v>45688</v>
      </c>
      <c r="I10" s="81">
        <v>45716</v>
      </c>
      <c r="J10" s="81">
        <v>45747</v>
      </c>
      <c r="K10" s="81">
        <v>45777</v>
      </c>
      <c r="L10" s="81">
        <v>45808</v>
      </c>
      <c r="M10" s="81">
        <v>45838</v>
      </c>
      <c r="N10" s="81">
        <v>45869</v>
      </c>
      <c r="O10" s="81">
        <v>45900</v>
      </c>
      <c r="P10" s="81">
        <v>45930</v>
      </c>
      <c r="Q10" s="81">
        <v>45961</v>
      </c>
      <c r="R10" s="81">
        <v>45991</v>
      </c>
      <c r="S10" s="2"/>
    </row>
    <row r="11" spans="2:29" ht="46.2" x14ac:dyDescent="0.85">
      <c r="B11" s="82" t="s">
        <v>10</v>
      </c>
      <c r="C11" s="83"/>
      <c r="D11" s="83"/>
      <c r="E11" s="83"/>
      <c r="F11" s="83"/>
      <c r="G11" s="83"/>
      <c r="H11" s="83"/>
      <c r="I11" s="83"/>
      <c r="J11" s="83"/>
      <c r="K11" s="83"/>
      <c r="L11" s="83"/>
      <c r="M11" s="83"/>
      <c r="N11" s="83"/>
      <c r="O11" s="83"/>
      <c r="P11" s="83"/>
      <c r="Q11" s="83"/>
      <c r="R11" s="83"/>
      <c r="S11" s="2"/>
      <c r="T11" s="16" t="s">
        <v>68</v>
      </c>
      <c r="U11" s="17" t="s">
        <v>7</v>
      </c>
      <c r="W11" s="108" t="s">
        <v>112</v>
      </c>
      <c r="X11" s="109"/>
      <c r="AA11" s="115" t="s">
        <v>98</v>
      </c>
      <c r="AB11" s="116"/>
      <c r="AC11" s="117"/>
    </row>
    <row r="12" spans="2:29" ht="46.2" x14ac:dyDescent="0.85">
      <c r="B12" s="84" t="s">
        <v>12</v>
      </c>
      <c r="C12" s="85">
        <v>0.30399999999999999</v>
      </c>
      <c r="D12" s="85">
        <v>0.30009871668311938</v>
      </c>
      <c r="E12" s="85">
        <v>0.29296875</v>
      </c>
      <c r="F12" s="85">
        <v>0.290885585</v>
      </c>
      <c r="G12" s="85">
        <v>0.30193548387096769</v>
      </c>
      <c r="H12" s="85">
        <v>0.30232558139534882</v>
      </c>
      <c r="I12" s="85">
        <v>0.28859278518037051</v>
      </c>
      <c r="J12" s="85">
        <v>0.27227885563959231</v>
      </c>
      <c r="K12" s="85">
        <v>0.25540540540540541</v>
      </c>
      <c r="L12" s="85">
        <v>0.25311203319502068</v>
      </c>
      <c r="M12" s="85">
        <v>0.2492957746478873</v>
      </c>
      <c r="N12" s="85">
        <v>0.24910522548317821</v>
      </c>
      <c r="O12" s="85">
        <v>0.2453450164293538</v>
      </c>
      <c r="P12" s="85">
        <v>0.2548435171385991</v>
      </c>
      <c r="Q12" s="85">
        <v>0.25190839694656492</v>
      </c>
      <c r="R12" s="85">
        <v>0.24394057857701329</v>
      </c>
      <c r="S12" s="2"/>
      <c r="T12" s="18" t="str">
        <f>_xlfn.XLOOKUP(B12,Data!C:C,Data!G:G,"")</f>
        <v>DOWN</v>
      </c>
      <c r="U12" s="44">
        <f>_xlfn.XLOOKUP(B12,Data!C:C,Data!H:H,"")</f>
        <v>0.27</v>
      </c>
      <c r="W12" s="45" t="s">
        <v>102</v>
      </c>
      <c r="X12" s="46" t="s">
        <v>101</v>
      </c>
      <c r="AA12" s="66" t="s">
        <v>97</v>
      </c>
      <c r="AB12" s="66" t="s">
        <v>81</v>
      </c>
      <c r="AC12" s="67" t="s">
        <v>82</v>
      </c>
    </row>
    <row r="13" spans="2:29" ht="46.2" x14ac:dyDescent="0.85">
      <c r="B13" s="84" t="s">
        <v>14</v>
      </c>
      <c r="C13" s="85">
        <v>7.8461538461538458E-2</v>
      </c>
      <c r="D13" s="85">
        <v>6.9821567106283941E-2</v>
      </c>
      <c r="E13" s="85">
        <v>7.1372549019607837E-2</v>
      </c>
      <c r="F13" s="85">
        <v>6.4414767999999997E-2</v>
      </c>
      <c r="G13" s="85">
        <v>6.5934065934065936E-2</v>
      </c>
      <c r="H13" s="85">
        <v>7.3265783320342948E-2</v>
      </c>
      <c r="I13" s="85">
        <v>8.0093312597200622E-2</v>
      </c>
      <c r="J13" s="85">
        <v>7.5617283950617287E-2</v>
      </c>
      <c r="K13" s="85">
        <v>8.87035633055345E-2</v>
      </c>
      <c r="L13" s="85">
        <v>8.6956521739130432E-2</v>
      </c>
      <c r="M13" s="85">
        <v>7.4999999999999997E-2</v>
      </c>
      <c r="N13" s="85">
        <v>6.9819819819819814E-2</v>
      </c>
      <c r="O13" s="85">
        <v>6.7771084337349394E-2</v>
      </c>
      <c r="P13" s="85">
        <v>6.2878787878787881E-2</v>
      </c>
      <c r="Q13" s="85">
        <v>5.6445461479786421E-2</v>
      </c>
      <c r="R13" s="85">
        <v>6.3444108761329304E-2</v>
      </c>
      <c r="S13" s="2"/>
      <c r="T13" s="18" t="str">
        <f>_xlfn.XLOOKUP(B13,Data!C:C,Data!G:G,"")</f>
        <v>DOWN</v>
      </c>
      <c r="U13" s="44">
        <f>_xlfn.XLOOKUP(B13,Data!C:C,Data!H:H,"")</f>
        <v>5.3999999999999999E-2</v>
      </c>
      <c r="W13" s="47" t="s">
        <v>109</v>
      </c>
      <c r="X13" s="48" t="s">
        <v>110</v>
      </c>
      <c r="AA13" s="68" t="s">
        <v>78</v>
      </c>
      <c r="AB13" s="69">
        <v>0.01</v>
      </c>
      <c r="AC13" s="70" t="s">
        <v>83</v>
      </c>
    </row>
    <row r="14" spans="2:29" ht="46.8" thickBot="1" x14ac:dyDescent="0.9">
      <c r="B14" s="84" t="s">
        <v>15</v>
      </c>
      <c r="C14" s="85">
        <v>0.1075514874141876</v>
      </c>
      <c r="D14" s="85">
        <v>0.1133786848072562</v>
      </c>
      <c r="E14" s="85">
        <v>0.1018957345971564</v>
      </c>
      <c r="F14" s="85">
        <v>8.3732056999999999E-2</v>
      </c>
      <c r="G14" s="85">
        <v>8.2938388625592413E-2</v>
      </c>
      <c r="H14" s="85">
        <v>9.9307159353348731E-2</v>
      </c>
      <c r="I14" s="85">
        <v>0.1118721461187215</v>
      </c>
      <c r="J14" s="85">
        <v>9.5890410958904104E-2</v>
      </c>
      <c r="K14" s="85">
        <v>0.1160714285714286</v>
      </c>
      <c r="L14" s="85">
        <v>9.6774193548387094E-2</v>
      </c>
      <c r="M14" s="85">
        <v>7.8160919540229884E-2</v>
      </c>
      <c r="N14" s="85">
        <v>7.5892857142857137E-2</v>
      </c>
      <c r="O14" s="85">
        <v>7.3991031390134535E-2</v>
      </c>
      <c r="P14" s="85">
        <v>7.7777777777777779E-2</v>
      </c>
      <c r="Q14" s="85">
        <v>5.7906458797327393E-2</v>
      </c>
      <c r="R14" s="85">
        <v>6.6225165562913912E-2</v>
      </c>
      <c r="S14" s="2"/>
      <c r="T14" s="18" t="str">
        <f>_xlfn.XLOOKUP(B14,Data!C:C,Data!G:G,"")</f>
        <v>DOWN</v>
      </c>
      <c r="U14" s="44">
        <f>_xlfn.XLOOKUP(B14,Data!C:C,Data!H:H,"")</f>
        <v>6.6000000000000003E-2</v>
      </c>
      <c r="W14" s="49" t="s">
        <v>106</v>
      </c>
      <c r="X14" s="50" t="s">
        <v>111</v>
      </c>
      <c r="AA14" s="68" t="s">
        <v>79</v>
      </c>
      <c r="AB14" s="69">
        <v>0.02</v>
      </c>
      <c r="AC14" s="70" t="s">
        <v>84</v>
      </c>
    </row>
    <row r="15" spans="2:29" ht="46.2" x14ac:dyDescent="0.85">
      <c r="B15" s="84" t="s">
        <v>16</v>
      </c>
      <c r="C15" s="85">
        <v>0.15873015873015869</v>
      </c>
      <c r="D15" s="85">
        <v>0.15625</v>
      </c>
      <c r="E15" s="85">
        <v>0.15625</v>
      </c>
      <c r="F15" s="85">
        <v>0.15873015900000001</v>
      </c>
      <c r="G15" s="85">
        <v>0.16393442622950821</v>
      </c>
      <c r="H15" s="85">
        <v>0.16129032258064521</v>
      </c>
      <c r="I15" s="85">
        <v>0.16393442622950821</v>
      </c>
      <c r="J15" s="85">
        <v>0.17741935483870969</v>
      </c>
      <c r="K15" s="85">
        <v>0.17741935483870969</v>
      </c>
      <c r="L15" s="85">
        <v>0.2</v>
      </c>
      <c r="M15" s="85">
        <v>0.2</v>
      </c>
      <c r="N15" s="85">
        <v>0.1967213114754098</v>
      </c>
      <c r="O15" s="85">
        <v>0.203125</v>
      </c>
      <c r="P15" s="85">
        <v>0.20634920634920631</v>
      </c>
      <c r="Q15" s="85">
        <v>0.20967741935483869</v>
      </c>
      <c r="R15" s="85">
        <v>0.21875</v>
      </c>
      <c r="S15" s="2"/>
      <c r="T15" s="18" t="str">
        <f>_xlfn.XLOOKUP(B15,Data!C:C,Data!G:G,"")</f>
        <v>UP</v>
      </c>
      <c r="U15" s="44">
        <f>_xlfn.XLOOKUP(B15,Data!C:C,Data!H:H,"")</f>
        <v>0.16400000000000001</v>
      </c>
      <c r="AA15" s="68" t="s">
        <v>80</v>
      </c>
      <c r="AB15" s="71">
        <v>5</v>
      </c>
      <c r="AC15" s="70" t="s">
        <v>85</v>
      </c>
    </row>
    <row r="16" spans="2:29" ht="46.8" thickBot="1" x14ac:dyDescent="0.9">
      <c r="B16" s="84" t="s">
        <v>18</v>
      </c>
      <c r="C16" s="85">
        <v>0.13279941754641431</v>
      </c>
      <c r="D16" s="85">
        <v>0.13370957238984149</v>
      </c>
      <c r="E16" s="85">
        <v>0.13289227671508699</v>
      </c>
      <c r="F16" s="85">
        <v>0.132066033</v>
      </c>
      <c r="G16" s="85">
        <v>0.13562695479101511</v>
      </c>
      <c r="H16" s="85">
        <v>0.13070231275196259</v>
      </c>
      <c r="I16" s="85">
        <v>0.1310135944213566</v>
      </c>
      <c r="J16" s="85">
        <v>0.1272293217244769</v>
      </c>
      <c r="K16" s="85">
        <v>0.1220196353436185</v>
      </c>
      <c r="L16" s="85">
        <v>0.1192609182530795</v>
      </c>
      <c r="M16" s="85">
        <v>0.1189196733896294</v>
      </c>
      <c r="N16" s="85">
        <v>0.1151519365829914</v>
      </c>
      <c r="O16" s="85">
        <v>0.11812824956672439</v>
      </c>
      <c r="P16" s="85">
        <v>0.1153447202821382</v>
      </c>
      <c r="Q16" s="85">
        <v>0.1099476439790576</v>
      </c>
      <c r="R16" s="85">
        <v>0.1096605744125326</v>
      </c>
      <c r="S16" s="2"/>
      <c r="T16" s="18" t="str">
        <f>_xlfn.XLOOKUP(B16,Data!C:C,Data!G:G,"")</f>
        <v>DOWN</v>
      </c>
      <c r="U16" s="44">
        <f>_xlfn.XLOOKUP(B16,Data!C:C,Data!H:H,"")</f>
        <v>0.104</v>
      </c>
      <c r="AA16" s="72" t="s">
        <v>50</v>
      </c>
      <c r="AB16" s="73">
        <v>0.5</v>
      </c>
      <c r="AC16" s="74" t="s">
        <v>86</v>
      </c>
    </row>
    <row r="17" spans="2:45" ht="46.2" x14ac:dyDescent="0.85">
      <c r="B17" s="84" t="s">
        <v>19</v>
      </c>
      <c r="C17" s="85">
        <v>0.1384928716904277</v>
      </c>
      <c r="D17" s="85">
        <v>0.15240641711229949</v>
      </c>
      <c r="E17" s="85">
        <v>0.15737704918032791</v>
      </c>
      <c r="F17" s="85">
        <v>0.154440154</v>
      </c>
      <c r="G17" s="85">
        <v>0.12870662460567819</v>
      </c>
      <c r="H17" s="85">
        <v>0.1190328580285183</v>
      </c>
      <c r="I17" s="85">
        <v>0.1099572388515577</v>
      </c>
      <c r="J17" s="85">
        <v>0.10163339382940111</v>
      </c>
      <c r="K17" s="85">
        <v>0.1083684527393137</v>
      </c>
      <c r="L17" s="85">
        <v>0.1003584229390681</v>
      </c>
      <c r="M17" s="85">
        <v>0.1124586549062845</v>
      </c>
      <c r="N17" s="85">
        <v>0.1097932904100305</v>
      </c>
      <c r="O17" s="85">
        <v>0.1174089068825911</v>
      </c>
      <c r="P17" s="85">
        <v>0.1086883596108688</v>
      </c>
      <c r="Q17" s="85">
        <v>9.5744680851063829E-2</v>
      </c>
      <c r="R17" s="85">
        <v>9.3859211183225169E-2</v>
      </c>
      <c r="S17" s="2"/>
      <c r="T17" s="18" t="str">
        <f>_xlfn.XLOOKUP(B17,Data!C:C,Data!G:G,"")</f>
        <v>DOWN</v>
      </c>
      <c r="U17" s="44">
        <f>_xlfn.XLOOKUP(B17,Data!C:C,Data!H:H,"")</f>
        <v>0.1</v>
      </c>
    </row>
    <row r="18" spans="2:45" s="26" customFormat="1" ht="46.8" thickBot="1" x14ac:dyDescent="0.9">
      <c r="B18" s="86" t="s">
        <v>20</v>
      </c>
      <c r="C18" s="87"/>
      <c r="D18" s="87"/>
      <c r="E18" s="87"/>
      <c r="F18" s="87"/>
      <c r="G18" s="87"/>
      <c r="H18" s="87"/>
      <c r="I18" s="87"/>
      <c r="J18" s="87"/>
      <c r="K18" s="87"/>
      <c r="L18" s="87"/>
      <c r="M18" s="87"/>
      <c r="N18" s="87"/>
      <c r="O18" s="87"/>
      <c r="P18" s="87"/>
      <c r="Q18" s="87"/>
      <c r="R18" s="87"/>
      <c r="S18" s="25"/>
      <c r="T18" s="18" t="str">
        <f>_xlfn.XLOOKUP(B18,Data!C:C,Data!G:G,"")</f>
        <v/>
      </c>
      <c r="U18" s="44" t="str">
        <f>_xlfn.XLOOKUP(B18,Data!C:C,Data!H:H,"")</f>
        <v/>
      </c>
      <c r="AD18"/>
      <c r="AG18"/>
      <c r="AH18"/>
      <c r="AI18"/>
      <c r="AQ18"/>
      <c r="AR18"/>
      <c r="AS18"/>
    </row>
    <row r="19" spans="2:45" ht="46.2" x14ac:dyDescent="0.85">
      <c r="B19" s="84" t="s">
        <v>21</v>
      </c>
      <c r="C19" s="85">
        <v>0.45800000000000002</v>
      </c>
      <c r="D19" s="85">
        <v>0.57299999999999995</v>
      </c>
      <c r="E19" s="85">
        <v>0.63</v>
      </c>
      <c r="F19" s="85">
        <v>0.61</v>
      </c>
      <c r="G19" s="85">
        <v>0.59</v>
      </c>
      <c r="H19" s="85">
        <v>0.62</v>
      </c>
      <c r="I19" s="85">
        <v>0.61</v>
      </c>
      <c r="J19" s="85">
        <v>0.5</v>
      </c>
      <c r="K19" s="85">
        <v>0.56000000000000005</v>
      </c>
      <c r="L19" s="85">
        <v>0.57999999999999996</v>
      </c>
      <c r="M19" s="85">
        <v>0.56999999999999995</v>
      </c>
      <c r="N19" s="85">
        <v>0.51</v>
      </c>
      <c r="O19" s="85">
        <v>0.48</v>
      </c>
      <c r="P19" s="85">
        <v>0.51</v>
      </c>
      <c r="Q19" s="85">
        <v>0.47</v>
      </c>
      <c r="R19" s="85"/>
      <c r="S19" s="2"/>
      <c r="T19" s="18" t="str">
        <f>_xlfn.XLOOKUP(B19,Data!C:C,Data!G:G,"")</f>
        <v>DOWN</v>
      </c>
      <c r="U19" s="44">
        <f>_xlfn.XLOOKUP(B19,Data!C:C,Data!H:H,"")</f>
        <v>0.59</v>
      </c>
      <c r="AA19" s="113" t="s">
        <v>99</v>
      </c>
      <c r="AB19" s="114"/>
    </row>
    <row r="20" spans="2:45" ht="46.2" x14ac:dyDescent="0.85">
      <c r="B20" s="84" t="s">
        <v>22</v>
      </c>
      <c r="C20" s="85">
        <v>0.65200000000000002</v>
      </c>
      <c r="D20" s="85">
        <v>0.69599999999999995</v>
      </c>
      <c r="E20" s="85">
        <v>0.82399999999999995</v>
      </c>
      <c r="F20" s="85">
        <v>0.41399999999999998</v>
      </c>
      <c r="G20" s="85">
        <v>0.75</v>
      </c>
      <c r="H20" s="85">
        <v>0.621</v>
      </c>
      <c r="I20" s="85">
        <v>0.72699999999999998</v>
      </c>
      <c r="J20" s="85">
        <v>0.54500000000000004</v>
      </c>
      <c r="K20" s="85">
        <v>0.76700000000000002</v>
      </c>
      <c r="L20" s="85">
        <v>0.72699999999999998</v>
      </c>
      <c r="M20" s="85">
        <v>0.86699999999999999</v>
      </c>
      <c r="N20" s="85">
        <v>0.62</v>
      </c>
      <c r="O20" s="85">
        <v>0.66</v>
      </c>
      <c r="P20" s="85">
        <v>0.67</v>
      </c>
      <c r="Q20" s="85">
        <v>0.61</v>
      </c>
      <c r="R20" s="85"/>
      <c r="S20" s="2"/>
      <c r="T20" s="18" t="str">
        <f>_xlfn.XLOOKUP(B20,Data!C:C,Data!G:G,"")</f>
        <v>DOWN</v>
      </c>
      <c r="U20" s="44">
        <f>_xlfn.XLOOKUP(B20,Data!C:C,Data!H:H,"")</f>
        <v>0.56999999999999995</v>
      </c>
      <c r="AA20" s="75" t="s">
        <v>96</v>
      </c>
      <c r="AB20" s="76" t="s">
        <v>87</v>
      </c>
    </row>
    <row r="21" spans="2:45" ht="46.2" x14ac:dyDescent="0.85">
      <c r="B21" s="88" t="s">
        <v>23</v>
      </c>
      <c r="C21" s="89"/>
      <c r="D21" s="89"/>
      <c r="E21" s="89"/>
      <c r="F21" s="89"/>
      <c r="G21" s="89"/>
      <c r="H21" s="89"/>
      <c r="I21" s="89"/>
      <c r="J21" s="89"/>
      <c r="K21" s="89"/>
      <c r="L21" s="89"/>
      <c r="M21" s="89"/>
      <c r="N21" s="89"/>
      <c r="O21" s="89"/>
      <c r="P21" s="89"/>
      <c r="Q21" s="89"/>
      <c r="R21" s="89"/>
      <c r="S21" s="2"/>
      <c r="U21" s="7"/>
      <c r="AA21" s="77" t="s">
        <v>88</v>
      </c>
      <c r="AB21" s="78" t="s">
        <v>89</v>
      </c>
      <c r="AD21" s="52"/>
    </row>
    <row r="22" spans="2:45" ht="46.2" x14ac:dyDescent="0.85">
      <c r="B22" s="84" t="s">
        <v>24</v>
      </c>
      <c r="C22" s="85">
        <v>0.77049999999999996</v>
      </c>
      <c r="D22" s="85">
        <v>0.82979999999999998</v>
      </c>
      <c r="E22" s="85">
        <v>0.84730000000000005</v>
      </c>
      <c r="F22" s="85">
        <v>0.80420000000000003</v>
      </c>
      <c r="G22" s="85">
        <v>0.74780000000000002</v>
      </c>
      <c r="H22" s="85">
        <v>0.77939999999999998</v>
      </c>
      <c r="I22" s="85">
        <v>0.80989999999999995</v>
      </c>
      <c r="J22" s="85">
        <v>0.80469999999999997</v>
      </c>
      <c r="K22" s="85">
        <v>0.80159999999999998</v>
      </c>
      <c r="L22" s="85">
        <v>0.79610000000000003</v>
      </c>
      <c r="M22" s="85">
        <v>0.87180000000000002</v>
      </c>
      <c r="N22" s="85">
        <v>0.82699999999999996</v>
      </c>
      <c r="O22" s="85">
        <v>0.76900000000000002</v>
      </c>
      <c r="P22" s="85">
        <v>0.878</v>
      </c>
      <c r="Q22" s="85">
        <v>0.79400000000000004</v>
      </c>
      <c r="R22" s="85">
        <v>0.84399999999999997</v>
      </c>
      <c r="S22" s="2"/>
      <c r="T22" s="18" t="str">
        <f>_xlfn.XLOOKUP(B22,Data!C:C,Data!G:G,"")</f>
        <v>UP</v>
      </c>
      <c r="U22" s="44">
        <f>_xlfn.XLOOKUP(B22,Data!C:C,Data!H:H,"")</f>
        <v>0.85</v>
      </c>
      <c r="AA22" s="77" t="s">
        <v>90</v>
      </c>
      <c r="AB22" s="78" t="s">
        <v>91</v>
      </c>
    </row>
    <row r="23" spans="2:45" ht="46.2" x14ac:dyDescent="0.85">
      <c r="B23" s="84" t="s">
        <v>25</v>
      </c>
      <c r="C23" s="85">
        <v>0.68</v>
      </c>
      <c r="D23" s="85">
        <v>0.7238</v>
      </c>
      <c r="E23" s="85">
        <v>0.7</v>
      </c>
      <c r="F23" s="85">
        <v>0.68420000000000003</v>
      </c>
      <c r="G23" s="85">
        <v>0.71</v>
      </c>
      <c r="H23" s="85">
        <v>0.65</v>
      </c>
      <c r="I23" s="85">
        <v>0.74439999999999995</v>
      </c>
      <c r="J23" s="85">
        <v>0.81369999999999998</v>
      </c>
      <c r="K23" s="85">
        <v>0.63560000000000005</v>
      </c>
      <c r="L23" s="85">
        <v>0.71550000000000002</v>
      </c>
      <c r="M23" s="85">
        <v>0.70650000000000002</v>
      </c>
      <c r="N23" s="85">
        <v>0.77100000000000002</v>
      </c>
      <c r="O23" s="85">
        <v>0.69799999999999995</v>
      </c>
      <c r="P23" s="85">
        <v>0.73299999999999998</v>
      </c>
      <c r="Q23" s="85">
        <v>0.83899999999999997</v>
      </c>
      <c r="R23" s="85">
        <v>0.73240000000000005</v>
      </c>
      <c r="S23" s="2"/>
      <c r="T23" s="18" t="str">
        <f>_xlfn.XLOOKUP(B23,Data!C:C,Data!G:G,"")</f>
        <v>UP</v>
      </c>
      <c r="U23" s="44">
        <f>_xlfn.XLOOKUP(B23,Data!C:C,Data!H:H,"")</f>
        <v>0.65</v>
      </c>
      <c r="AA23" s="77" t="s">
        <v>92</v>
      </c>
      <c r="AB23" s="78" t="s">
        <v>93</v>
      </c>
    </row>
    <row r="24" spans="2:45" ht="46.8" thickBot="1" x14ac:dyDescent="0.9">
      <c r="B24" s="84" t="s">
        <v>26</v>
      </c>
      <c r="C24" s="85">
        <v>0.87119999999999997</v>
      </c>
      <c r="D24" s="85">
        <v>0.8679</v>
      </c>
      <c r="E24" s="85">
        <v>0.85189999999999999</v>
      </c>
      <c r="F24" s="85">
        <v>0.78659999999999997</v>
      </c>
      <c r="G24" s="85">
        <v>0.91180000000000005</v>
      </c>
      <c r="H24" s="85">
        <v>0.8306</v>
      </c>
      <c r="I24" s="85">
        <v>0.875</v>
      </c>
      <c r="J24" s="85">
        <v>0.84309999999999996</v>
      </c>
      <c r="K24" s="85">
        <v>0.85589999999999999</v>
      </c>
      <c r="L24" s="85">
        <v>0.84260000000000002</v>
      </c>
      <c r="M24" s="85">
        <v>0.93410000000000004</v>
      </c>
      <c r="N24" s="85">
        <v>0.85299999999999998</v>
      </c>
      <c r="O24" s="85">
        <v>0.90200000000000002</v>
      </c>
      <c r="P24" s="85">
        <v>0.80800000000000005</v>
      </c>
      <c r="Q24" s="85">
        <v>0.89500000000000002</v>
      </c>
      <c r="R24" s="85">
        <v>0.90900000000000003</v>
      </c>
      <c r="S24" s="2"/>
      <c r="T24" s="18" t="str">
        <f>_xlfn.XLOOKUP(B24,Data!C:C,Data!G:G,"")</f>
        <v>UP</v>
      </c>
      <c r="U24" s="44">
        <f>_xlfn.XLOOKUP(B24,Data!C:C,Data!H:H,"")</f>
        <v>0.85</v>
      </c>
      <c r="AA24" s="79" t="s">
        <v>94</v>
      </c>
      <c r="AB24" s="80" t="s">
        <v>95</v>
      </c>
      <c r="AF24" s="14"/>
    </row>
    <row r="25" spans="2:45" ht="46.2" x14ac:dyDescent="0.85">
      <c r="B25" s="84" t="s">
        <v>27</v>
      </c>
      <c r="C25" s="85">
        <v>0.84160000000000001</v>
      </c>
      <c r="D25" s="85">
        <v>0.82350000000000001</v>
      </c>
      <c r="E25" s="85">
        <v>0.82720000000000005</v>
      </c>
      <c r="F25" s="85">
        <v>0.78669999999999995</v>
      </c>
      <c r="G25" s="85">
        <v>0.84689999999999999</v>
      </c>
      <c r="H25" s="85">
        <v>0.86670000000000003</v>
      </c>
      <c r="I25" s="85">
        <v>0.88639999999999997</v>
      </c>
      <c r="J25" s="85">
        <v>0.87</v>
      </c>
      <c r="K25" s="85">
        <v>0.76470000000000005</v>
      </c>
      <c r="L25" s="85">
        <v>0.79810000000000003</v>
      </c>
      <c r="M25" s="85">
        <v>0.80900000000000005</v>
      </c>
      <c r="N25" s="85">
        <v>0.84399999999999997</v>
      </c>
      <c r="O25" s="85">
        <v>0.84199999999999997</v>
      </c>
      <c r="P25" s="85">
        <v>0.84499999999999997</v>
      </c>
      <c r="Q25" s="85">
        <v>0.80500000000000005</v>
      </c>
      <c r="R25" s="85">
        <v>0.82099999999999995</v>
      </c>
      <c r="S25" s="2"/>
      <c r="T25" s="18" t="str">
        <f>_xlfn.XLOOKUP(B25,Data!C:C,Data!G:G,"")</f>
        <v>UP</v>
      </c>
      <c r="U25" s="44">
        <f>_xlfn.XLOOKUP(B25,Data!C:C,Data!H:H,"")</f>
        <v>0.7</v>
      </c>
      <c r="AA25" s="14"/>
    </row>
    <row r="26" spans="2:45" x14ac:dyDescent="0.65">
      <c r="T26" s="18"/>
      <c r="U26" s="18"/>
    </row>
    <row r="27" spans="2:45" ht="7.8" customHeight="1" x14ac:dyDescent="0.7">
      <c r="AJ27" s="28"/>
    </row>
    <row r="28" spans="2:45" ht="10.8" hidden="1" customHeight="1" x14ac:dyDescent="0.7">
      <c r="AJ28" s="28"/>
    </row>
    <row r="29" spans="2:45" ht="12" customHeight="1" thickBot="1" x14ac:dyDescent="0.7"/>
    <row r="30" spans="2:45" ht="46.8" thickBot="1" x14ac:dyDescent="0.9">
      <c r="B30" s="33" t="s">
        <v>46</v>
      </c>
      <c r="C30" s="14"/>
      <c r="D30" s="33"/>
      <c r="E30" s="33"/>
      <c r="F30" s="33"/>
      <c r="G30" s="33"/>
      <c r="H30" s="33"/>
      <c r="I30" s="33"/>
      <c r="J30" s="33"/>
      <c r="K30" s="33"/>
      <c r="L30" s="33"/>
      <c r="M30" s="33"/>
      <c r="N30" s="33"/>
      <c r="O30" s="33"/>
      <c r="P30" s="33"/>
      <c r="Q30" s="33"/>
      <c r="R30" s="33"/>
      <c r="S30" s="2"/>
      <c r="T30" s="2"/>
      <c r="U30" s="2"/>
      <c r="W30" s="110" t="s">
        <v>108</v>
      </c>
      <c r="X30" s="111"/>
      <c r="Y30" s="112"/>
      <c r="AA30" s="51" t="s">
        <v>117</v>
      </c>
      <c r="AB30" s="51" t="s">
        <v>118</v>
      </c>
      <c r="AC30" s="51" t="s">
        <v>119</v>
      </c>
    </row>
    <row r="31" spans="2:45" ht="46.2" x14ac:dyDescent="0.85">
      <c r="B31" s="14"/>
      <c r="C31" s="90">
        <v>45535</v>
      </c>
      <c r="D31" s="90">
        <v>45565</v>
      </c>
      <c r="E31" s="90">
        <v>45596</v>
      </c>
      <c r="F31" s="90">
        <v>45626</v>
      </c>
      <c r="G31" s="90">
        <v>45657</v>
      </c>
      <c r="H31" s="90">
        <v>45688</v>
      </c>
      <c r="I31" s="90">
        <v>45716</v>
      </c>
      <c r="J31" s="90">
        <v>45747</v>
      </c>
      <c r="K31" s="90">
        <v>45777</v>
      </c>
      <c r="L31" s="90">
        <v>45808</v>
      </c>
      <c r="M31" s="90">
        <v>45838</v>
      </c>
      <c r="N31" s="90">
        <v>45869</v>
      </c>
      <c r="O31" s="90">
        <v>45900</v>
      </c>
      <c r="P31" s="90">
        <v>45930</v>
      </c>
      <c r="Q31" s="90">
        <v>45961</v>
      </c>
      <c r="R31" s="90">
        <v>45991</v>
      </c>
      <c r="S31" s="2"/>
      <c r="T31" s="16" t="s">
        <v>68</v>
      </c>
      <c r="U31" s="21" t="s">
        <v>7</v>
      </c>
      <c r="W31" s="36" t="s">
        <v>100</v>
      </c>
      <c r="X31" s="35" t="s">
        <v>101</v>
      </c>
      <c r="Y31" s="37" t="s">
        <v>102</v>
      </c>
      <c r="AA31" s="82" t="s">
        <v>12</v>
      </c>
      <c r="AB31" s="120">
        <v>1</v>
      </c>
      <c r="AC31" s="120">
        <v>3</v>
      </c>
    </row>
    <row r="32" spans="2:45" ht="46.2" x14ac:dyDescent="0.85">
      <c r="B32" s="88" t="s">
        <v>10</v>
      </c>
      <c r="C32" s="119"/>
      <c r="D32" s="119"/>
      <c r="E32" s="119"/>
      <c r="F32" s="119"/>
      <c r="G32" s="119"/>
      <c r="H32" s="119"/>
      <c r="I32" s="119"/>
      <c r="J32" s="119"/>
      <c r="K32" s="119"/>
      <c r="L32" s="119"/>
      <c r="M32" s="119"/>
      <c r="N32" s="119"/>
      <c r="O32" s="119"/>
      <c r="P32" s="119"/>
      <c r="Q32" s="119"/>
      <c r="R32" s="119"/>
      <c r="S32" s="2"/>
      <c r="T32" s="18" t="str">
        <f>_xlfn.XLOOKUP(B32,Data!C:C,Data!G:G,"")</f>
        <v/>
      </c>
      <c r="U32" s="19"/>
      <c r="W32" s="38">
        <v>1</v>
      </c>
      <c r="X32" s="18" t="s">
        <v>103</v>
      </c>
      <c r="Y32" s="39" t="s">
        <v>106</v>
      </c>
      <c r="AA32" s="82" t="s">
        <v>14</v>
      </c>
      <c r="AB32" s="120">
        <v>4</v>
      </c>
      <c r="AC32" s="120">
        <v>3</v>
      </c>
    </row>
    <row r="33" spans="2:32" ht="46.2" x14ac:dyDescent="0.85">
      <c r="B33" s="84" t="s">
        <v>12</v>
      </c>
      <c r="C33" s="120">
        <v>0</v>
      </c>
      <c r="D33" s="120">
        <v>0</v>
      </c>
      <c r="E33" s="120">
        <v>0</v>
      </c>
      <c r="F33" s="120">
        <v>0</v>
      </c>
      <c r="G33" s="120">
        <v>1</v>
      </c>
      <c r="H33" s="120">
        <v>0</v>
      </c>
      <c r="I33" s="120">
        <v>0</v>
      </c>
      <c r="J33" s="120">
        <v>0</v>
      </c>
      <c r="K33" s="120">
        <v>0</v>
      </c>
      <c r="L33" s="120">
        <v>0</v>
      </c>
      <c r="M33" s="120">
        <v>0</v>
      </c>
      <c r="N33" s="120">
        <v>0</v>
      </c>
      <c r="O33" s="120">
        <v>0</v>
      </c>
      <c r="P33" s="120">
        <v>0</v>
      </c>
      <c r="Q33" s="120">
        <v>0</v>
      </c>
      <c r="R33" s="120">
        <v>0</v>
      </c>
      <c r="S33" s="2"/>
      <c r="T33" s="18" t="str">
        <f>_xlfn.XLOOKUP(B33,Data!C:C,Data!G:G,"")</f>
        <v>DOWN</v>
      </c>
      <c r="U33" s="19">
        <f>_xlfn.XLOOKUP(B33,Data!C:C,Data!H:H,"")</f>
        <v>0.27</v>
      </c>
      <c r="W33" s="38">
        <v>0</v>
      </c>
      <c r="X33" s="18" t="s">
        <v>104</v>
      </c>
      <c r="Y33" s="40" t="s">
        <v>109</v>
      </c>
      <c r="AA33" s="82" t="s">
        <v>15</v>
      </c>
      <c r="AB33" s="120">
        <v>0</v>
      </c>
      <c r="AC33" s="120">
        <v>6</v>
      </c>
      <c r="AF33" s="14"/>
    </row>
    <row r="34" spans="2:32" ht="46.8" thickBot="1" x14ac:dyDescent="0.9">
      <c r="B34" s="84" t="s">
        <v>14</v>
      </c>
      <c r="C34" s="120">
        <v>0</v>
      </c>
      <c r="D34" s="120">
        <v>0</v>
      </c>
      <c r="E34" s="120">
        <v>0</v>
      </c>
      <c r="F34" s="120">
        <v>0</v>
      </c>
      <c r="G34" s="120">
        <v>0</v>
      </c>
      <c r="H34" s="120">
        <v>1</v>
      </c>
      <c r="I34" s="120">
        <v>1</v>
      </c>
      <c r="J34" s="120">
        <v>0</v>
      </c>
      <c r="K34" s="120">
        <v>1</v>
      </c>
      <c r="L34" s="120">
        <v>0</v>
      </c>
      <c r="M34" s="120">
        <v>0</v>
      </c>
      <c r="N34" s="120">
        <v>0</v>
      </c>
      <c r="O34" s="120">
        <v>0</v>
      </c>
      <c r="P34" s="120">
        <v>0</v>
      </c>
      <c r="Q34" s="120">
        <v>0</v>
      </c>
      <c r="R34" s="120">
        <v>1</v>
      </c>
      <c r="S34" s="2"/>
      <c r="T34" s="18" t="str">
        <f>_xlfn.XLOOKUP(B34,Data!C:C,Data!G:G,"")</f>
        <v>DOWN</v>
      </c>
      <c r="U34" s="19">
        <f>_xlfn.XLOOKUP(B34,Data!C:C,Data!H:H,"")</f>
        <v>5.3999999999999999E-2</v>
      </c>
      <c r="W34" s="41">
        <v>-1</v>
      </c>
      <c r="X34" s="42" t="s">
        <v>105</v>
      </c>
      <c r="Y34" s="43" t="s">
        <v>107</v>
      </c>
      <c r="AA34" s="82" t="s">
        <v>16</v>
      </c>
      <c r="AB34" s="120">
        <v>0</v>
      </c>
      <c r="AC34" s="120">
        <v>0</v>
      </c>
    </row>
    <row r="35" spans="2:32" ht="46.2" x14ac:dyDescent="0.85">
      <c r="B35" s="84" t="s">
        <v>15</v>
      </c>
      <c r="C35" s="120">
        <v>0</v>
      </c>
      <c r="D35" s="120">
        <v>0</v>
      </c>
      <c r="E35" s="120">
        <v>0</v>
      </c>
      <c r="F35" s="120">
        <v>0</v>
      </c>
      <c r="G35" s="120">
        <v>0</v>
      </c>
      <c r="H35" s="120">
        <v>0</v>
      </c>
      <c r="I35" s="120">
        <v>0</v>
      </c>
      <c r="J35" s="120">
        <v>0</v>
      </c>
      <c r="K35" s="120">
        <v>0</v>
      </c>
      <c r="L35" s="120">
        <v>0</v>
      </c>
      <c r="M35" s="120">
        <v>0</v>
      </c>
      <c r="N35" s="120">
        <v>0</v>
      </c>
      <c r="O35" s="120">
        <v>0</v>
      </c>
      <c r="P35" s="120">
        <v>0</v>
      </c>
      <c r="Q35" s="120">
        <v>0</v>
      </c>
      <c r="R35" s="120">
        <v>0</v>
      </c>
      <c r="S35" s="2"/>
      <c r="T35" s="18" t="str">
        <f>_xlfn.XLOOKUP(B35,Data!C:C,Data!G:G,"")</f>
        <v>DOWN</v>
      </c>
      <c r="U35" s="19">
        <f>_xlfn.XLOOKUP(B35,Data!C:C,Data!H:H,"")</f>
        <v>6.6000000000000003E-2</v>
      </c>
      <c r="AA35" s="82" t="s">
        <v>18</v>
      </c>
      <c r="AB35" s="120">
        <v>0</v>
      </c>
      <c r="AC35" s="120">
        <v>4</v>
      </c>
    </row>
    <row r="36" spans="2:32" ht="46.2" x14ac:dyDescent="0.85">
      <c r="B36" s="84" t="s">
        <v>16</v>
      </c>
      <c r="C36" s="120">
        <v>0</v>
      </c>
      <c r="D36" s="120">
        <v>0</v>
      </c>
      <c r="E36" s="120">
        <v>0</v>
      </c>
      <c r="F36" s="120">
        <v>0</v>
      </c>
      <c r="G36" s="120">
        <v>0</v>
      </c>
      <c r="H36" s="120">
        <v>0</v>
      </c>
      <c r="I36" s="120">
        <v>0</v>
      </c>
      <c r="J36" s="120">
        <v>0</v>
      </c>
      <c r="K36" s="120">
        <v>0</v>
      </c>
      <c r="L36" s="120">
        <v>0</v>
      </c>
      <c r="M36" s="120">
        <v>0</v>
      </c>
      <c r="N36" s="120">
        <v>0</v>
      </c>
      <c r="O36" s="120">
        <v>0</v>
      </c>
      <c r="P36" s="120">
        <v>0</v>
      </c>
      <c r="Q36" s="120">
        <v>0</v>
      </c>
      <c r="R36" s="120">
        <v>0</v>
      </c>
      <c r="S36" s="2"/>
      <c r="T36" s="18" t="str">
        <f>_xlfn.XLOOKUP(B36,Data!C:C,Data!G:G,"")</f>
        <v>UP</v>
      </c>
      <c r="U36" s="19">
        <f>_xlfn.XLOOKUP(B36,Data!C:C,Data!H:H,"")</f>
        <v>0.16400000000000001</v>
      </c>
      <c r="AA36" s="82" t="s">
        <v>19</v>
      </c>
      <c r="AB36" s="120">
        <v>2</v>
      </c>
      <c r="AC36" s="120">
        <v>2</v>
      </c>
    </row>
    <row r="37" spans="2:32" ht="46.2" x14ac:dyDescent="0.85">
      <c r="B37" s="84" t="s">
        <v>18</v>
      </c>
      <c r="C37" s="120">
        <v>0</v>
      </c>
      <c r="D37" s="120">
        <v>0</v>
      </c>
      <c r="E37" s="120">
        <v>0</v>
      </c>
      <c r="F37" s="120">
        <v>0</v>
      </c>
      <c r="G37" s="120">
        <v>0</v>
      </c>
      <c r="H37" s="120">
        <v>0</v>
      </c>
      <c r="I37" s="120">
        <v>0</v>
      </c>
      <c r="J37" s="120">
        <v>0</v>
      </c>
      <c r="K37" s="120">
        <v>0</v>
      </c>
      <c r="L37" s="120">
        <v>0</v>
      </c>
      <c r="M37" s="120">
        <v>0</v>
      </c>
      <c r="N37" s="120">
        <v>0</v>
      </c>
      <c r="O37" s="120">
        <v>0</v>
      </c>
      <c r="P37" s="120">
        <v>0</v>
      </c>
      <c r="Q37" s="120">
        <v>0</v>
      </c>
      <c r="R37" s="120">
        <v>0</v>
      </c>
      <c r="S37" s="2"/>
      <c r="T37" s="18" t="str">
        <f>_xlfn.XLOOKUP(B37,Data!C:C,Data!G:G,"")</f>
        <v>DOWN</v>
      </c>
      <c r="U37" s="19">
        <f>_xlfn.XLOOKUP(B37,Data!C:C,Data!H:H,"")</f>
        <v>0.104</v>
      </c>
      <c r="AA37" s="82" t="s">
        <v>21</v>
      </c>
      <c r="AB37" s="120">
        <v>0</v>
      </c>
      <c r="AC37" s="120">
        <v>0</v>
      </c>
    </row>
    <row r="38" spans="2:32" ht="46.2" x14ac:dyDescent="0.85">
      <c r="B38" s="84" t="s">
        <v>19</v>
      </c>
      <c r="C38" s="120">
        <v>0</v>
      </c>
      <c r="D38" s="120">
        <v>1</v>
      </c>
      <c r="E38" s="120">
        <v>0</v>
      </c>
      <c r="F38" s="120">
        <v>0</v>
      </c>
      <c r="G38" s="120">
        <v>0</v>
      </c>
      <c r="H38" s="120">
        <v>0</v>
      </c>
      <c r="I38" s="120">
        <v>0</v>
      </c>
      <c r="J38" s="120">
        <v>0</v>
      </c>
      <c r="K38" s="120">
        <v>0</v>
      </c>
      <c r="L38" s="120">
        <v>0</v>
      </c>
      <c r="M38" s="120">
        <v>1</v>
      </c>
      <c r="N38" s="120">
        <v>0</v>
      </c>
      <c r="O38" s="120">
        <v>0</v>
      </c>
      <c r="P38" s="120">
        <v>0</v>
      </c>
      <c r="Q38" s="120">
        <v>0</v>
      </c>
      <c r="R38" s="120">
        <v>0</v>
      </c>
      <c r="S38" s="2"/>
      <c r="T38" s="20" t="str">
        <f>_xlfn.XLOOKUP(B38,Data!C:C,Data!G:G,"")</f>
        <v>DOWN</v>
      </c>
      <c r="U38" s="23">
        <f>_xlfn.XLOOKUP(B38,Data!C:C,Data!H:H,"")</f>
        <v>0.1</v>
      </c>
      <c r="AA38" s="82" t="s">
        <v>22</v>
      </c>
      <c r="AB38" s="120">
        <v>2</v>
      </c>
      <c r="AC38" s="120">
        <v>6</v>
      </c>
    </row>
    <row r="39" spans="2:32" ht="46.2" x14ac:dyDescent="0.85">
      <c r="B39" s="88" t="s">
        <v>20</v>
      </c>
      <c r="C39" s="119"/>
      <c r="D39" s="119"/>
      <c r="E39" s="119"/>
      <c r="F39" s="119"/>
      <c r="G39" s="119"/>
      <c r="H39" s="119"/>
      <c r="I39" s="119"/>
      <c r="J39" s="119"/>
      <c r="K39" s="119"/>
      <c r="L39" s="119"/>
      <c r="M39" s="119"/>
      <c r="N39" s="119"/>
      <c r="O39" s="119"/>
      <c r="P39" s="119"/>
      <c r="Q39" s="119"/>
      <c r="R39" s="119"/>
      <c r="S39" s="2"/>
      <c r="T39" s="18" t="str">
        <f>_xlfn.XLOOKUP(B39,Data!C:C,Data!G:G,"")</f>
        <v/>
      </c>
      <c r="U39" s="19" t="str">
        <f>_xlfn.XLOOKUP(B39,Data!C:C,Data!H:H,"")</f>
        <v/>
      </c>
      <c r="AA39" s="82" t="s">
        <v>24</v>
      </c>
      <c r="AB39" s="120">
        <v>2</v>
      </c>
      <c r="AC39" s="120">
        <v>7</v>
      </c>
    </row>
    <row r="40" spans="2:32" ht="46.2" x14ac:dyDescent="0.85">
      <c r="B40" s="84" t="s">
        <v>21</v>
      </c>
      <c r="C40" s="120">
        <v>0</v>
      </c>
      <c r="D40" s="120">
        <v>0</v>
      </c>
      <c r="E40" s="120">
        <v>0</v>
      </c>
      <c r="F40" s="120">
        <v>0</v>
      </c>
      <c r="G40" s="120">
        <v>0</v>
      </c>
      <c r="H40" s="120">
        <v>0</v>
      </c>
      <c r="I40" s="120">
        <v>0</v>
      </c>
      <c r="J40" s="120">
        <v>0</v>
      </c>
      <c r="K40" s="120">
        <v>0</v>
      </c>
      <c r="L40" s="120">
        <v>0</v>
      </c>
      <c r="M40" s="120">
        <v>0</v>
      </c>
      <c r="N40" s="120">
        <v>0</v>
      </c>
      <c r="O40" s="120">
        <v>0</v>
      </c>
      <c r="P40" s="120">
        <v>0</v>
      </c>
      <c r="Q40" s="120">
        <v>0</v>
      </c>
      <c r="R40" s="121"/>
      <c r="S40" s="2"/>
      <c r="T40" s="18" t="str">
        <f>_xlfn.XLOOKUP(B40,Data!C:C,Data!G:G,"")</f>
        <v>DOWN</v>
      </c>
      <c r="U40" s="24">
        <f>_xlfn.XLOOKUP(B40,Data!C:C,Data!H:H,"")</f>
        <v>0.59</v>
      </c>
      <c r="AA40" s="82" t="s">
        <v>25</v>
      </c>
      <c r="AB40" s="120">
        <v>1</v>
      </c>
      <c r="AC40" s="120">
        <v>0</v>
      </c>
    </row>
    <row r="41" spans="2:32" ht="46.2" x14ac:dyDescent="0.85">
      <c r="B41" s="84" t="s">
        <v>22</v>
      </c>
      <c r="C41" s="120">
        <v>0</v>
      </c>
      <c r="D41" s="120">
        <v>0</v>
      </c>
      <c r="E41" s="120">
        <v>0</v>
      </c>
      <c r="F41" s="120">
        <v>0</v>
      </c>
      <c r="G41" s="120">
        <v>1</v>
      </c>
      <c r="H41" s="120">
        <v>0</v>
      </c>
      <c r="I41" s="120">
        <v>0</v>
      </c>
      <c r="J41" s="120">
        <v>0</v>
      </c>
      <c r="K41" s="120">
        <v>1</v>
      </c>
      <c r="L41" s="120">
        <v>0</v>
      </c>
      <c r="M41" s="120">
        <v>0</v>
      </c>
      <c r="N41" s="120">
        <v>0</v>
      </c>
      <c r="O41" s="120">
        <v>0</v>
      </c>
      <c r="P41" s="120">
        <v>0</v>
      </c>
      <c r="Q41" s="120">
        <v>0</v>
      </c>
      <c r="R41" s="121"/>
      <c r="S41" s="2"/>
      <c r="T41" s="18" t="str">
        <f>_xlfn.XLOOKUP(B41,Data!C:C,Data!G:G,"")</f>
        <v>DOWN</v>
      </c>
      <c r="U41" s="19">
        <f>_xlfn.XLOOKUP(B41,Data!C:C,Data!H:H,"")</f>
        <v>0.56999999999999995</v>
      </c>
      <c r="AA41" s="82" t="s">
        <v>26</v>
      </c>
      <c r="AB41" s="120">
        <v>1</v>
      </c>
      <c r="AC41" s="120">
        <v>0</v>
      </c>
    </row>
    <row r="42" spans="2:32" ht="46.2" x14ac:dyDescent="0.85">
      <c r="B42" s="88" t="s">
        <v>23</v>
      </c>
      <c r="C42" s="119"/>
      <c r="D42" s="119"/>
      <c r="E42" s="119"/>
      <c r="F42" s="119"/>
      <c r="G42" s="119"/>
      <c r="H42" s="119"/>
      <c r="I42" s="119"/>
      <c r="J42" s="119"/>
      <c r="K42" s="119"/>
      <c r="L42" s="119"/>
      <c r="M42" s="119"/>
      <c r="N42" s="119"/>
      <c r="O42" s="119"/>
      <c r="P42" s="119"/>
      <c r="Q42" s="119"/>
      <c r="R42" s="119"/>
      <c r="S42" s="2"/>
      <c r="T42" s="20"/>
      <c r="U42" s="23" t="str">
        <f>_xlfn.XLOOKUP(B42,Data!C:C,Data!H:H,"")</f>
        <v/>
      </c>
      <c r="AA42" s="82" t="s">
        <v>27</v>
      </c>
      <c r="AB42" s="120">
        <v>0</v>
      </c>
      <c r="AC42" s="120">
        <v>0</v>
      </c>
    </row>
    <row r="43" spans="2:32" ht="46.2" x14ac:dyDescent="0.85">
      <c r="B43" s="84" t="s">
        <v>24</v>
      </c>
      <c r="C43" s="120">
        <v>0</v>
      </c>
      <c r="D43" s="120">
        <v>0</v>
      </c>
      <c r="E43" s="120">
        <v>0</v>
      </c>
      <c r="F43" s="120">
        <v>1</v>
      </c>
      <c r="G43" s="120">
        <v>1</v>
      </c>
      <c r="H43" s="120">
        <v>0</v>
      </c>
      <c r="I43" s="120">
        <v>0</v>
      </c>
      <c r="J43" s="120">
        <v>0</v>
      </c>
      <c r="K43" s="120">
        <v>0</v>
      </c>
      <c r="L43" s="120">
        <v>0</v>
      </c>
      <c r="M43" s="120">
        <v>0</v>
      </c>
      <c r="N43" s="120">
        <v>-1</v>
      </c>
      <c r="O43" s="120">
        <v>-1</v>
      </c>
      <c r="P43" s="120">
        <v>0</v>
      </c>
      <c r="Q43" s="120">
        <v>-1</v>
      </c>
      <c r="R43" s="120">
        <v>0</v>
      </c>
      <c r="S43" s="2"/>
      <c r="T43" s="18" t="str">
        <f>_xlfn.XLOOKUP(B43,Data!C:C,Data!G:G,"")</f>
        <v>UP</v>
      </c>
      <c r="U43" s="19">
        <f>_xlfn.XLOOKUP(B43,Data!C:C,Data!H:H,"")</f>
        <v>0.85</v>
      </c>
      <c r="AA43" s="91" t="s">
        <v>53</v>
      </c>
      <c r="AB43" s="124">
        <v>13</v>
      </c>
      <c r="AC43" s="124">
        <v>31</v>
      </c>
    </row>
    <row r="44" spans="2:32" ht="46.2" x14ac:dyDescent="0.85">
      <c r="B44" s="84" t="s">
        <v>25</v>
      </c>
      <c r="C44" s="120">
        <v>0</v>
      </c>
      <c r="D44" s="120">
        <v>0</v>
      </c>
      <c r="E44" s="120">
        <v>0</v>
      </c>
      <c r="F44" s="120">
        <v>0</v>
      </c>
      <c r="G44" s="120">
        <v>0</v>
      </c>
      <c r="H44" s="120">
        <v>0</v>
      </c>
      <c r="I44" s="120">
        <v>0</v>
      </c>
      <c r="J44" s="120">
        <v>0</v>
      </c>
      <c r="K44" s="120">
        <v>1</v>
      </c>
      <c r="L44" s="120">
        <v>0</v>
      </c>
      <c r="M44" s="120">
        <v>0</v>
      </c>
      <c r="N44" s="120">
        <v>0</v>
      </c>
      <c r="O44" s="120">
        <v>0</v>
      </c>
      <c r="P44" s="120">
        <v>0</v>
      </c>
      <c r="Q44" s="120">
        <v>0</v>
      </c>
      <c r="R44" s="120">
        <v>0</v>
      </c>
      <c r="S44" s="2"/>
      <c r="T44" s="18" t="str">
        <f>_xlfn.XLOOKUP(B44,Data!C:C,Data!G:G,"")</f>
        <v>UP</v>
      </c>
      <c r="U44" s="19">
        <f>_xlfn.XLOOKUP(B44,Data!C:C,Data!H:H,"")</f>
        <v>0.65</v>
      </c>
    </row>
    <row r="45" spans="2:32" ht="46.2" x14ac:dyDescent="0.85">
      <c r="B45" s="84" t="s">
        <v>26</v>
      </c>
      <c r="C45" s="120">
        <v>0</v>
      </c>
      <c r="D45" s="120">
        <v>0</v>
      </c>
      <c r="E45" s="120">
        <v>0</v>
      </c>
      <c r="F45" s="120">
        <v>0</v>
      </c>
      <c r="G45" s="120">
        <v>0</v>
      </c>
      <c r="H45" s="120">
        <v>0</v>
      </c>
      <c r="I45" s="120">
        <v>0</v>
      </c>
      <c r="J45" s="120">
        <v>0</v>
      </c>
      <c r="K45" s="120">
        <v>0</v>
      </c>
      <c r="L45" s="120">
        <v>0</v>
      </c>
      <c r="M45" s="120">
        <v>0</v>
      </c>
      <c r="N45" s="120">
        <v>0</v>
      </c>
      <c r="O45" s="120">
        <v>0</v>
      </c>
      <c r="P45" s="120">
        <v>1</v>
      </c>
      <c r="Q45" s="120">
        <v>0</v>
      </c>
      <c r="R45" s="120">
        <v>0</v>
      </c>
      <c r="S45" s="2"/>
      <c r="T45" s="18" t="str">
        <f>_xlfn.XLOOKUP(B45,Data!C:C,Data!G:G,"")</f>
        <v>UP</v>
      </c>
      <c r="U45" s="19">
        <f>_xlfn.XLOOKUP(B45,Data!C:C,Data!H:H,"")</f>
        <v>0.85</v>
      </c>
    </row>
    <row r="46" spans="2:32" ht="46.2" x14ac:dyDescent="0.85">
      <c r="B46" s="84" t="s">
        <v>27</v>
      </c>
      <c r="C46" s="120">
        <v>0</v>
      </c>
      <c r="D46" s="120">
        <v>0</v>
      </c>
      <c r="E46" s="120">
        <v>0</v>
      </c>
      <c r="F46" s="120">
        <v>0</v>
      </c>
      <c r="G46" s="120">
        <v>0</v>
      </c>
      <c r="H46" s="120">
        <v>0</v>
      </c>
      <c r="I46" s="120">
        <v>0</v>
      </c>
      <c r="J46" s="120">
        <v>0</v>
      </c>
      <c r="K46" s="120">
        <v>0</v>
      </c>
      <c r="L46" s="120">
        <v>0</v>
      </c>
      <c r="M46" s="120">
        <v>0</v>
      </c>
      <c r="N46" s="120">
        <v>0</v>
      </c>
      <c r="O46" s="120">
        <v>0</v>
      </c>
      <c r="P46" s="120">
        <v>0</v>
      </c>
      <c r="Q46" s="120">
        <v>0</v>
      </c>
      <c r="R46" s="120">
        <v>0</v>
      </c>
      <c r="S46" s="2"/>
      <c r="T46" s="18" t="str">
        <f>_xlfn.XLOOKUP(B46,Data!C:C,Data!G:G,"")</f>
        <v>UP</v>
      </c>
      <c r="U46" s="19">
        <f>_xlfn.XLOOKUP(B46,Data!C:C,Data!H:H,"")</f>
        <v>0.7</v>
      </c>
    </row>
    <row r="52" spans="4:27" ht="46.2" x14ac:dyDescent="0.85">
      <c r="F52" s="29"/>
      <c r="AA52" s="14"/>
    </row>
    <row r="54" spans="4:27" x14ac:dyDescent="0.65">
      <c r="D54"/>
      <c r="E54"/>
      <c r="F54" s="20"/>
      <c r="G54" s="30"/>
      <c r="H54" s="30"/>
      <c r="I54" s="30"/>
    </row>
    <row r="55" spans="4:27" x14ac:dyDescent="0.65">
      <c r="D55"/>
      <c r="E55"/>
      <c r="G55" s="30"/>
      <c r="H55" s="30"/>
      <c r="I55" s="31"/>
    </row>
    <row r="56" spans="4:27" x14ac:dyDescent="0.65">
      <c r="D56"/>
      <c r="E56"/>
      <c r="G56" s="30"/>
      <c r="H56" s="30"/>
      <c r="I56" s="31"/>
    </row>
    <row r="57" spans="4:27" x14ac:dyDescent="0.65">
      <c r="D57"/>
      <c r="E57"/>
      <c r="G57" s="30"/>
      <c r="H57" s="30"/>
      <c r="I57" s="31"/>
    </row>
    <row r="58" spans="4:27" x14ac:dyDescent="0.65">
      <c r="D58"/>
      <c r="E58"/>
      <c r="G58" s="30"/>
      <c r="H58" s="30"/>
      <c r="I58" s="31"/>
    </row>
    <row r="59" spans="4:27" x14ac:dyDescent="0.65">
      <c r="D59"/>
      <c r="E59"/>
      <c r="G59" s="30"/>
      <c r="H59" s="30"/>
      <c r="I59" s="31"/>
    </row>
    <row r="60" spans="4:27" x14ac:dyDescent="0.65">
      <c r="D60"/>
      <c r="E60"/>
      <c r="G60" s="30"/>
      <c r="H60" s="30"/>
      <c r="I60" s="31"/>
    </row>
    <row r="61" spans="4:27" x14ac:dyDescent="0.65">
      <c r="D61"/>
      <c r="E61"/>
      <c r="G61" s="30"/>
      <c r="H61" s="30"/>
      <c r="I61" s="31"/>
    </row>
    <row r="62" spans="4:27" x14ac:dyDescent="0.65">
      <c r="D62"/>
      <c r="E62"/>
      <c r="G62" s="30"/>
      <c r="H62" s="30"/>
      <c r="I62" s="31"/>
    </row>
    <row r="63" spans="4:27" x14ac:dyDescent="0.65">
      <c r="D63"/>
      <c r="E63"/>
      <c r="G63" s="30"/>
      <c r="H63" s="30"/>
      <c r="I63" s="31"/>
    </row>
    <row r="64" spans="4:27" x14ac:dyDescent="0.65">
      <c r="D64"/>
      <c r="E64"/>
      <c r="G64" s="30"/>
      <c r="H64" s="30"/>
      <c r="I64" s="31"/>
    </row>
    <row r="65" spans="4:33" x14ac:dyDescent="0.65">
      <c r="D65"/>
      <c r="E65"/>
      <c r="G65" s="30"/>
      <c r="H65" s="30"/>
      <c r="I65" s="31"/>
    </row>
    <row r="66" spans="4:33" x14ac:dyDescent="0.65">
      <c r="D66"/>
      <c r="E66"/>
      <c r="G66" s="30"/>
      <c r="H66" s="30"/>
      <c r="I66" s="31"/>
    </row>
    <row r="67" spans="4:33" x14ac:dyDescent="0.65">
      <c r="D67"/>
      <c r="E67"/>
      <c r="F67"/>
    </row>
    <row r="69" spans="4:33" x14ac:dyDescent="0.65">
      <c r="AE69" s="26"/>
      <c r="AF69" s="26"/>
      <c r="AG69" s="26"/>
    </row>
  </sheetData>
  <mergeCells count="4">
    <mergeCell ref="W11:X11"/>
    <mergeCell ref="W30:Y30"/>
    <mergeCell ref="AA19:AB19"/>
    <mergeCell ref="AA11:AC11"/>
  </mergeCells>
  <conditionalFormatting pivot="1" sqref="C12:R17 C19:R20 C22:R25">
    <cfRule type="expression" dxfId="4" priority="8">
      <formula>AND(C12&lt;&gt;"",OR(AND($T12="UP",C12&lt;$U12),AND($T12="DOWN",C12&gt;$U12)))</formula>
    </cfRule>
  </conditionalFormatting>
  <conditionalFormatting pivot="1" sqref="C12:R17 C19:R20 C22:R25">
    <cfRule type="expression" dxfId="3" priority="7">
      <formula>AND(C12&lt;&gt;"",OR(AND($T12="UP",C12&gt;=$U12),AND($T12="DOWN",C12&lt;=$U12)))</formula>
    </cfRule>
  </conditionalFormatting>
  <conditionalFormatting pivot="1" sqref="C33:R38 C40:R41 C43:R46">
    <cfRule type="cellIs" dxfId="2" priority="6" operator="equal">
      <formula>1</formula>
    </cfRule>
  </conditionalFormatting>
  <conditionalFormatting pivot="1" sqref="C33:R38 C40:R41 C43:R46">
    <cfRule type="cellIs" dxfId="1" priority="5" operator="equal">
      <formula>-1</formula>
    </cfRule>
  </conditionalFormatting>
  <conditionalFormatting pivot="1" sqref="C33:R38 C40:R41 C43:R46">
    <cfRule type="cellIs" dxfId="0" priority="4" operator="equal">
      <formula>0</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D9F17-027E-4D32-A9EC-25F4BF2D983E}">
  <dimension ref="A1:X58"/>
  <sheetViews>
    <sheetView tabSelected="1" zoomScale="83" workbookViewId="0">
      <selection activeCell="J34" sqref="J34"/>
    </sheetView>
  </sheetViews>
  <sheetFormatPr defaultRowHeight="14.4" x14ac:dyDescent="0.3"/>
  <cols>
    <col min="3" max="3" width="40.21875" bestFit="1" customWidth="1"/>
    <col min="4" max="4" width="32.5546875" bestFit="1" customWidth="1"/>
    <col min="5" max="5" width="21.77734375" bestFit="1" customWidth="1"/>
    <col min="6" max="6" width="32.5546875" bestFit="1" customWidth="1"/>
    <col min="10" max="10" width="64.88671875" bestFit="1" customWidth="1"/>
    <col min="11" max="11" width="30.44140625" bestFit="1" customWidth="1"/>
    <col min="12" max="12" width="21.77734375" bestFit="1" customWidth="1"/>
    <col min="13" max="13" width="12.109375" bestFit="1" customWidth="1"/>
  </cols>
  <sheetData>
    <row r="1" spans="1:24" s="11" customFormat="1" ht="50.4" customHeight="1" x14ac:dyDescent="0.45">
      <c r="A1" s="118"/>
      <c r="B1" s="118"/>
      <c r="C1" s="58"/>
      <c r="D1" s="58"/>
      <c r="E1" s="58"/>
      <c r="F1" s="58"/>
      <c r="O1" s="58"/>
      <c r="P1" s="58"/>
      <c r="Q1" s="58"/>
      <c r="R1" s="58"/>
      <c r="S1" s="58"/>
      <c r="T1" s="58"/>
      <c r="U1" s="58"/>
      <c r="V1" s="58"/>
      <c r="W1" s="58"/>
      <c r="X1" s="58"/>
    </row>
    <row r="2" spans="1:24" x14ac:dyDescent="0.3">
      <c r="A2" s="53"/>
      <c r="B2" s="53"/>
      <c r="C2" s="53"/>
      <c r="D2" s="53"/>
      <c r="E2" s="53"/>
      <c r="F2" s="53"/>
      <c r="O2" s="53"/>
      <c r="P2" s="53"/>
      <c r="Q2" s="53"/>
      <c r="R2" s="53"/>
      <c r="S2" s="53"/>
      <c r="T2" s="53"/>
      <c r="U2" s="53"/>
      <c r="V2" s="53"/>
      <c r="W2" s="53"/>
      <c r="X2" s="53"/>
    </row>
    <row r="3" spans="1:24" ht="15.6" x14ac:dyDescent="0.3">
      <c r="C3" s="34" t="s">
        <v>71</v>
      </c>
      <c r="D3" s="27"/>
      <c r="E3" s="53"/>
      <c r="F3" s="53"/>
      <c r="J3" s="34" t="s">
        <v>116</v>
      </c>
      <c r="K3" s="27"/>
      <c r="L3" s="27"/>
      <c r="O3" s="53"/>
      <c r="P3" s="53"/>
      <c r="Q3" s="53"/>
      <c r="R3" s="53"/>
      <c r="S3" s="53"/>
      <c r="T3" s="53"/>
      <c r="U3" s="53"/>
      <c r="V3" s="53"/>
      <c r="W3" s="53"/>
      <c r="X3" s="53"/>
    </row>
    <row r="4" spans="1:24" ht="15.6" x14ac:dyDescent="0.3">
      <c r="C4" s="59" t="s">
        <v>43</v>
      </c>
      <c r="D4" s="59" t="s">
        <v>54</v>
      </c>
      <c r="E4" s="53"/>
      <c r="F4" s="53"/>
      <c r="J4" s="59" t="s">
        <v>117</v>
      </c>
      <c r="K4" s="59" t="s">
        <v>48</v>
      </c>
      <c r="L4" s="59" t="s">
        <v>69</v>
      </c>
      <c r="Q4" s="53"/>
      <c r="R4" s="53"/>
      <c r="S4" s="53"/>
      <c r="T4" s="53"/>
      <c r="U4" s="53"/>
      <c r="V4" s="53"/>
      <c r="W4" s="53"/>
      <c r="X4" s="53"/>
    </row>
    <row r="5" spans="1:24" ht="15.6" x14ac:dyDescent="0.3">
      <c r="C5" s="60" t="s">
        <v>191</v>
      </c>
      <c r="D5" s="122">
        <v>3</v>
      </c>
      <c r="E5" s="54"/>
      <c r="F5" s="53"/>
      <c r="J5" s="60" t="s">
        <v>12</v>
      </c>
      <c r="K5" s="122">
        <v>1</v>
      </c>
      <c r="L5" s="122">
        <v>3</v>
      </c>
      <c r="Q5" s="53"/>
      <c r="R5" s="53"/>
      <c r="S5" s="53"/>
      <c r="T5" s="53"/>
      <c r="U5" s="53"/>
      <c r="V5" s="53"/>
      <c r="W5" s="53"/>
      <c r="X5" s="53"/>
    </row>
    <row r="6" spans="1:24" ht="15.6" x14ac:dyDescent="0.3">
      <c r="C6" s="60" t="s">
        <v>51</v>
      </c>
      <c r="D6" s="122">
        <v>13</v>
      </c>
      <c r="E6" s="56"/>
      <c r="F6" s="55"/>
      <c r="J6" s="60" t="s">
        <v>14</v>
      </c>
      <c r="K6" s="122">
        <v>4</v>
      </c>
      <c r="L6" s="122">
        <v>3</v>
      </c>
      <c r="Q6" s="55"/>
      <c r="R6" s="55"/>
      <c r="S6" s="53"/>
      <c r="T6" s="53"/>
      <c r="U6" s="55"/>
      <c r="V6" s="55"/>
      <c r="W6" s="55"/>
      <c r="X6" s="55"/>
    </row>
    <row r="7" spans="1:24" ht="15.6" x14ac:dyDescent="0.3">
      <c r="C7" s="60" t="s">
        <v>52</v>
      </c>
      <c r="D7" s="122">
        <v>174</v>
      </c>
      <c r="E7" s="53"/>
      <c r="F7" s="53"/>
      <c r="J7" s="60" t="s">
        <v>15</v>
      </c>
      <c r="K7" s="122">
        <v>0</v>
      </c>
      <c r="L7" s="122">
        <v>6</v>
      </c>
      <c r="O7" s="53"/>
      <c r="P7" s="53"/>
      <c r="Q7" s="53"/>
      <c r="R7" s="53"/>
      <c r="S7" s="53"/>
      <c r="T7" s="53"/>
      <c r="U7" s="53"/>
      <c r="V7" s="53"/>
      <c r="W7" s="53"/>
      <c r="X7" s="53"/>
    </row>
    <row r="8" spans="1:24" ht="15.6" x14ac:dyDescent="0.3">
      <c r="A8" s="53"/>
      <c r="C8" s="61" t="s">
        <v>53</v>
      </c>
      <c r="D8" s="123">
        <v>190</v>
      </c>
      <c r="E8" s="53"/>
      <c r="F8" s="53"/>
      <c r="J8" s="60" t="s">
        <v>16</v>
      </c>
      <c r="K8" s="122">
        <v>0</v>
      </c>
      <c r="L8" s="122">
        <v>0</v>
      </c>
      <c r="O8" s="53"/>
      <c r="P8" s="53"/>
      <c r="Q8" s="53"/>
      <c r="R8" s="53"/>
      <c r="S8" s="53"/>
      <c r="T8" s="53"/>
      <c r="U8" s="53"/>
      <c r="V8" s="53"/>
      <c r="W8" s="53"/>
      <c r="X8" s="53"/>
    </row>
    <row r="9" spans="1:24" ht="15.6" x14ac:dyDescent="0.3">
      <c r="A9" s="53"/>
      <c r="B9" s="53"/>
      <c r="C9" s="53"/>
      <c r="D9" s="53"/>
      <c r="E9" s="57"/>
      <c r="F9" s="53"/>
      <c r="J9" s="60" t="s">
        <v>18</v>
      </c>
      <c r="K9" s="122">
        <v>0</v>
      </c>
      <c r="L9" s="122">
        <v>4</v>
      </c>
      <c r="O9" s="53"/>
      <c r="P9" s="53"/>
      <c r="Q9" s="53"/>
      <c r="R9" s="53"/>
      <c r="S9" s="53"/>
      <c r="T9" s="53"/>
      <c r="U9" s="53"/>
      <c r="V9" s="53"/>
      <c r="W9" s="53"/>
      <c r="X9" s="53"/>
    </row>
    <row r="10" spans="1:24" ht="15.6" x14ac:dyDescent="0.3">
      <c r="A10" s="53"/>
      <c r="B10" s="53"/>
      <c r="C10" s="34" t="s">
        <v>113</v>
      </c>
      <c r="D10" s="27"/>
      <c r="E10" s="27"/>
      <c r="F10" s="27"/>
      <c r="J10" s="60" t="s">
        <v>19</v>
      </c>
      <c r="K10" s="122">
        <v>2</v>
      </c>
      <c r="L10" s="122">
        <v>2</v>
      </c>
      <c r="O10" s="53"/>
      <c r="P10" s="53"/>
      <c r="Q10" s="53"/>
      <c r="R10" s="53"/>
      <c r="S10" s="53"/>
      <c r="T10" s="53"/>
      <c r="U10" s="53"/>
      <c r="V10" s="53"/>
      <c r="W10" s="53"/>
      <c r="X10" s="53"/>
    </row>
    <row r="11" spans="1:24" ht="15.6" x14ac:dyDescent="0.3">
      <c r="A11" s="53"/>
      <c r="B11" s="53"/>
      <c r="C11" s="59" t="s">
        <v>66</v>
      </c>
      <c r="D11" s="59" t="s">
        <v>63</v>
      </c>
      <c r="E11" s="59"/>
      <c r="F11" s="59"/>
      <c r="J11" s="60" t="s">
        <v>21</v>
      </c>
      <c r="K11" s="122">
        <v>0</v>
      </c>
      <c r="L11" s="122">
        <v>0</v>
      </c>
      <c r="O11" s="53"/>
      <c r="P11" s="53"/>
      <c r="Q11" s="53"/>
      <c r="R11" s="53"/>
      <c r="S11" s="53"/>
      <c r="T11" s="53"/>
      <c r="U11" s="53"/>
      <c r="V11" s="53"/>
      <c r="W11" s="53"/>
      <c r="X11" s="53"/>
    </row>
    <row r="12" spans="1:24" ht="15.6" x14ac:dyDescent="0.3">
      <c r="A12" s="53"/>
      <c r="B12" s="53"/>
      <c r="C12" s="59" t="s">
        <v>43</v>
      </c>
      <c r="D12" s="59" t="s">
        <v>64</v>
      </c>
      <c r="E12" s="59" t="s">
        <v>65</v>
      </c>
      <c r="F12" s="59" t="s">
        <v>53</v>
      </c>
      <c r="J12" s="60" t="s">
        <v>22</v>
      </c>
      <c r="K12" s="122">
        <v>2</v>
      </c>
      <c r="L12" s="122">
        <v>6</v>
      </c>
      <c r="R12" s="53"/>
      <c r="S12" s="53"/>
      <c r="T12" s="53"/>
      <c r="U12" s="53"/>
      <c r="V12" s="53"/>
      <c r="W12" s="53"/>
      <c r="X12" s="53"/>
    </row>
    <row r="13" spans="1:24" ht="15.6" x14ac:dyDescent="0.3">
      <c r="A13" s="53"/>
      <c r="C13" s="60" t="s">
        <v>191</v>
      </c>
      <c r="D13" s="122"/>
      <c r="E13" s="122">
        <v>3</v>
      </c>
      <c r="F13" s="122">
        <v>3</v>
      </c>
      <c r="J13" s="60" t="s">
        <v>24</v>
      </c>
      <c r="K13" s="122">
        <v>2</v>
      </c>
      <c r="L13" s="122">
        <v>7</v>
      </c>
      <c r="R13" s="53"/>
      <c r="S13" s="53"/>
      <c r="T13" s="53"/>
      <c r="U13" s="53"/>
      <c r="V13" s="53"/>
      <c r="W13" s="53"/>
      <c r="X13" s="53"/>
    </row>
    <row r="14" spans="1:24" ht="15.6" x14ac:dyDescent="0.3">
      <c r="A14" s="53"/>
      <c r="C14" s="60" t="s">
        <v>51</v>
      </c>
      <c r="D14" s="122"/>
      <c r="E14" s="122">
        <v>13</v>
      </c>
      <c r="F14" s="122">
        <v>13</v>
      </c>
      <c r="J14" s="60" t="s">
        <v>25</v>
      </c>
      <c r="K14" s="122">
        <v>1</v>
      </c>
      <c r="L14" s="122">
        <v>0</v>
      </c>
      <c r="R14" s="53"/>
      <c r="S14" s="53"/>
      <c r="T14" s="53"/>
      <c r="U14" s="53"/>
      <c r="V14" s="53"/>
      <c r="W14" s="53"/>
      <c r="X14" s="53"/>
    </row>
    <row r="15" spans="1:24" ht="15.6" x14ac:dyDescent="0.3">
      <c r="A15" s="53"/>
      <c r="C15" s="60" t="s">
        <v>52</v>
      </c>
      <c r="D15" s="122">
        <v>100</v>
      </c>
      <c r="E15" s="122">
        <v>74</v>
      </c>
      <c r="F15" s="122">
        <v>174</v>
      </c>
      <c r="J15" s="60" t="s">
        <v>26</v>
      </c>
      <c r="K15" s="122">
        <v>1</v>
      </c>
      <c r="L15" s="122">
        <v>0</v>
      </c>
      <c r="R15" s="53"/>
      <c r="S15" s="53"/>
      <c r="T15" s="53"/>
      <c r="U15" s="53"/>
      <c r="V15" s="53"/>
      <c r="W15" s="53"/>
      <c r="X15" s="53"/>
    </row>
    <row r="16" spans="1:24" ht="15.6" x14ac:dyDescent="0.3">
      <c r="A16" s="53"/>
      <c r="C16" s="61" t="s">
        <v>53</v>
      </c>
      <c r="D16" s="123">
        <v>100</v>
      </c>
      <c r="E16" s="123">
        <v>90</v>
      </c>
      <c r="F16" s="123">
        <v>190</v>
      </c>
      <c r="J16" s="60" t="s">
        <v>27</v>
      </c>
      <c r="K16" s="122">
        <v>0</v>
      </c>
      <c r="L16" s="122">
        <v>0</v>
      </c>
      <c r="R16" s="53"/>
      <c r="S16" s="53"/>
      <c r="T16" s="53"/>
      <c r="U16" s="53"/>
      <c r="V16" s="53"/>
      <c r="W16" s="53"/>
      <c r="X16" s="53"/>
    </row>
    <row r="17" spans="1:24" ht="15.6" x14ac:dyDescent="0.3">
      <c r="A17" s="53"/>
      <c r="F17" s="53"/>
      <c r="J17" s="61" t="s">
        <v>53</v>
      </c>
      <c r="K17" s="123">
        <v>13</v>
      </c>
      <c r="L17" s="123">
        <v>31</v>
      </c>
      <c r="R17" s="53"/>
      <c r="S17" s="53"/>
      <c r="T17" s="53"/>
      <c r="U17" s="53"/>
      <c r="V17" s="53"/>
      <c r="W17" s="53"/>
      <c r="X17" s="53"/>
    </row>
    <row r="18" spans="1:24" x14ac:dyDescent="0.3">
      <c r="A18" s="53"/>
      <c r="F18" s="53"/>
      <c r="O18" s="53"/>
      <c r="P18" s="53"/>
      <c r="Q18" s="53"/>
      <c r="R18" s="53"/>
      <c r="S18" s="53"/>
      <c r="T18" s="53"/>
      <c r="U18" s="53"/>
      <c r="V18" s="53"/>
      <c r="W18" s="53"/>
      <c r="X18" s="53"/>
    </row>
    <row r="19" spans="1:24" ht="15.6" x14ac:dyDescent="0.3">
      <c r="A19" s="53"/>
      <c r="B19" s="53"/>
      <c r="C19" s="34" t="s">
        <v>70</v>
      </c>
      <c r="D19" s="27"/>
      <c r="E19" s="53"/>
      <c r="F19" s="53"/>
      <c r="O19" s="53"/>
      <c r="P19" s="53"/>
      <c r="Q19" s="53"/>
      <c r="R19" s="53"/>
      <c r="S19" s="53"/>
      <c r="T19" s="53"/>
      <c r="U19" s="53"/>
      <c r="V19" s="53"/>
      <c r="W19" s="53"/>
      <c r="X19" s="53"/>
    </row>
    <row r="20" spans="1:24" ht="15.6" x14ac:dyDescent="0.3">
      <c r="A20" s="53"/>
      <c r="B20" s="53"/>
      <c r="C20" s="59" t="s">
        <v>117</v>
      </c>
      <c r="D20" s="59" t="s">
        <v>49</v>
      </c>
      <c r="E20" s="53"/>
      <c r="F20" s="53"/>
      <c r="J20" s="34" t="s">
        <v>114</v>
      </c>
      <c r="K20" s="27"/>
      <c r="L20" s="27"/>
      <c r="M20" s="27"/>
      <c r="N20" s="27"/>
      <c r="O20" s="53"/>
      <c r="W20" s="53"/>
      <c r="X20" s="53"/>
    </row>
    <row r="21" spans="1:24" ht="15.6" x14ac:dyDescent="0.3">
      <c r="A21" s="53"/>
      <c r="B21" s="53"/>
      <c r="C21" s="60" t="s">
        <v>15</v>
      </c>
      <c r="D21" s="62">
        <v>0.36303589129377195</v>
      </c>
      <c r="E21" s="53"/>
      <c r="F21" s="53"/>
      <c r="J21" s="59" t="s">
        <v>195</v>
      </c>
      <c r="K21" s="59" t="s">
        <v>194</v>
      </c>
      <c r="L21" s="59"/>
      <c r="M21" s="59"/>
      <c r="N21" s="27"/>
      <c r="O21" s="53"/>
      <c r="W21" s="53"/>
      <c r="X21" s="53"/>
    </row>
    <row r="22" spans="1:24" ht="15.6" x14ac:dyDescent="0.3">
      <c r="A22" s="53"/>
      <c r="C22" s="60" t="s">
        <v>14</v>
      </c>
      <c r="D22" s="62">
        <v>0.33101876818448467</v>
      </c>
      <c r="E22" s="53"/>
      <c r="F22" s="53"/>
      <c r="J22" s="59" t="s">
        <v>44</v>
      </c>
      <c r="K22" s="59" t="s">
        <v>64</v>
      </c>
      <c r="L22" s="59" t="s">
        <v>65</v>
      </c>
      <c r="M22" s="59" t="s">
        <v>53</v>
      </c>
      <c r="N22" s="27"/>
      <c r="O22" s="53"/>
      <c r="W22" s="53"/>
      <c r="X22" s="53"/>
    </row>
    <row r="23" spans="1:24" ht="15.6" x14ac:dyDescent="0.3">
      <c r="A23" s="53"/>
      <c r="C23" s="60" t="s">
        <v>19</v>
      </c>
      <c r="D23" s="62">
        <v>0.19295411676291002</v>
      </c>
      <c r="E23" s="53"/>
      <c r="F23" s="53"/>
      <c r="J23" s="60" t="s">
        <v>72</v>
      </c>
      <c r="K23" s="122">
        <v>54</v>
      </c>
      <c r="L23" s="122">
        <v>34</v>
      </c>
      <c r="M23" s="122">
        <v>88</v>
      </c>
      <c r="N23" s="34" t="s">
        <v>74</v>
      </c>
      <c r="O23" s="53"/>
      <c r="W23" s="53"/>
      <c r="X23" s="53"/>
    </row>
    <row r="24" spans="1:24" ht="15.6" x14ac:dyDescent="0.3">
      <c r="A24" s="53"/>
      <c r="C24" s="60" t="s">
        <v>18</v>
      </c>
      <c r="D24" s="62">
        <v>0.19259184804683036</v>
      </c>
      <c r="E24" s="53"/>
      <c r="F24" s="53"/>
      <c r="J24" s="60" t="s">
        <v>73</v>
      </c>
      <c r="K24" s="122">
        <v>46</v>
      </c>
      <c r="L24" s="122">
        <v>56</v>
      </c>
      <c r="M24" s="122">
        <v>102</v>
      </c>
      <c r="N24" s="34" t="s">
        <v>75</v>
      </c>
      <c r="O24" s="53"/>
      <c r="W24" s="53"/>
      <c r="X24" s="53"/>
    </row>
    <row r="25" spans="1:24" ht="15.6" x14ac:dyDescent="0.3">
      <c r="A25" s="53"/>
      <c r="C25" s="60" t="s">
        <v>22</v>
      </c>
      <c r="D25" s="62">
        <v>0.18713450292397671</v>
      </c>
      <c r="E25" s="53"/>
      <c r="F25" s="53"/>
      <c r="J25" s="61" t="s">
        <v>53</v>
      </c>
      <c r="K25" s="123">
        <v>100</v>
      </c>
      <c r="L25" s="123">
        <v>90</v>
      </c>
      <c r="M25" s="123">
        <v>190</v>
      </c>
      <c r="N25" s="27"/>
      <c r="O25" s="53"/>
      <c r="U25" s="53"/>
      <c r="V25" s="53"/>
      <c r="W25" s="53"/>
      <c r="X25" s="53"/>
    </row>
    <row r="26" spans="1:24" ht="15.6" x14ac:dyDescent="0.3">
      <c r="A26" s="53"/>
      <c r="C26" s="60" t="s">
        <v>24</v>
      </c>
      <c r="D26" s="62">
        <v>4.594852941176468E-2</v>
      </c>
      <c r="E26" s="53"/>
      <c r="F26" s="53"/>
      <c r="O26" s="53"/>
      <c r="P26" s="53"/>
      <c r="Q26" s="53"/>
      <c r="R26" s="53"/>
      <c r="S26" s="53"/>
      <c r="T26" s="53"/>
      <c r="U26" s="53"/>
      <c r="V26" s="53"/>
      <c r="W26" s="53"/>
      <c r="X26" s="53"/>
    </row>
    <row r="27" spans="1:24" ht="15.6" x14ac:dyDescent="0.3">
      <c r="A27" s="53"/>
      <c r="C27" s="60" t="s">
        <v>12</v>
      </c>
      <c r="D27" s="62">
        <v>8.3429874056530282E-3</v>
      </c>
      <c r="E27" s="53"/>
      <c r="F27" s="53"/>
      <c r="O27" s="53"/>
      <c r="P27" s="53"/>
      <c r="Q27" s="53"/>
      <c r="R27" s="53"/>
      <c r="S27" s="53"/>
      <c r="T27" s="53"/>
      <c r="U27" s="53"/>
      <c r="V27" s="53"/>
      <c r="W27" s="53"/>
      <c r="X27" s="53"/>
    </row>
    <row r="28" spans="1:24" ht="15.6" x14ac:dyDescent="0.3">
      <c r="A28" s="53"/>
      <c r="C28" s="60" t="s">
        <v>26</v>
      </c>
      <c r="D28" s="62">
        <v>-1.7477941176470627E-2</v>
      </c>
      <c r="E28" s="53"/>
      <c r="F28" s="53"/>
      <c r="J28" s="34" t="s">
        <v>193</v>
      </c>
      <c r="K28" s="27"/>
      <c r="O28" s="53"/>
      <c r="P28" s="53"/>
      <c r="Q28" s="53"/>
      <c r="R28" s="53"/>
      <c r="S28" s="53"/>
      <c r="T28" s="53"/>
      <c r="U28" s="53"/>
      <c r="V28" s="53"/>
      <c r="W28" s="53"/>
      <c r="X28" s="53"/>
    </row>
    <row r="29" spans="1:24" ht="15.6" x14ac:dyDescent="0.3">
      <c r="A29" s="53"/>
      <c r="C29" s="60" t="s">
        <v>21</v>
      </c>
      <c r="D29" s="62">
        <v>-6.542372881355929E-2</v>
      </c>
      <c r="E29" s="53"/>
      <c r="F29" s="53"/>
      <c r="J29" s="59" t="s">
        <v>43</v>
      </c>
      <c r="K29" s="59" t="s">
        <v>76</v>
      </c>
      <c r="O29" s="53"/>
      <c r="P29" s="53"/>
      <c r="Q29" s="53"/>
      <c r="R29" s="53"/>
      <c r="S29" s="53"/>
      <c r="T29" s="53"/>
      <c r="U29" s="53"/>
      <c r="V29" s="53"/>
      <c r="W29" s="53"/>
      <c r="X29" s="53"/>
    </row>
    <row r="30" spans="1:24" ht="15.6" x14ac:dyDescent="0.3">
      <c r="A30" s="53"/>
      <c r="C30" s="60" t="s">
        <v>16</v>
      </c>
      <c r="D30" s="62">
        <v>-0.10845317821139268</v>
      </c>
      <c r="E30" s="53"/>
      <c r="F30" s="53"/>
      <c r="J30" s="60" t="s">
        <v>191</v>
      </c>
      <c r="K30" s="64">
        <v>-7.239764189054422E-2</v>
      </c>
      <c r="O30" s="53"/>
      <c r="P30" s="53"/>
      <c r="Q30" s="53"/>
      <c r="R30" s="53"/>
      <c r="S30" s="53"/>
      <c r="T30" s="53"/>
      <c r="U30" s="53"/>
      <c r="V30" s="53"/>
      <c r="W30" s="53"/>
      <c r="X30" s="53"/>
    </row>
    <row r="31" spans="1:24" ht="15.6" x14ac:dyDescent="0.3">
      <c r="A31" s="53"/>
      <c r="C31" s="60" t="s">
        <v>25</v>
      </c>
      <c r="D31" s="62">
        <v>-0.10933653846153842</v>
      </c>
      <c r="E31" s="53"/>
      <c r="F31" s="53"/>
      <c r="J31" s="60" t="s">
        <v>51</v>
      </c>
      <c r="K31" s="64">
        <v>-0.18642145438098637</v>
      </c>
      <c r="O31" s="53"/>
      <c r="P31" s="53"/>
      <c r="Q31" s="53"/>
      <c r="R31" s="53"/>
      <c r="S31" s="53"/>
      <c r="T31" s="53"/>
      <c r="U31" s="53"/>
      <c r="V31" s="53"/>
      <c r="W31" s="53"/>
      <c r="X31" s="53"/>
    </row>
    <row r="32" spans="1:24" ht="15.6" x14ac:dyDescent="0.3">
      <c r="A32" s="53"/>
      <c r="C32" s="60" t="s">
        <v>27</v>
      </c>
      <c r="D32" s="62">
        <v>-0.18551785714285726</v>
      </c>
      <c r="E32" s="53"/>
      <c r="F32" s="53"/>
      <c r="J32" s="60" t="s">
        <v>52</v>
      </c>
      <c r="K32" s="64">
        <v>2.1688129481839138E-2</v>
      </c>
      <c r="O32" s="53"/>
      <c r="P32" s="53"/>
      <c r="S32" s="53"/>
      <c r="T32" s="53"/>
      <c r="U32" s="53"/>
      <c r="V32" s="53"/>
      <c r="W32" s="53"/>
      <c r="X32" s="53"/>
    </row>
    <row r="33" spans="1:24" ht="15.6" x14ac:dyDescent="0.3">
      <c r="A33" s="53"/>
      <c r="C33" s="61" t="s">
        <v>53</v>
      </c>
      <c r="D33" s="63">
        <v>6.9659829628772332E-2</v>
      </c>
      <c r="E33" s="53"/>
      <c r="F33" s="53"/>
      <c r="J33" s="61" t="s">
        <v>53</v>
      </c>
      <c r="K33" s="65">
        <v>5.9634878800818745E-3</v>
      </c>
      <c r="O33" s="53"/>
      <c r="P33" s="53"/>
      <c r="S33" s="53"/>
      <c r="T33" s="53"/>
      <c r="U33" s="53"/>
      <c r="V33" s="53"/>
      <c r="W33" s="53"/>
      <c r="X33" s="53"/>
    </row>
    <row r="34" spans="1:24" x14ac:dyDescent="0.3">
      <c r="A34" s="53"/>
      <c r="D34" s="53"/>
      <c r="E34" s="53"/>
      <c r="F34" s="53"/>
      <c r="O34" s="53"/>
      <c r="P34" s="53"/>
      <c r="S34" s="53"/>
      <c r="T34" s="53"/>
      <c r="U34" s="53"/>
      <c r="V34" s="53"/>
      <c r="W34" s="53"/>
      <c r="X34" s="53"/>
    </row>
    <row r="35" spans="1:24" ht="15.6" x14ac:dyDescent="0.3">
      <c r="A35" s="53"/>
      <c r="C35" s="34" t="s">
        <v>115</v>
      </c>
      <c r="D35" s="27"/>
      <c r="E35" s="27"/>
      <c r="F35" s="27"/>
      <c r="O35" s="53"/>
      <c r="P35" s="53"/>
      <c r="S35" s="53"/>
      <c r="T35" s="53"/>
      <c r="U35" s="53"/>
      <c r="V35" s="53"/>
      <c r="W35" s="53"/>
      <c r="X35" s="53"/>
    </row>
    <row r="36" spans="1:24" ht="15.6" x14ac:dyDescent="0.3">
      <c r="A36" s="53"/>
      <c r="C36" s="59" t="s">
        <v>1</v>
      </c>
      <c r="D36" s="59" t="s">
        <v>48</v>
      </c>
      <c r="E36" s="59" t="s">
        <v>69</v>
      </c>
      <c r="F36" s="59" t="s">
        <v>49</v>
      </c>
      <c r="J36" s="34"/>
      <c r="K36" s="27"/>
      <c r="O36" s="53"/>
      <c r="P36" s="53"/>
      <c r="S36" s="53"/>
      <c r="T36" s="53"/>
      <c r="U36" s="53"/>
      <c r="V36" s="53"/>
      <c r="W36" s="53"/>
      <c r="X36" s="53"/>
    </row>
    <row r="37" spans="1:24" ht="15.6" x14ac:dyDescent="0.3">
      <c r="A37" s="53"/>
      <c r="B37" s="53"/>
      <c r="C37" s="60" t="s">
        <v>11</v>
      </c>
      <c r="D37" s="122">
        <v>13</v>
      </c>
      <c r="E37" s="122">
        <v>31</v>
      </c>
      <c r="F37" s="62">
        <v>6.9659829628772332E-2</v>
      </c>
      <c r="O37" s="53"/>
      <c r="P37" s="53"/>
      <c r="Q37" s="53"/>
      <c r="R37" s="53"/>
      <c r="S37" s="53"/>
      <c r="T37" s="53"/>
      <c r="U37" s="53"/>
      <c r="V37" s="53"/>
      <c r="W37" s="53"/>
      <c r="X37" s="53"/>
    </row>
    <row r="38" spans="1:24" ht="15.6" x14ac:dyDescent="0.3">
      <c r="A38" s="53"/>
      <c r="B38" s="53"/>
      <c r="O38" s="53"/>
      <c r="P38" s="53"/>
      <c r="Q38" s="53"/>
      <c r="R38" s="53"/>
      <c r="S38" s="53"/>
      <c r="T38" s="53"/>
      <c r="U38" s="53"/>
      <c r="V38" s="53"/>
      <c r="W38" s="53"/>
      <c r="X38" s="53"/>
    </row>
    <row r="39" spans="1:24" ht="15.6" x14ac:dyDescent="0.3">
      <c r="A39" s="53"/>
      <c r="B39" s="53"/>
      <c r="O39" s="53"/>
      <c r="P39" s="53"/>
      <c r="Q39" s="53"/>
      <c r="R39" s="53"/>
      <c r="S39" s="53"/>
      <c r="T39" s="53"/>
      <c r="U39" s="53"/>
      <c r="V39" s="53"/>
      <c r="W39" s="53"/>
      <c r="X39" s="53"/>
    </row>
    <row r="40" spans="1:24" x14ac:dyDescent="0.3">
      <c r="A40" s="53"/>
      <c r="E40" s="53"/>
      <c r="F40" s="53"/>
      <c r="O40" s="53"/>
      <c r="P40" s="53"/>
      <c r="Q40" s="53"/>
      <c r="R40" s="53"/>
      <c r="S40" s="53"/>
      <c r="T40" s="53"/>
      <c r="U40" s="53"/>
      <c r="V40" s="53"/>
      <c r="W40" s="53"/>
      <c r="X40" s="53"/>
    </row>
    <row r="41" spans="1:24" x14ac:dyDescent="0.3">
      <c r="A41" s="53"/>
      <c r="E41" s="53"/>
      <c r="F41" s="53"/>
      <c r="O41" s="53"/>
      <c r="P41" s="53"/>
      <c r="Q41" s="53"/>
      <c r="R41" s="53"/>
      <c r="S41" s="53"/>
      <c r="T41" s="53"/>
      <c r="U41" s="53"/>
      <c r="V41" s="53"/>
      <c r="W41" s="53"/>
      <c r="X41" s="53"/>
    </row>
    <row r="42" spans="1:24" x14ac:dyDescent="0.3">
      <c r="A42" s="53"/>
      <c r="E42" s="53"/>
      <c r="F42" s="53"/>
      <c r="O42" s="53"/>
      <c r="P42" s="53"/>
      <c r="Q42" s="53"/>
      <c r="R42" s="53"/>
      <c r="S42" s="53"/>
      <c r="T42" s="53"/>
      <c r="U42" s="53"/>
      <c r="V42" s="53"/>
      <c r="W42" s="53"/>
      <c r="X42" s="53"/>
    </row>
    <row r="43" spans="1:24" x14ac:dyDescent="0.3">
      <c r="A43" s="53"/>
      <c r="E43" s="53"/>
      <c r="F43" s="53"/>
      <c r="O43" s="53"/>
      <c r="P43" s="53"/>
      <c r="Q43" s="53"/>
      <c r="R43" s="53"/>
      <c r="S43" s="53"/>
      <c r="T43" s="53"/>
      <c r="U43" s="53"/>
      <c r="V43" s="53"/>
      <c r="W43" s="53"/>
      <c r="X43" s="53"/>
    </row>
    <row r="44" spans="1:24" x14ac:dyDescent="0.3">
      <c r="A44" s="53"/>
      <c r="E44" s="53"/>
      <c r="F44" s="53"/>
      <c r="O44" s="53"/>
      <c r="P44" s="53"/>
      <c r="Q44" s="53"/>
      <c r="R44" s="53"/>
      <c r="S44" s="53"/>
      <c r="T44" s="53"/>
      <c r="U44" s="53"/>
      <c r="V44" s="53"/>
      <c r="W44" s="53"/>
      <c r="X44" s="53"/>
    </row>
    <row r="45" spans="1:24" ht="15.6" x14ac:dyDescent="0.3">
      <c r="A45" s="53"/>
      <c r="E45" s="53"/>
      <c r="F45" s="53"/>
      <c r="J45" s="34"/>
      <c r="K45" s="27"/>
      <c r="O45" s="53"/>
      <c r="P45" s="53"/>
      <c r="Q45" s="53"/>
      <c r="R45" s="53"/>
      <c r="S45" s="53"/>
      <c r="T45" s="53"/>
      <c r="U45" s="53"/>
      <c r="V45" s="53"/>
      <c r="W45" s="53"/>
      <c r="X45" s="53"/>
    </row>
    <row r="46" spans="1:24" x14ac:dyDescent="0.3">
      <c r="A46" s="53"/>
      <c r="E46" s="53"/>
      <c r="F46" s="53"/>
      <c r="O46" s="53"/>
      <c r="P46" s="53"/>
      <c r="Q46" s="53"/>
      <c r="R46" s="53"/>
      <c r="S46" s="53"/>
      <c r="T46" s="53"/>
      <c r="U46" s="53"/>
      <c r="V46" s="53"/>
      <c r="W46" s="53"/>
      <c r="X46" s="53"/>
    </row>
    <row r="47" spans="1:24" x14ac:dyDescent="0.3">
      <c r="A47" s="53"/>
      <c r="E47" s="53"/>
      <c r="F47" s="53"/>
      <c r="O47" s="53"/>
      <c r="P47" s="53"/>
      <c r="Q47" s="53"/>
      <c r="R47" s="53"/>
      <c r="S47" s="53"/>
      <c r="T47" s="53"/>
      <c r="U47" s="53"/>
      <c r="V47" s="53"/>
      <c r="W47" s="53"/>
      <c r="X47" s="53"/>
    </row>
    <row r="48" spans="1:24" x14ac:dyDescent="0.3">
      <c r="A48" s="53"/>
      <c r="E48" s="53"/>
      <c r="F48" s="53"/>
      <c r="O48" s="53"/>
      <c r="P48" s="53"/>
      <c r="Q48" s="53"/>
      <c r="R48" s="53"/>
      <c r="S48" s="53"/>
      <c r="T48" s="53"/>
      <c r="U48" s="53"/>
      <c r="V48" s="53"/>
      <c r="W48" s="53"/>
      <c r="X48" s="53"/>
    </row>
    <row r="49" spans="1:24" x14ac:dyDescent="0.3">
      <c r="A49" s="53"/>
      <c r="E49" s="53"/>
      <c r="F49" s="53"/>
      <c r="O49" s="53"/>
      <c r="P49" s="53"/>
      <c r="Q49" s="53"/>
      <c r="R49" s="53"/>
      <c r="S49" s="53"/>
      <c r="T49" s="53"/>
      <c r="U49" s="53"/>
      <c r="V49" s="53"/>
      <c r="W49" s="53"/>
      <c r="X49" s="53"/>
    </row>
    <row r="50" spans="1:24" x14ac:dyDescent="0.3">
      <c r="A50" s="53"/>
      <c r="E50" s="53"/>
      <c r="F50" s="53"/>
      <c r="O50" s="53"/>
      <c r="P50" s="53"/>
      <c r="Q50" s="53"/>
      <c r="R50" s="53"/>
      <c r="S50" s="53"/>
      <c r="T50" s="53"/>
      <c r="U50" s="53"/>
      <c r="V50" s="53"/>
      <c r="W50" s="53"/>
      <c r="X50" s="53"/>
    </row>
    <row r="51" spans="1:24" x14ac:dyDescent="0.3">
      <c r="A51" s="53"/>
      <c r="E51" s="53"/>
      <c r="F51" s="53"/>
      <c r="O51" s="53"/>
      <c r="P51" s="53"/>
      <c r="Q51" s="53"/>
      <c r="R51" s="53"/>
      <c r="S51" s="53"/>
      <c r="T51" s="53"/>
      <c r="U51" s="53"/>
      <c r="V51" s="53"/>
      <c r="W51" s="53"/>
      <c r="X51" s="53"/>
    </row>
    <row r="52" spans="1:24" x14ac:dyDescent="0.3">
      <c r="A52" s="53"/>
      <c r="E52" s="53"/>
      <c r="F52" s="53"/>
      <c r="O52" s="53"/>
      <c r="P52" s="53"/>
      <c r="Q52" s="53"/>
      <c r="R52" s="53"/>
      <c r="S52" s="53"/>
      <c r="T52" s="53"/>
      <c r="U52" s="53"/>
      <c r="V52" s="53"/>
      <c r="W52" s="53"/>
      <c r="X52" s="53"/>
    </row>
    <row r="53" spans="1:24" x14ac:dyDescent="0.3">
      <c r="A53" s="53"/>
      <c r="E53" s="53"/>
      <c r="F53" s="53"/>
      <c r="O53" s="53"/>
      <c r="P53" s="53"/>
      <c r="Q53" s="53"/>
      <c r="R53" s="53"/>
      <c r="S53" s="53"/>
      <c r="T53" s="53"/>
      <c r="U53" s="53"/>
      <c r="V53" s="53"/>
      <c r="W53" s="53"/>
      <c r="X53" s="53"/>
    </row>
    <row r="54" spans="1:24" x14ac:dyDescent="0.3">
      <c r="A54" s="53"/>
      <c r="E54" s="53"/>
      <c r="F54" s="53"/>
      <c r="O54" s="53"/>
      <c r="P54" s="53"/>
      <c r="Q54" s="53"/>
      <c r="R54" s="53"/>
      <c r="S54" s="53"/>
      <c r="T54" s="53"/>
      <c r="U54" s="53"/>
      <c r="V54" s="53"/>
      <c r="W54" s="53"/>
      <c r="X54" s="53"/>
    </row>
    <row r="55" spans="1:24" x14ac:dyDescent="0.3">
      <c r="A55" s="53"/>
      <c r="B55" s="53"/>
      <c r="C55" s="53"/>
      <c r="D55" s="53"/>
      <c r="E55" s="53"/>
      <c r="F55" s="53"/>
      <c r="O55" s="53"/>
      <c r="P55" s="53"/>
      <c r="Q55" s="53"/>
      <c r="R55" s="53"/>
      <c r="S55" s="53"/>
      <c r="T55" s="53"/>
      <c r="U55" s="53"/>
      <c r="V55" s="53"/>
      <c r="W55" s="53"/>
      <c r="X55" s="53"/>
    </row>
    <row r="56" spans="1:24" x14ac:dyDescent="0.3">
      <c r="A56" s="53"/>
      <c r="B56" s="53"/>
      <c r="C56" s="53"/>
      <c r="D56" s="53"/>
      <c r="E56" s="53"/>
      <c r="F56" s="53"/>
      <c r="O56" s="53"/>
      <c r="P56" s="53"/>
      <c r="Q56" s="53"/>
      <c r="R56" s="53"/>
      <c r="S56" s="53"/>
      <c r="T56" s="53"/>
      <c r="U56" s="53"/>
      <c r="V56" s="53"/>
      <c r="W56" s="53"/>
      <c r="X56" s="53"/>
    </row>
    <row r="57" spans="1:24" x14ac:dyDescent="0.3">
      <c r="A57" s="53"/>
      <c r="B57" s="53"/>
      <c r="C57" s="53"/>
      <c r="D57" s="53"/>
      <c r="E57" s="53"/>
      <c r="F57" s="55"/>
      <c r="M57" s="26"/>
      <c r="N57" s="26"/>
      <c r="O57" s="53"/>
      <c r="P57" s="53"/>
      <c r="Q57" s="53"/>
      <c r="R57" s="53"/>
      <c r="S57" s="53"/>
      <c r="T57" s="53"/>
      <c r="U57" s="53"/>
      <c r="V57" s="53"/>
      <c r="W57" s="53"/>
      <c r="X57" s="53"/>
    </row>
    <row r="58" spans="1:24" x14ac:dyDescent="0.3">
      <c r="A58" s="53"/>
      <c r="B58" s="53"/>
      <c r="C58" s="53"/>
      <c r="D58" s="53"/>
      <c r="E58" s="53"/>
      <c r="F58" s="53"/>
      <c r="O58" s="53"/>
      <c r="P58" s="53"/>
      <c r="Q58" s="53"/>
      <c r="R58" s="53"/>
      <c r="S58" s="53"/>
      <c r="T58" s="53"/>
      <c r="U58" s="53"/>
      <c r="V58" s="53"/>
      <c r="W58" s="53"/>
      <c r="X58" s="53"/>
    </row>
  </sheetData>
  <mergeCells count="1">
    <mergeCell ref="A1:B1"/>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DE41-1C3E-4FC4-A31B-4032C6768AE9}">
  <dimension ref="A1:A155"/>
  <sheetViews>
    <sheetView topLeftCell="A137" zoomScaleNormal="100" workbookViewId="0">
      <selection activeCell="A159" sqref="A159"/>
    </sheetView>
  </sheetViews>
  <sheetFormatPr defaultRowHeight="14.4" x14ac:dyDescent="0.3"/>
  <cols>
    <col min="1" max="1" width="140.77734375" bestFit="1" customWidth="1"/>
  </cols>
  <sheetData>
    <row r="1" spans="1:1" ht="23.4" x14ac:dyDescent="0.3">
      <c r="A1" s="93" t="s">
        <v>192</v>
      </c>
    </row>
    <row r="3" spans="1:1" ht="18" x14ac:dyDescent="0.3">
      <c r="A3" s="94" t="s">
        <v>120</v>
      </c>
    </row>
    <row r="5" spans="1:1" x14ac:dyDescent="0.3">
      <c r="A5" t="s">
        <v>121</v>
      </c>
    </row>
    <row r="7" spans="1:1" x14ac:dyDescent="0.3">
      <c r="A7" t="s">
        <v>122</v>
      </c>
    </row>
    <row r="8" spans="1:1" x14ac:dyDescent="0.3">
      <c r="A8" s="95"/>
    </row>
    <row r="9" spans="1:1" x14ac:dyDescent="0.3">
      <c r="A9" s="95" t="s">
        <v>123</v>
      </c>
    </row>
    <row r="10" spans="1:1" x14ac:dyDescent="0.3">
      <c r="A10" s="95" t="s">
        <v>124</v>
      </c>
    </row>
    <row r="11" spans="1:1" x14ac:dyDescent="0.3">
      <c r="A11" s="95" t="s">
        <v>125</v>
      </c>
    </row>
    <row r="13" spans="1:1" x14ac:dyDescent="0.3">
      <c r="A13" t="s">
        <v>126</v>
      </c>
    </row>
    <row r="17" spans="1:1" ht="23.4" x14ac:dyDescent="0.3">
      <c r="A17" s="93" t="s">
        <v>127</v>
      </c>
    </row>
    <row r="19" spans="1:1" ht="18" x14ac:dyDescent="0.3">
      <c r="A19" s="94" t="s">
        <v>52</v>
      </c>
    </row>
    <row r="21" spans="1:1" x14ac:dyDescent="0.3">
      <c r="A21" t="s">
        <v>128</v>
      </c>
    </row>
    <row r="22" spans="1:1" x14ac:dyDescent="0.3">
      <c r="A22" t="s">
        <v>129</v>
      </c>
    </row>
    <row r="24" spans="1:1" ht="18" x14ac:dyDescent="0.3">
      <c r="A24" s="94" t="s">
        <v>51</v>
      </c>
    </row>
    <row r="26" spans="1:1" x14ac:dyDescent="0.3">
      <c r="A26" t="s">
        <v>130</v>
      </c>
    </row>
    <row r="27" spans="1:1" x14ac:dyDescent="0.3">
      <c r="A27" t="s">
        <v>131</v>
      </c>
    </row>
    <row r="29" spans="1:1" ht="18" x14ac:dyDescent="0.3">
      <c r="A29" s="94" t="s">
        <v>132</v>
      </c>
    </row>
    <row r="31" spans="1:1" x14ac:dyDescent="0.3">
      <c r="A31" t="s">
        <v>133</v>
      </c>
    </row>
    <row r="32" spans="1:1" x14ac:dyDescent="0.3">
      <c r="A32" t="s">
        <v>134</v>
      </c>
    </row>
    <row r="36" spans="1:1" ht="23.4" x14ac:dyDescent="0.3">
      <c r="A36" s="93" t="s">
        <v>135</v>
      </c>
    </row>
    <row r="38" spans="1:1" ht="18" x14ac:dyDescent="0.3">
      <c r="A38" s="94" t="s">
        <v>136</v>
      </c>
    </row>
    <row r="40" spans="1:1" x14ac:dyDescent="0.3">
      <c r="A40" t="s">
        <v>137</v>
      </c>
    </row>
    <row r="41" spans="1:1" x14ac:dyDescent="0.3">
      <c r="A41" s="95"/>
    </row>
    <row r="42" spans="1:1" x14ac:dyDescent="0.3">
      <c r="A42" s="97" t="s">
        <v>138</v>
      </c>
    </row>
    <row r="43" spans="1:1" x14ac:dyDescent="0.3">
      <c r="A43" s="97" t="s">
        <v>139</v>
      </c>
    </row>
    <row r="45" spans="1:1" ht="18" x14ac:dyDescent="0.3">
      <c r="A45" s="94" t="s">
        <v>140</v>
      </c>
    </row>
    <row r="47" spans="1:1" x14ac:dyDescent="0.3">
      <c r="A47" t="s">
        <v>141</v>
      </c>
    </row>
    <row r="48" spans="1:1" x14ac:dyDescent="0.3">
      <c r="A48" s="95"/>
    </row>
    <row r="49" spans="1:1" x14ac:dyDescent="0.3">
      <c r="A49" s="97" t="s">
        <v>142</v>
      </c>
    </row>
    <row r="50" spans="1:1" x14ac:dyDescent="0.3">
      <c r="A50" s="97" t="s">
        <v>143</v>
      </c>
    </row>
    <row r="52" spans="1:1" ht="18" x14ac:dyDescent="0.3">
      <c r="A52" s="94" t="s">
        <v>144</v>
      </c>
    </row>
    <row r="54" spans="1:1" x14ac:dyDescent="0.3">
      <c r="A54" t="s">
        <v>145</v>
      </c>
    </row>
    <row r="55" spans="1:1" x14ac:dyDescent="0.3">
      <c r="A55" s="95"/>
    </row>
    <row r="56" spans="1:1" x14ac:dyDescent="0.3">
      <c r="A56" s="97" t="s">
        <v>146</v>
      </c>
    </row>
    <row r="57" spans="1:1" x14ac:dyDescent="0.3">
      <c r="A57" s="97" t="s">
        <v>147</v>
      </c>
    </row>
    <row r="59" spans="1:1" ht="18" x14ac:dyDescent="0.3">
      <c r="A59" s="94" t="s">
        <v>148</v>
      </c>
    </row>
    <row r="61" spans="1:1" x14ac:dyDescent="0.3">
      <c r="A61" t="s">
        <v>149</v>
      </c>
    </row>
    <row r="62" spans="1:1" x14ac:dyDescent="0.3">
      <c r="A62" s="95"/>
    </row>
    <row r="63" spans="1:1" x14ac:dyDescent="0.3">
      <c r="A63" s="97" t="s">
        <v>150</v>
      </c>
    </row>
    <row r="64" spans="1:1" x14ac:dyDescent="0.3">
      <c r="A64" s="97" t="s">
        <v>151</v>
      </c>
    </row>
    <row r="68" spans="1:1" ht="23.4" x14ac:dyDescent="0.3">
      <c r="A68" s="93" t="s">
        <v>152</v>
      </c>
    </row>
    <row r="70" spans="1:1" x14ac:dyDescent="0.3">
      <c r="A70" t="s">
        <v>153</v>
      </c>
    </row>
    <row r="72" spans="1:1" ht="18" x14ac:dyDescent="0.3">
      <c r="A72" s="94" t="s">
        <v>78</v>
      </c>
    </row>
    <row r="74" spans="1:1" x14ac:dyDescent="0.3">
      <c r="A74" t="s">
        <v>154</v>
      </c>
    </row>
    <row r="75" spans="1:1" x14ac:dyDescent="0.3">
      <c r="A75" t="s">
        <v>155</v>
      </c>
    </row>
    <row r="77" spans="1:1" ht="18" x14ac:dyDescent="0.3">
      <c r="A77" s="94" t="s">
        <v>79</v>
      </c>
    </row>
    <row r="79" spans="1:1" x14ac:dyDescent="0.3">
      <c r="A79" t="s">
        <v>156</v>
      </c>
    </row>
    <row r="80" spans="1:1" x14ac:dyDescent="0.3">
      <c r="A80" t="s">
        <v>157</v>
      </c>
    </row>
    <row r="82" spans="1:1" ht="18" x14ac:dyDescent="0.3">
      <c r="A82" s="94" t="s">
        <v>80</v>
      </c>
    </row>
    <row r="84" spans="1:1" x14ac:dyDescent="0.3">
      <c r="A84" t="s">
        <v>158</v>
      </c>
    </row>
    <row r="85" spans="1:1" x14ac:dyDescent="0.3">
      <c r="A85" t="s">
        <v>159</v>
      </c>
    </row>
    <row r="87" spans="1:1" ht="18" x14ac:dyDescent="0.3">
      <c r="A87" s="94" t="s">
        <v>50</v>
      </c>
    </row>
    <row r="89" spans="1:1" x14ac:dyDescent="0.3">
      <c r="A89" t="s">
        <v>160</v>
      </c>
    </row>
    <row r="90" spans="1:1" x14ac:dyDescent="0.3">
      <c r="A90" t="s">
        <v>161</v>
      </c>
    </row>
    <row r="94" spans="1:1" ht="23.4" x14ac:dyDescent="0.3">
      <c r="A94" s="93" t="s">
        <v>162</v>
      </c>
    </row>
    <row r="95" spans="1:1" x14ac:dyDescent="0.3">
      <c r="A95" s="95"/>
    </row>
    <row r="96" spans="1:1" x14ac:dyDescent="0.3">
      <c r="A96" s="95" t="s">
        <v>163</v>
      </c>
    </row>
    <row r="97" spans="1:1" x14ac:dyDescent="0.3">
      <c r="A97" s="95" t="s">
        <v>164</v>
      </c>
    </row>
    <row r="98" spans="1:1" x14ac:dyDescent="0.3">
      <c r="A98" s="95" t="s">
        <v>165</v>
      </c>
    </row>
    <row r="99" spans="1:1" x14ac:dyDescent="0.3">
      <c r="A99" s="95" t="s">
        <v>166</v>
      </c>
    </row>
    <row r="100" spans="1:1" x14ac:dyDescent="0.3">
      <c r="A100" s="95" t="s">
        <v>167</v>
      </c>
    </row>
    <row r="104" spans="1:1" ht="23.4" x14ac:dyDescent="0.3">
      <c r="A104" s="93" t="s">
        <v>168</v>
      </c>
    </row>
    <row r="105" spans="1:1" x14ac:dyDescent="0.3">
      <c r="A105" s="95"/>
    </row>
    <row r="106" spans="1:1" x14ac:dyDescent="0.3">
      <c r="A106" s="95" t="s">
        <v>169</v>
      </c>
    </row>
    <row r="107" spans="1:1" x14ac:dyDescent="0.3">
      <c r="A107" s="95" t="s">
        <v>170</v>
      </c>
    </row>
    <row r="108" spans="1:1" x14ac:dyDescent="0.3">
      <c r="A108" s="95" t="s">
        <v>171</v>
      </c>
    </row>
    <row r="110" spans="1:1" x14ac:dyDescent="0.3">
      <c r="A110" t="s">
        <v>172</v>
      </c>
    </row>
    <row r="112" spans="1:1" ht="23.4" x14ac:dyDescent="0.3">
      <c r="A112" s="93" t="s">
        <v>217</v>
      </c>
    </row>
    <row r="114" spans="1:1" x14ac:dyDescent="0.3">
      <c r="A114" t="s">
        <v>218</v>
      </c>
    </row>
    <row r="115" spans="1:1" x14ac:dyDescent="0.3">
      <c r="A115" t="s">
        <v>219</v>
      </c>
    </row>
    <row r="117" spans="1:1" x14ac:dyDescent="0.3">
      <c r="A117" t="s">
        <v>220</v>
      </c>
    </row>
    <row r="118" spans="1:1" x14ac:dyDescent="0.3">
      <c r="A118" s="95"/>
    </row>
    <row r="119" spans="1:1" x14ac:dyDescent="0.3">
      <c r="A119" s="97" t="s">
        <v>221</v>
      </c>
    </row>
    <row r="120" spans="1:1" x14ac:dyDescent="0.3">
      <c r="A120" s="97" t="s">
        <v>222</v>
      </c>
    </row>
    <row r="121" spans="1:1" x14ac:dyDescent="0.3">
      <c r="A121" s="97" t="s">
        <v>223</v>
      </c>
    </row>
    <row r="122" spans="1:1" x14ac:dyDescent="0.3">
      <c r="A122" s="97" t="s">
        <v>224</v>
      </c>
    </row>
    <row r="123" spans="1:1" x14ac:dyDescent="0.3">
      <c r="A123" s="97" t="s">
        <v>225</v>
      </c>
    </row>
    <row r="124" spans="1:1" x14ac:dyDescent="0.3">
      <c r="A124" s="97" t="s">
        <v>226</v>
      </c>
    </row>
    <row r="125" spans="1:1" x14ac:dyDescent="0.3">
      <c r="A125" s="97" t="s">
        <v>227</v>
      </c>
    </row>
    <row r="126" spans="1:1" x14ac:dyDescent="0.3">
      <c r="A126" s="97" t="s">
        <v>228</v>
      </c>
    </row>
    <row r="127" spans="1:1" x14ac:dyDescent="0.3">
      <c r="A127" s="97" t="s">
        <v>229</v>
      </c>
    </row>
    <row r="128" spans="1:1" x14ac:dyDescent="0.3">
      <c r="A128" s="97" t="s">
        <v>230</v>
      </c>
    </row>
    <row r="130" spans="1:1" x14ac:dyDescent="0.3">
      <c r="A130" t="s">
        <v>231</v>
      </c>
    </row>
    <row r="132" spans="1:1" x14ac:dyDescent="0.3">
      <c r="A132" t="s">
        <v>232</v>
      </c>
    </row>
    <row r="133" spans="1:1" x14ac:dyDescent="0.3">
      <c r="A133" t="s">
        <v>233</v>
      </c>
    </row>
    <row r="134" spans="1:1" x14ac:dyDescent="0.3">
      <c r="A134" s="95"/>
    </row>
    <row r="135" spans="1:1" x14ac:dyDescent="0.3">
      <c r="A135" s="97" t="s">
        <v>234</v>
      </c>
    </row>
    <row r="136" spans="1:1" x14ac:dyDescent="0.3">
      <c r="A136" s="97" t="s">
        <v>235</v>
      </c>
    </row>
    <row r="137" spans="1:1" x14ac:dyDescent="0.3">
      <c r="A137" s="97" t="s">
        <v>236</v>
      </c>
    </row>
    <row r="139" spans="1:1" ht="23.4" x14ac:dyDescent="0.3">
      <c r="A139" s="93" t="s">
        <v>237</v>
      </c>
    </row>
    <row r="140" spans="1:1" x14ac:dyDescent="0.3">
      <c r="A140" s="95"/>
    </row>
    <row r="141" spans="1:1" x14ac:dyDescent="0.3">
      <c r="A141" s="97" t="s">
        <v>238</v>
      </c>
    </row>
    <row r="142" spans="1:1" x14ac:dyDescent="0.3">
      <c r="A142" s="95" t="s">
        <v>239</v>
      </c>
    </row>
    <row r="143" spans="1:1" x14ac:dyDescent="0.3">
      <c r="A143" s="95" t="s">
        <v>240</v>
      </c>
    </row>
    <row r="144" spans="1:1" x14ac:dyDescent="0.3">
      <c r="A144" s="95" t="s">
        <v>241</v>
      </c>
    </row>
    <row r="145" spans="1:1" x14ac:dyDescent="0.3">
      <c r="A145" s="95" t="s">
        <v>242</v>
      </c>
    </row>
    <row r="147" spans="1:1" ht="23.4" x14ac:dyDescent="0.3">
      <c r="A147" s="93" t="s">
        <v>202</v>
      </c>
    </row>
    <row r="148" spans="1:1" x14ac:dyDescent="0.3">
      <c r="A148" s="95"/>
    </row>
    <row r="149" spans="1:1" x14ac:dyDescent="0.3">
      <c r="A149" s="125" t="s">
        <v>172</v>
      </c>
    </row>
    <row r="150" spans="1:1" x14ac:dyDescent="0.3">
      <c r="A150" t="s">
        <v>196</v>
      </c>
    </row>
    <row r="151" spans="1:1" x14ac:dyDescent="0.3">
      <c r="A151" t="s">
        <v>197</v>
      </c>
    </row>
    <row r="152" spans="1:1" x14ac:dyDescent="0.3">
      <c r="A152" t="s">
        <v>201</v>
      </c>
    </row>
    <row r="153" spans="1:1" x14ac:dyDescent="0.3">
      <c r="A153" t="s">
        <v>198</v>
      </c>
    </row>
    <row r="154" spans="1:1" x14ac:dyDescent="0.3">
      <c r="A154" t="s">
        <v>199</v>
      </c>
    </row>
    <row r="155" spans="1:1" x14ac:dyDescent="0.3">
      <c r="A155" s="125" t="s">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24C35-3B0F-4820-8927-9498DB8130BF}">
  <dimension ref="A1:N4499"/>
  <sheetViews>
    <sheetView zoomScale="92" workbookViewId="0">
      <selection activeCell="I140" sqref="I140"/>
    </sheetView>
  </sheetViews>
  <sheetFormatPr defaultRowHeight="14.4" x14ac:dyDescent="0.3"/>
  <cols>
    <col min="1" max="1" width="24" style="100" bestFit="1" customWidth="1"/>
    <col min="2" max="2" width="12" style="100" bestFit="1" customWidth="1"/>
    <col min="3" max="3" width="25.109375" style="100" bestFit="1" customWidth="1"/>
    <col min="4" max="4" width="20.44140625" style="100" bestFit="1" customWidth="1"/>
    <col min="5" max="5" width="11.88671875" style="100" bestFit="1" customWidth="1"/>
    <col min="6" max="6" width="11.33203125" style="100" bestFit="1" customWidth="1"/>
    <col min="7" max="7" width="11" style="100" bestFit="1" customWidth="1"/>
    <col min="8" max="8" width="8.88671875" style="100"/>
    <col min="9" max="9" width="12.44140625" style="12" bestFit="1" customWidth="1"/>
  </cols>
  <sheetData>
    <row r="1" spans="1:14" x14ac:dyDescent="0.3">
      <c r="A1" s="98" t="s">
        <v>0</v>
      </c>
      <c r="B1" s="98" t="s">
        <v>1</v>
      </c>
      <c r="C1" s="98" t="s">
        <v>2</v>
      </c>
      <c r="D1" s="98" t="s">
        <v>3</v>
      </c>
      <c r="E1" s="98" t="s">
        <v>4</v>
      </c>
      <c r="F1" s="106" t="s">
        <v>5</v>
      </c>
      <c r="G1" s="98" t="s">
        <v>6</v>
      </c>
      <c r="H1" s="106" t="s">
        <v>7</v>
      </c>
      <c r="I1" s="105" t="s">
        <v>173</v>
      </c>
    </row>
    <row r="2" spans="1:14" ht="18" x14ac:dyDescent="0.3">
      <c r="A2" s="100" t="s">
        <v>10</v>
      </c>
      <c r="B2" s="100" t="s">
        <v>11</v>
      </c>
      <c r="C2" s="100" t="s">
        <v>12</v>
      </c>
      <c r="D2" s="102">
        <v>45535</v>
      </c>
      <c r="E2" s="103">
        <v>0.30399999999999999</v>
      </c>
      <c r="F2" s="100">
        <v>0</v>
      </c>
      <c r="G2" s="100" t="s">
        <v>13</v>
      </c>
      <c r="H2" s="100">
        <v>0.27</v>
      </c>
      <c r="N2" s="96" t="s">
        <v>174</v>
      </c>
    </row>
    <row r="3" spans="1:14" x14ac:dyDescent="0.3">
      <c r="A3" s="100" t="s">
        <v>10</v>
      </c>
      <c r="B3" s="100" t="s">
        <v>11</v>
      </c>
      <c r="C3" s="100" t="s">
        <v>12</v>
      </c>
      <c r="D3" s="102">
        <v>45565</v>
      </c>
      <c r="E3" s="103">
        <v>0.30009871668311938</v>
      </c>
      <c r="F3" s="100">
        <v>1</v>
      </c>
      <c r="G3" s="100" t="s">
        <v>13</v>
      </c>
      <c r="H3" s="103">
        <v>0.27</v>
      </c>
      <c r="I3" s="101">
        <f t="shared" ref="I3:I34" si="0">IF(OR(B3&lt;&gt;B2,C3&lt;&gt;C2),"",IF(E2=0,"",IF(G3="UP",(E3-E2)/E2,-((E3-E2)/E2))))</f>
        <v>1.2833168805528324E-2</v>
      </c>
    </row>
    <row r="4" spans="1:14" x14ac:dyDescent="0.3">
      <c r="A4" s="100" t="s">
        <v>10</v>
      </c>
      <c r="B4" s="100" t="s">
        <v>11</v>
      </c>
      <c r="C4" s="100" t="s">
        <v>12</v>
      </c>
      <c r="D4" s="102">
        <v>45596</v>
      </c>
      <c r="E4" s="103">
        <v>0.29296875</v>
      </c>
      <c r="F4" s="100">
        <v>0</v>
      </c>
      <c r="G4" s="100" t="s">
        <v>13</v>
      </c>
      <c r="H4" s="103">
        <v>0.27</v>
      </c>
      <c r="I4" s="101">
        <f t="shared" si="0"/>
        <v>2.3758737664473471E-2</v>
      </c>
      <c r="N4" t="s">
        <v>175</v>
      </c>
    </row>
    <row r="5" spans="1:14" x14ac:dyDescent="0.3">
      <c r="A5" s="100" t="s">
        <v>10</v>
      </c>
      <c r="B5" s="100" t="s">
        <v>11</v>
      </c>
      <c r="C5" s="100" t="s">
        <v>12</v>
      </c>
      <c r="D5" s="102">
        <v>45626</v>
      </c>
      <c r="E5" s="103">
        <v>0.290885585</v>
      </c>
      <c r="F5" s="100">
        <v>0</v>
      </c>
      <c r="G5" s="100" t="s">
        <v>13</v>
      </c>
      <c r="H5" s="103">
        <v>0.27</v>
      </c>
      <c r="I5" s="101">
        <f t="shared" si="0"/>
        <v>7.1105365333333261E-3</v>
      </c>
    </row>
    <row r="6" spans="1:14" x14ac:dyDescent="0.3">
      <c r="A6" s="100" t="s">
        <v>10</v>
      </c>
      <c r="B6" s="100" t="s">
        <v>11</v>
      </c>
      <c r="C6" s="100" t="s">
        <v>12</v>
      </c>
      <c r="D6" s="102">
        <v>45657</v>
      </c>
      <c r="E6" s="103">
        <v>0.30193548387096769</v>
      </c>
      <c r="F6" s="100">
        <v>1</v>
      </c>
      <c r="G6" s="100" t="s">
        <v>13</v>
      </c>
      <c r="H6" s="103">
        <v>0.27</v>
      </c>
      <c r="I6" s="101">
        <f t="shared" si="0"/>
        <v>-3.7987096785726558E-2</v>
      </c>
      <c r="N6" t="s">
        <v>176</v>
      </c>
    </row>
    <row r="7" spans="1:14" x14ac:dyDescent="0.3">
      <c r="A7" s="100" t="s">
        <v>10</v>
      </c>
      <c r="B7" s="100" t="s">
        <v>11</v>
      </c>
      <c r="C7" s="100" t="s">
        <v>12</v>
      </c>
      <c r="D7" s="102">
        <v>45688</v>
      </c>
      <c r="E7" s="103">
        <v>0.30232558139534882</v>
      </c>
      <c r="F7" s="100">
        <v>1</v>
      </c>
      <c r="G7" s="100" t="s">
        <v>13</v>
      </c>
      <c r="H7" s="103">
        <v>0.27</v>
      </c>
      <c r="I7" s="101">
        <f t="shared" si="0"/>
        <v>-1.2919896640827952E-3</v>
      </c>
    </row>
    <row r="8" spans="1:14" ht="18" x14ac:dyDescent="0.3">
      <c r="A8" s="100" t="s">
        <v>10</v>
      </c>
      <c r="B8" s="100" t="s">
        <v>11</v>
      </c>
      <c r="C8" s="100" t="s">
        <v>12</v>
      </c>
      <c r="D8" s="102">
        <v>45716</v>
      </c>
      <c r="E8" s="103">
        <v>0.28859278518037051</v>
      </c>
      <c r="F8" s="100">
        <v>0</v>
      </c>
      <c r="G8" s="100" t="s">
        <v>13</v>
      </c>
      <c r="H8" s="103">
        <v>0.27</v>
      </c>
      <c r="I8" s="101">
        <f t="shared" si="0"/>
        <v>4.5423864403389781E-2</v>
      </c>
      <c r="N8" s="94" t="s">
        <v>177</v>
      </c>
    </row>
    <row r="9" spans="1:14" x14ac:dyDescent="0.3">
      <c r="A9" s="100" t="s">
        <v>10</v>
      </c>
      <c r="B9" s="100" t="s">
        <v>11</v>
      </c>
      <c r="C9" s="100" t="s">
        <v>12</v>
      </c>
      <c r="D9" s="102">
        <v>45747</v>
      </c>
      <c r="E9" s="103">
        <v>0.27227885563959231</v>
      </c>
      <c r="F9" s="100">
        <v>0</v>
      </c>
      <c r="G9" s="100" t="s">
        <v>13</v>
      </c>
      <c r="H9" s="103">
        <v>0.27</v>
      </c>
      <c r="I9" s="101">
        <f t="shared" si="0"/>
        <v>5.6529235582178525E-2</v>
      </c>
    </row>
    <row r="10" spans="1:14" x14ac:dyDescent="0.3">
      <c r="A10" s="100" t="s">
        <v>10</v>
      </c>
      <c r="B10" s="100" t="s">
        <v>11</v>
      </c>
      <c r="C10" s="100" t="s">
        <v>12</v>
      </c>
      <c r="D10" s="102">
        <v>45777</v>
      </c>
      <c r="E10" s="103">
        <v>0.25540540540540541</v>
      </c>
      <c r="F10" s="100">
        <v>0</v>
      </c>
      <c r="G10" s="100" t="s">
        <v>13</v>
      </c>
      <c r="H10" s="103">
        <v>0.27</v>
      </c>
      <c r="I10" s="101">
        <f t="shared" si="0"/>
        <v>6.1971210340775802E-2</v>
      </c>
      <c r="N10" t="s">
        <v>178</v>
      </c>
    </row>
    <row r="11" spans="1:14" x14ac:dyDescent="0.3">
      <c r="A11" s="100" t="s">
        <v>10</v>
      </c>
      <c r="B11" s="100" t="s">
        <v>11</v>
      </c>
      <c r="C11" s="100" t="s">
        <v>12</v>
      </c>
      <c r="D11" s="102">
        <v>45808</v>
      </c>
      <c r="E11" s="103">
        <v>0.25311203319502068</v>
      </c>
      <c r="F11" s="100">
        <v>0</v>
      </c>
      <c r="G11" s="100" t="s">
        <v>13</v>
      </c>
      <c r="H11" s="103">
        <v>0.27</v>
      </c>
      <c r="I11" s="101">
        <f t="shared" si="0"/>
        <v>8.9793409295486609E-3</v>
      </c>
      <c r="N11" s="95"/>
    </row>
    <row r="12" spans="1:14" x14ac:dyDescent="0.3">
      <c r="A12" s="100" t="s">
        <v>10</v>
      </c>
      <c r="B12" s="100" t="s">
        <v>11</v>
      </c>
      <c r="C12" s="100" t="s">
        <v>12</v>
      </c>
      <c r="D12" s="102">
        <v>45838</v>
      </c>
      <c r="E12" s="103">
        <v>0.2492957746478873</v>
      </c>
      <c r="F12" s="100">
        <v>0</v>
      </c>
      <c r="G12" s="100" t="s">
        <v>13</v>
      </c>
      <c r="H12" s="103">
        <v>0.27</v>
      </c>
      <c r="I12" s="101">
        <f t="shared" si="0"/>
        <v>1.5077349341953206E-2</v>
      </c>
      <c r="N12" s="97" t="s">
        <v>179</v>
      </c>
    </row>
    <row r="13" spans="1:14" x14ac:dyDescent="0.3">
      <c r="A13" s="100" t="s">
        <v>10</v>
      </c>
      <c r="B13" s="100" t="s">
        <v>11</v>
      </c>
      <c r="C13" s="100" t="s">
        <v>12</v>
      </c>
      <c r="D13" s="102">
        <v>45869</v>
      </c>
      <c r="E13" s="103">
        <v>0.24910522548317821</v>
      </c>
      <c r="F13" s="100">
        <v>0</v>
      </c>
      <c r="G13" s="100" t="s">
        <v>13</v>
      </c>
      <c r="H13" s="103">
        <v>0.27</v>
      </c>
      <c r="I13" s="101">
        <f t="shared" si="0"/>
        <v>7.6434975674268457E-4</v>
      </c>
      <c r="N13" s="97" t="s">
        <v>180</v>
      </c>
    </row>
    <row r="14" spans="1:14" x14ac:dyDescent="0.3">
      <c r="A14" s="100" t="s">
        <v>10</v>
      </c>
      <c r="B14" s="100" t="s">
        <v>11</v>
      </c>
      <c r="C14" s="100" t="s">
        <v>12</v>
      </c>
      <c r="D14" s="102">
        <v>45900</v>
      </c>
      <c r="E14" s="103">
        <v>0.2453450164293538</v>
      </c>
      <c r="F14" s="100">
        <v>0</v>
      </c>
      <c r="G14" s="100" t="s">
        <v>13</v>
      </c>
      <c r="H14" s="103">
        <v>0.27</v>
      </c>
      <c r="I14" s="101">
        <f t="shared" si="0"/>
        <v>1.5094862207450266E-2</v>
      </c>
      <c r="N14" s="97" t="s">
        <v>181</v>
      </c>
    </row>
    <row r="15" spans="1:14" x14ac:dyDescent="0.3">
      <c r="A15" s="100" t="s">
        <v>10</v>
      </c>
      <c r="B15" s="100" t="s">
        <v>11</v>
      </c>
      <c r="C15" s="100" t="s">
        <v>12</v>
      </c>
      <c r="D15" s="102">
        <v>45930</v>
      </c>
      <c r="E15" s="103">
        <v>0.2548435171385991</v>
      </c>
      <c r="F15" s="100">
        <v>0</v>
      </c>
      <c r="G15" s="100" t="s">
        <v>13</v>
      </c>
      <c r="H15" s="103">
        <v>0.27</v>
      </c>
      <c r="I15" s="101">
        <f t="shared" si="0"/>
        <v>-3.8714871194379254E-2</v>
      </c>
    </row>
    <row r="16" spans="1:14" x14ac:dyDescent="0.3">
      <c r="A16" s="100" t="s">
        <v>10</v>
      </c>
      <c r="B16" s="100" t="s">
        <v>11</v>
      </c>
      <c r="C16" s="100" t="s">
        <v>12</v>
      </c>
      <c r="D16" s="102">
        <v>45961</v>
      </c>
      <c r="E16" s="103">
        <v>0.25190839694656492</v>
      </c>
      <c r="F16" s="100">
        <v>0</v>
      </c>
      <c r="G16" s="100" t="s">
        <v>13</v>
      </c>
      <c r="H16" s="103">
        <v>0.27</v>
      </c>
      <c r="I16" s="101">
        <f t="shared" si="0"/>
        <v>1.1517342975759851E-2</v>
      </c>
      <c r="N16" t="s">
        <v>182</v>
      </c>
    </row>
    <row r="17" spans="1:14" x14ac:dyDescent="0.3">
      <c r="A17" s="100" t="s">
        <v>10</v>
      </c>
      <c r="B17" s="100" t="s">
        <v>11</v>
      </c>
      <c r="C17" s="100" t="s">
        <v>12</v>
      </c>
      <c r="D17" s="102">
        <v>45991</v>
      </c>
      <c r="E17" s="103">
        <v>0.24394057857701329</v>
      </c>
      <c r="F17" s="100">
        <v>0</v>
      </c>
      <c r="G17" s="100" t="s">
        <v>13</v>
      </c>
      <c r="H17" s="103">
        <v>0.27</v>
      </c>
      <c r="I17" s="101">
        <f t="shared" si="0"/>
        <v>3.1629824436704937E-2</v>
      </c>
    </row>
    <row r="18" spans="1:14" x14ac:dyDescent="0.3">
      <c r="A18" s="100" t="s">
        <v>10</v>
      </c>
      <c r="B18" s="100" t="s">
        <v>11</v>
      </c>
      <c r="C18" s="100" t="s">
        <v>14</v>
      </c>
      <c r="D18" s="102">
        <v>45535</v>
      </c>
      <c r="E18" s="103">
        <v>7.8461538461538458E-2</v>
      </c>
      <c r="F18" s="100">
        <v>0</v>
      </c>
      <c r="G18" s="100" t="s">
        <v>13</v>
      </c>
      <c r="H18" s="103">
        <v>5.3999999999999999E-2</v>
      </c>
      <c r="I18" s="101" t="str">
        <f t="shared" si="0"/>
        <v/>
      </c>
    </row>
    <row r="19" spans="1:14" ht="18" x14ac:dyDescent="0.3">
      <c r="A19" s="100" t="s">
        <v>10</v>
      </c>
      <c r="B19" s="100" t="s">
        <v>11</v>
      </c>
      <c r="C19" s="100" t="s">
        <v>14</v>
      </c>
      <c r="D19" s="102">
        <v>45565</v>
      </c>
      <c r="E19" s="103">
        <v>6.9821567106283941E-2</v>
      </c>
      <c r="F19" s="100">
        <v>0</v>
      </c>
      <c r="G19" s="100" t="s">
        <v>13</v>
      </c>
      <c r="H19" s="103">
        <v>5.3999999999999999E-2</v>
      </c>
      <c r="I19" s="101">
        <f t="shared" si="0"/>
        <v>0.11011728197873404</v>
      </c>
      <c r="N19" s="94" t="s">
        <v>183</v>
      </c>
    </row>
    <row r="20" spans="1:14" x14ac:dyDescent="0.3">
      <c r="A20" s="100" t="s">
        <v>10</v>
      </c>
      <c r="B20" s="100" t="s">
        <v>11</v>
      </c>
      <c r="C20" s="100" t="s">
        <v>14</v>
      </c>
      <c r="D20" s="102">
        <v>45596</v>
      </c>
      <c r="E20" s="103">
        <v>7.1372549019607837E-2</v>
      </c>
      <c r="F20" s="100">
        <v>0</v>
      </c>
      <c r="G20" s="100" t="s">
        <v>13</v>
      </c>
      <c r="H20" s="103">
        <v>5.3999999999999999E-2</v>
      </c>
      <c r="I20" s="101">
        <f t="shared" si="0"/>
        <v>-2.2213507625272237E-2</v>
      </c>
    </row>
    <row r="21" spans="1:14" ht="15.6" x14ac:dyDescent="0.3">
      <c r="A21" s="100" t="s">
        <v>10</v>
      </c>
      <c r="B21" s="100" t="s">
        <v>11</v>
      </c>
      <c r="C21" s="100" t="s">
        <v>14</v>
      </c>
      <c r="D21" s="102">
        <v>45626</v>
      </c>
      <c r="E21" s="103">
        <v>6.4414767999999997E-2</v>
      </c>
      <c r="F21" s="100">
        <v>0</v>
      </c>
      <c r="G21" s="100" t="s">
        <v>13</v>
      </c>
      <c r="H21" s="103">
        <v>5.3999999999999999E-2</v>
      </c>
      <c r="I21" s="101">
        <f t="shared" si="0"/>
        <v>9.748539340659336E-2</v>
      </c>
      <c r="N21" s="99" t="s">
        <v>184</v>
      </c>
    </row>
    <row r="22" spans="1:14" x14ac:dyDescent="0.3">
      <c r="A22" s="100" t="s">
        <v>10</v>
      </c>
      <c r="B22" s="100" t="s">
        <v>11</v>
      </c>
      <c r="C22" s="100" t="s">
        <v>14</v>
      </c>
      <c r="D22" s="102">
        <v>45657</v>
      </c>
      <c r="E22" s="103">
        <v>6.5934065934065936E-2</v>
      </c>
      <c r="F22" s="100">
        <v>1</v>
      </c>
      <c r="G22" s="100" t="s">
        <v>13</v>
      </c>
      <c r="H22" s="103">
        <v>5.3999999999999999E-2</v>
      </c>
      <c r="I22" s="101">
        <f t="shared" si="0"/>
        <v>-2.3586174121840175E-2</v>
      </c>
    </row>
    <row r="23" spans="1:14" x14ac:dyDescent="0.3">
      <c r="A23" s="100" t="s">
        <v>10</v>
      </c>
      <c r="B23" s="100" t="s">
        <v>11</v>
      </c>
      <c r="C23" s="100" t="s">
        <v>14</v>
      </c>
      <c r="D23" s="102">
        <v>45688</v>
      </c>
      <c r="E23" s="103">
        <v>7.3265783320342948E-2</v>
      </c>
      <c r="F23" s="100">
        <v>1</v>
      </c>
      <c r="G23" s="100" t="s">
        <v>13</v>
      </c>
      <c r="H23" s="103">
        <v>5.3999999999999999E-2</v>
      </c>
      <c r="I23" s="101">
        <f t="shared" si="0"/>
        <v>-0.11119771369186801</v>
      </c>
      <c r="N23" t="s">
        <v>185</v>
      </c>
    </row>
    <row r="24" spans="1:14" x14ac:dyDescent="0.3">
      <c r="A24" s="100" t="s">
        <v>10</v>
      </c>
      <c r="B24" s="100" t="s">
        <v>11</v>
      </c>
      <c r="C24" s="100" t="s">
        <v>14</v>
      </c>
      <c r="D24" s="102">
        <v>45716</v>
      </c>
      <c r="E24" s="103">
        <v>8.0093312597200622E-2</v>
      </c>
      <c r="F24" s="100">
        <v>1</v>
      </c>
      <c r="G24" s="100" t="s">
        <v>13</v>
      </c>
      <c r="H24" s="103">
        <v>5.3999999999999999E-2</v>
      </c>
      <c r="I24" s="101">
        <f t="shared" si="0"/>
        <v>-9.3188511300089316E-2</v>
      </c>
      <c r="N24" t="s">
        <v>189</v>
      </c>
    </row>
    <row r="25" spans="1:14" x14ac:dyDescent="0.3">
      <c r="A25" s="100" t="s">
        <v>10</v>
      </c>
      <c r="B25" s="100" t="s">
        <v>11</v>
      </c>
      <c r="C25" s="100" t="s">
        <v>14</v>
      </c>
      <c r="D25" s="102">
        <v>45747</v>
      </c>
      <c r="E25" s="103">
        <v>7.5617283950617287E-2</v>
      </c>
      <c r="F25" s="100">
        <v>0</v>
      </c>
      <c r="G25" s="100" t="s">
        <v>13</v>
      </c>
      <c r="H25" s="103">
        <v>5.3999999999999999E-2</v>
      </c>
      <c r="I25" s="101">
        <f t="shared" si="0"/>
        <v>5.5885173199089026E-2</v>
      </c>
    </row>
    <row r="26" spans="1:14" ht="15.6" x14ac:dyDescent="0.3">
      <c r="A26" s="100" t="s">
        <v>10</v>
      </c>
      <c r="B26" s="100" t="s">
        <v>11</v>
      </c>
      <c r="C26" s="100" t="s">
        <v>14</v>
      </c>
      <c r="D26" s="102">
        <v>45777</v>
      </c>
      <c r="E26" s="103">
        <v>8.87035633055345E-2</v>
      </c>
      <c r="F26" s="100">
        <v>0</v>
      </c>
      <c r="G26" s="100" t="s">
        <v>13</v>
      </c>
      <c r="H26" s="103">
        <v>5.3999999999999999E-2</v>
      </c>
      <c r="I26" s="101">
        <f t="shared" si="0"/>
        <v>-0.17305936779563988</v>
      </c>
      <c r="N26" s="99" t="s">
        <v>186</v>
      </c>
    </row>
    <row r="27" spans="1:14" x14ac:dyDescent="0.3">
      <c r="A27" s="100" t="s">
        <v>10</v>
      </c>
      <c r="B27" s="100" t="s">
        <v>11</v>
      </c>
      <c r="C27" s="100" t="s">
        <v>14</v>
      </c>
      <c r="D27" s="102">
        <v>45808</v>
      </c>
      <c r="E27" s="103">
        <v>8.6956521739130432E-2</v>
      </c>
      <c r="F27" s="100">
        <v>0</v>
      </c>
      <c r="G27" s="100" t="s">
        <v>13</v>
      </c>
      <c r="H27" s="103">
        <v>5.3999999999999999E-2</v>
      </c>
      <c r="I27" s="101">
        <f t="shared" si="0"/>
        <v>1.9695280564845853E-2</v>
      </c>
    </row>
    <row r="28" spans="1:14" x14ac:dyDescent="0.3">
      <c r="A28" s="100" t="s">
        <v>10</v>
      </c>
      <c r="B28" s="100" t="s">
        <v>11</v>
      </c>
      <c r="C28" s="100" t="s">
        <v>14</v>
      </c>
      <c r="D28" s="102">
        <v>45838</v>
      </c>
      <c r="E28" s="103">
        <v>7.4999999999999997E-2</v>
      </c>
      <c r="F28" s="100">
        <v>0</v>
      </c>
      <c r="G28" s="100" t="s">
        <v>13</v>
      </c>
      <c r="H28" s="103">
        <v>5.3999999999999999E-2</v>
      </c>
      <c r="I28" s="101">
        <f t="shared" si="0"/>
        <v>0.13750000000000001</v>
      </c>
      <c r="N28" t="s">
        <v>187</v>
      </c>
    </row>
    <row r="29" spans="1:14" x14ac:dyDescent="0.3">
      <c r="A29" s="100" t="s">
        <v>10</v>
      </c>
      <c r="B29" s="100" t="s">
        <v>11</v>
      </c>
      <c r="C29" s="100" t="s">
        <v>14</v>
      </c>
      <c r="D29" s="102">
        <v>45869</v>
      </c>
      <c r="E29" s="103">
        <v>6.9819819819819814E-2</v>
      </c>
      <c r="F29" s="100">
        <v>0</v>
      </c>
      <c r="G29" s="100" t="s">
        <v>13</v>
      </c>
      <c r="H29" s="103">
        <v>5.3999999999999999E-2</v>
      </c>
      <c r="I29" s="101">
        <f t="shared" si="0"/>
        <v>6.9069069069069108E-2</v>
      </c>
      <c r="N29" t="s">
        <v>190</v>
      </c>
    </row>
    <row r="30" spans="1:14" x14ac:dyDescent="0.3">
      <c r="A30" s="100" t="s">
        <v>10</v>
      </c>
      <c r="B30" s="100" t="s">
        <v>11</v>
      </c>
      <c r="C30" s="100" t="s">
        <v>14</v>
      </c>
      <c r="D30" s="102">
        <v>45900</v>
      </c>
      <c r="E30" s="103">
        <v>6.7771084337349394E-2</v>
      </c>
      <c r="F30" s="100">
        <v>0</v>
      </c>
      <c r="G30" s="100" t="s">
        <v>13</v>
      </c>
      <c r="H30" s="103">
        <v>5.3999999999999999E-2</v>
      </c>
      <c r="I30" s="101">
        <f t="shared" si="0"/>
        <v>2.9343179168286028E-2</v>
      </c>
    </row>
    <row r="31" spans="1:14" x14ac:dyDescent="0.3">
      <c r="A31" s="100" t="s">
        <v>10</v>
      </c>
      <c r="B31" s="100" t="s">
        <v>11</v>
      </c>
      <c r="C31" s="100" t="s">
        <v>14</v>
      </c>
      <c r="D31" s="102">
        <v>45930</v>
      </c>
      <c r="E31" s="103">
        <v>6.2878787878787881E-2</v>
      </c>
      <c r="F31" s="100">
        <v>0</v>
      </c>
      <c r="G31" s="100" t="s">
        <v>13</v>
      </c>
      <c r="H31" s="103">
        <v>5.3999999999999999E-2</v>
      </c>
      <c r="I31" s="101">
        <f t="shared" si="0"/>
        <v>7.2188552188552094E-2</v>
      </c>
      <c r="N31" t="s">
        <v>188</v>
      </c>
    </row>
    <row r="32" spans="1:14" x14ac:dyDescent="0.3">
      <c r="A32" s="100" t="s">
        <v>10</v>
      </c>
      <c r="B32" s="100" t="s">
        <v>11</v>
      </c>
      <c r="C32" s="100" t="s">
        <v>14</v>
      </c>
      <c r="D32" s="102">
        <v>45961</v>
      </c>
      <c r="E32" s="103">
        <v>5.6445461479786421E-2</v>
      </c>
      <c r="F32" s="100">
        <v>0</v>
      </c>
      <c r="G32" s="100" t="s">
        <v>13</v>
      </c>
      <c r="H32" s="103">
        <v>5.3999999999999999E-2</v>
      </c>
      <c r="I32" s="101">
        <f t="shared" si="0"/>
        <v>0.10231314273110755</v>
      </c>
    </row>
    <row r="33" spans="1:9" x14ac:dyDescent="0.3">
      <c r="A33" s="100" t="s">
        <v>10</v>
      </c>
      <c r="B33" s="100" t="s">
        <v>11</v>
      </c>
      <c r="C33" s="100" t="s">
        <v>14</v>
      </c>
      <c r="D33" s="102">
        <v>45991</v>
      </c>
      <c r="E33" s="103">
        <v>6.3444108761329304E-2</v>
      </c>
      <c r="F33" s="100">
        <v>0</v>
      </c>
      <c r="G33" s="100" t="s">
        <v>13</v>
      </c>
      <c r="H33" s="103">
        <v>5.3999999999999999E-2</v>
      </c>
      <c r="I33" s="101">
        <f t="shared" si="0"/>
        <v>-0.12398954846084756</v>
      </c>
    </row>
    <row r="34" spans="1:9" x14ac:dyDescent="0.3">
      <c r="A34" s="100" t="s">
        <v>10</v>
      </c>
      <c r="B34" s="100" t="s">
        <v>11</v>
      </c>
      <c r="C34" s="100" t="s">
        <v>15</v>
      </c>
      <c r="D34" s="102">
        <v>45535</v>
      </c>
      <c r="E34" s="103">
        <v>0.1075514874141876</v>
      </c>
      <c r="F34" s="100">
        <v>1</v>
      </c>
      <c r="G34" s="100" t="s">
        <v>13</v>
      </c>
      <c r="H34" s="103">
        <v>6.6000000000000003E-2</v>
      </c>
      <c r="I34" s="101" t="str">
        <f t="shared" si="0"/>
        <v/>
      </c>
    </row>
    <row r="35" spans="1:9" x14ac:dyDescent="0.3">
      <c r="A35" s="100" t="s">
        <v>10</v>
      </c>
      <c r="B35" s="100" t="s">
        <v>11</v>
      </c>
      <c r="C35" s="100" t="s">
        <v>15</v>
      </c>
      <c r="D35" s="102">
        <v>45565</v>
      </c>
      <c r="E35" s="103">
        <v>0.1133786848072562</v>
      </c>
      <c r="F35" s="100">
        <v>1</v>
      </c>
      <c r="G35" s="100" t="s">
        <v>13</v>
      </c>
      <c r="H35" s="103">
        <v>6.6000000000000003E-2</v>
      </c>
      <c r="I35" s="101">
        <f t="shared" ref="I35:I66" si="1">IF(OR(B35&lt;&gt;B34,C35&lt;&gt;C34),"",IF(E34=0,"",IF(G35="UP",(E35-E34)/E34,-((E35-E34)/E34))))</f>
        <v>-5.4180537463212303E-2</v>
      </c>
    </row>
    <row r="36" spans="1:9" x14ac:dyDescent="0.3">
      <c r="A36" s="100" t="s">
        <v>10</v>
      </c>
      <c r="B36" s="100" t="s">
        <v>11</v>
      </c>
      <c r="C36" s="100" t="s">
        <v>15</v>
      </c>
      <c r="D36" s="102">
        <v>45596</v>
      </c>
      <c r="E36" s="103">
        <v>0.1018957345971564</v>
      </c>
      <c r="F36" s="100">
        <v>1</v>
      </c>
      <c r="G36" s="100" t="s">
        <v>13</v>
      </c>
      <c r="H36" s="103">
        <v>6.6000000000000003E-2</v>
      </c>
      <c r="I36" s="101">
        <f t="shared" si="1"/>
        <v>0.1012796208530803</v>
      </c>
    </row>
    <row r="37" spans="1:9" x14ac:dyDescent="0.3">
      <c r="A37" s="100" t="s">
        <v>10</v>
      </c>
      <c r="B37" s="100" t="s">
        <v>11</v>
      </c>
      <c r="C37" s="100" t="s">
        <v>15</v>
      </c>
      <c r="D37" s="102">
        <v>45626</v>
      </c>
      <c r="E37" s="103">
        <v>8.3732056999999999E-2</v>
      </c>
      <c r="F37" s="100">
        <v>0</v>
      </c>
      <c r="G37" s="100" t="s">
        <v>13</v>
      </c>
      <c r="H37" s="103">
        <v>6.6000000000000003E-2</v>
      </c>
      <c r="I37" s="101">
        <f t="shared" si="1"/>
        <v>0.17825748711627906</v>
      </c>
    </row>
    <row r="38" spans="1:9" x14ac:dyDescent="0.3">
      <c r="A38" s="100" t="s">
        <v>10</v>
      </c>
      <c r="B38" s="100" t="s">
        <v>11</v>
      </c>
      <c r="C38" s="100" t="s">
        <v>15</v>
      </c>
      <c r="D38" s="102">
        <v>45657</v>
      </c>
      <c r="E38" s="103">
        <v>8.2938388625592413E-2</v>
      </c>
      <c r="F38" s="100">
        <v>0</v>
      </c>
      <c r="G38" s="100" t="s">
        <v>13</v>
      </c>
      <c r="H38" s="103">
        <v>6.6000000000000003E-2</v>
      </c>
      <c r="I38" s="101">
        <f t="shared" si="1"/>
        <v>9.4786680614759727E-3</v>
      </c>
    </row>
    <row r="39" spans="1:9" x14ac:dyDescent="0.3">
      <c r="A39" s="100" t="s">
        <v>10</v>
      </c>
      <c r="B39" s="100" t="s">
        <v>11</v>
      </c>
      <c r="C39" s="100" t="s">
        <v>15</v>
      </c>
      <c r="D39" s="102">
        <v>45688</v>
      </c>
      <c r="E39" s="103">
        <v>9.9307159353348731E-2</v>
      </c>
      <c r="F39" s="100">
        <v>1</v>
      </c>
      <c r="G39" s="100" t="s">
        <v>13</v>
      </c>
      <c r="H39" s="103">
        <v>6.6000000000000003E-2</v>
      </c>
      <c r="I39" s="101">
        <f t="shared" si="1"/>
        <v>-0.1973606070603762</v>
      </c>
    </row>
    <row r="40" spans="1:9" x14ac:dyDescent="0.3">
      <c r="A40" s="100" t="s">
        <v>10</v>
      </c>
      <c r="B40" s="100" t="s">
        <v>11</v>
      </c>
      <c r="C40" s="100" t="s">
        <v>15</v>
      </c>
      <c r="D40" s="102">
        <v>45716</v>
      </c>
      <c r="E40" s="103">
        <v>0.1118721461187215</v>
      </c>
      <c r="F40" s="100">
        <v>1</v>
      </c>
      <c r="G40" s="100" t="s">
        <v>13</v>
      </c>
      <c r="H40" s="103">
        <v>6.6000000000000003E-2</v>
      </c>
      <c r="I40" s="101">
        <f t="shared" si="1"/>
        <v>-0.12652649463735832</v>
      </c>
    </row>
    <row r="41" spans="1:9" x14ac:dyDescent="0.3">
      <c r="A41" s="100" t="s">
        <v>10</v>
      </c>
      <c r="B41" s="100" t="s">
        <v>11</v>
      </c>
      <c r="C41" s="100" t="s">
        <v>15</v>
      </c>
      <c r="D41" s="102">
        <v>45747</v>
      </c>
      <c r="E41" s="104">
        <v>9.5890410958904104E-2</v>
      </c>
      <c r="F41" s="100">
        <v>0</v>
      </c>
      <c r="G41" s="100" t="s">
        <v>13</v>
      </c>
      <c r="H41" s="107">
        <v>6.6000000000000003E-2</v>
      </c>
      <c r="I41" s="101">
        <f t="shared" si="1"/>
        <v>0.14285714285714318</v>
      </c>
    </row>
    <row r="42" spans="1:9" x14ac:dyDescent="0.3">
      <c r="A42" s="100" t="s">
        <v>10</v>
      </c>
      <c r="B42" s="100" t="s">
        <v>11</v>
      </c>
      <c r="C42" s="100" t="s">
        <v>15</v>
      </c>
      <c r="D42" s="102">
        <v>45777</v>
      </c>
      <c r="E42" s="103">
        <v>0.1160714285714286</v>
      </c>
      <c r="F42" s="100">
        <v>0</v>
      </c>
      <c r="G42" s="100" t="s">
        <v>13</v>
      </c>
      <c r="H42" s="103">
        <v>6.6000000000000003E-2</v>
      </c>
      <c r="I42" s="101">
        <f t="shared" si="1"/>
        <v>-0.21045918367346977</v>
      </c>
    </row>
    <row r="43" spans="1:9" x14ac:dyDescent="0.3">
      <c r="A43" s="100" t="s">
        <v>10</v>
      </c>
      <c r="B43" s="100" t="s">
        <v>11</v>
      </c>
      <c r="C43" s="100" t="s">
        <v>15</v>
      </c>
      <c r="D43" s="102">
        <v>45808</v>
      </c>
      <c r="E43" s="103">
        <v>9.6774193548387094E-2</v>
      </c>
      <c r="F43" s="100">
        <v>0</v>
      </c>
      <c r="G43" s="100" t="s">
        <v>13</v>
      </c>
      <c r="H43" s="103">
        <v>6.6000000000000003E-2</v>
      </c>
      <c r="I43" s="101">
        <f t="shared" si="1"/>
        <v>0.16625310173697297</v>
      </c>
    </row>
    <row r="44" spans="1:9" x14ac:dyDescent="0.3">
      <c r="A44" s="100" t="s">
        <v>10</v>
      </c>
      <c r="B44" s="100" t="s">
        <v>11</v>
      </c>
      <c r="C44" s="100" t="s">
        <v>15</v>
      </c>
      <c r="D44" s="102">
        <v>45838</v>
      </c>
      <c r="E44" s="103">
        <v>7.8160919540229884E-2</v>
      </c>
      <c r="F44" s="100">
        <v>0</v>
      </c>
      <c r="G44" s="100" t="s">
        <v>13</v>
      </c>
      <c r="H44" s="103">
        <v>6.6000000000000003E-2</v>
      </c>
      <c r="I44" s="101">
        <f t="shared" si="1"/>
        <v>0.19233716475095786</v>
      </c>
    </row>
    <row r="45" spans="1:9" x14ac:dyDescent="0.3">
      <c r="A45" s="100" t="s">
        <v>10</v>
      </c>
      <c r="B45" s="100" t="s">
        <v>11</v>
      </c>
      <c r="C45" s="100" t="s">
        <v>15</v>
      </c>
      <c r="D45" s="102">
        <v>45869</v>
      </c>
      <c r="E45" s="103">
        <v>7.5892857142857137E-2</v>
      </c>
      <c r="F45" s="100">
        <v>0</v>
      </c>
      <c r="G45" s="100" t="s">
        <v>13</v>
      </c>
      <c r="H45" s="103">
        <v>6.6000000000000003E-2</v>
      </c>
      <c r="I45" s="101">
        <f t="shared" si="1"/>
        <v>2.9017857142857206E-2</v>
      </c>
    </row>
    <row r="46" spans="1:9" x14ac:dyDescent="0.3">
      <c r="A46" s="100" t="s">
        <v>10</v>
      </c>
      <c r="B46" s="100" t="s">
        <v>11</v>
      </c>
      <c r="C46" s="100" t="s">
        <v>15</v>
      </c>
      <c r="D46" s="102">
        <v>45900</v>
      </c>
      <c r="E46" s="103">
        <v>7.3991031390134535E-2</v>
      </c>
      <c r="F46" s="100">
        <v>0</v>
      </c>
      <c r="G46" s="100" t="s">
        <v>13</v>
      </c>
      <c r="H46" s="103">
        <v>6.6000000000000003E-2</v>
      </c>
      <c r="I46" s="101">
        <f t="shared" si="1"/>
        <v>2.505935109469782E-2</v>
      </c>
    </row>
    <row r="47" spans="1:9" x14ac:dyDescent="0.3">
      <c r="A47" s="100" t="s">
        <v>10</v>
      </c>
      <c r="B47" s="100" t="s">
        <v>11</v>
      </c>
      <c r="C47" s="100" t="s">
        <v>15</v>
      </c>
      <c r="D47" s="102">
        <v>45930</v>
      </c>
      <c r="E47" s="103">
        <v>7.7777777777777779E-2</v>
      </c>
      <c r="F47" s="100">
        <v>1</v>
      </c>
      <c r="G47" s="100" t="s">
        <v>13</v>
      </c>
      <c r="H47" s="103">
        <v>6.6000000000000003E-2</v>
      </c>
      <c r="I47" s="101">
        <f t="shared" si="1"/>
        <v>-5.1178451178451115E-2</v>
      </c>
    </row>
    <row r="48" spans="1:9" x14ac:dyDescent="0.3">
      <c r="A48" s="100" t="s">
        <v>10</v>
      </c>
      <c r="B48" s="100" t="s">
        <v>11</v>
      </c>
      <c r="C48" s="100" t="s">
        <v>15</v>
      </c>
      <c r="D48" s="102">
        <v>45961</v>
      </c>
      <c r="E48" s="103">
        <v>5.7906458797327393E-2</v>
      </c>
      <c r="F48" s="100">
        <v>0</v>
      </c>
      <c r="G48" s="100" t="s">
        <v>13</v>
      </c>
      <c r="H48" s="103">
        <v>6.6000000000000003E-2</v>
      </c>
      <c r="I48" s="101">
        <f t="shared" si="1"/>
        <v>0.25548838689150494</v>
      </c>
    </row>
    <row r="49" spans="1:9" x14ac:dyDescent="0.3">
      <c r="A49" s="100" t="s">
        <v>10</v>
      </c>
      <c r="B49" s="100" t="s">
        <v>11</v>
      </c>
      <c r="C49" s="100" t="s">
        <v>15</v>
      </c>
      <c r="D49" s="102">
        <v>45991</v>
      </c>
      <c r="E49" s="103">
        <v>6.6225165562913912E-2</v>
      </c>
      <c r="F49" s="100">
        <v>0</v>
      </c>
      <c r="G49" s="100" t="s">
        <v>13</v>
      </c>
      <c r="H49" s="103">
        <v>6.6000000000000003E-2</v>
      </c>
      <c r="I49" s="101">
        <f t="shared" si="1"/>
        <v>-0.14365766683647491</v>
      </c>
    </row>
    <row r="50" spans="1:9" x14ac:dyDescent="0.3">
      <c r="A50" s="100" t="s">
        <v>10</v>
      </c>
      <c r="B50" s="100" t="s">
        <v>11</v>
      </c>
      <c r="C50" s="100" t="s">
        <v>16</v>
      </c>
      <c r="D50" s="102">
        <v>45535</v>
      </c>
      <c r="E50" s="103">
        <v>0.15873015873015869</v>
      </c>
      <c r="F50" s="100">
        <v>0</v>
      </c>
      <c r="G50" s="100" t="s">
        <v>17</v>
      </c>
      <c r="H50" s="103">
        <v>0.16400000000000001</v>
      </c>
      <c r="I50" s="101" t="str">
        <f t="shared" si="1"/>
        <v/>
      </c>
    </row>
    <row r="51" spans="1:9" x14ac:dyDescent="0.3">
      <c r="A51" s="100" t="s">
        <v>10</v>
      </c>
      <c r="B51" s="100" t="s">
        <v>11</v>
      </c>
      <c r="C51" s="100" t="s">
        <v>16</v>
      </c>
      <c r="D51" s="102">
        <v>45565</v>
      </c>
      <c r="E51" s="103">
        <v>0.15625</v>
      </c>
      <c r="F51" s="100">
        <v>0</v>
      </c>
      <c r="G51" s="100" t="s">
        <v>17</v>
      </c>
      <c r="H51" s="103">
        <v>0.16400000000000001</v>
      </c>
      <c r="I51" s="101">
        <f t="shared" si="1"/>
        <v>-1.5624999999999773E-2</v>
      </c>
    </row>
    <row r="52" spans="1:9" x14ac:dyDescent="0.3">
      <c r="A52" s="100" t="s">
        <v>10</v>
      </c>
      <c r="B52" s="100" t="s">
        <v>11</v>
      </c>
      <c r="C52" s="100" t="s">
        <v>16</v>
      </c>
      <c r="D52" s="102">
        <v>45596</v>
      </c>
      <c r="E52" s="103">
        <v>0.15625</v>
      </c>
      <c r="F52" s="100">
        <v>0</v>
      </c>
      <c r="G52" s="100" t="s">
        <v>17</v>
      </c>
      <c r="H52" s="103">
        <v>0.16400000000000001</v>
      </c>
      <c r="I52" s="101">
        <f t="shared" si="1"/>
        <v>0</v>
      </c>
    </row>
    <row r="53" spans="1:9" x14ac:dyDescent="0.3">
      <c r="A53" s="100" t="s">
        <v>10</v>
      </c>
      <c r="B53" s="100" t="s">
        <v>11</v>
      </c>
      <c r="C53" s="100" t="s">
        <v>16</v>
      </c>
      <c r="D53" s="102">
        <v>45626</v>
      </c>
      <c r="E53" s="103">
        <v>0.15873015900000001</v>
      </c>
      <c r="F53" s="100">
        <v>0</v>
      </c>
      <c r="G53" s="100" t="s">
        <v>17</v>
      </c>
      <c r="H53" s="103">
        <v>0.16400000000000001</v>
      </c>
      <c r="I53" s="101">
        <f t="shared" si="1"/>
        <v>1.587301760000006E-2</v>
      </c>
    </row>
    <row r="54" spans="1:9" x14ac:dyDescent="0.3">
      <c r="A54" s="100" t="s">
        <v>10</v>
      </c>
      <c r="B54" s="100" t="s">
        <v>11</v>
      </c>
      <c r="C54" s="100" t="s">
        <v>16</v>
      </c>
      <c r="D54" s="102">
        <v>45657</v>
      </c>
      <c r="E54" s="103">
        <v>0.16393442622950821</v>
      </c>
      <c r="F54" s="100">
        <v>0</v>
      </c>
      <c r="G54" s="100" t="s">
        <v>17</v>
      </c>
      <c r="H54" s="103">
        <v>0.16400000000000001</v>
      </c>
      <c r="I54" s="101">
        <f t="shared" si="1"/>
        <v>3.2786883490163975E-2</v>
      </c>
    </row>
    <row r="55" spans="1:9" x14ac:dyDescent="0.3">
      <c r="A55" s="100" t="s">
        <v>10</v>
      </c>
      <c r="B55" s="100" t="s">
        <v>11</v>
      </c>
      <c r="C55" s="100" t="s">
        <v>16</v>
      </c>
      <c r="D55" s="102">
        <v>45688</v>
      </c>
      <c r="E55" s="103">
        <v>0.16129032258064521</v>
      </c>
      <c r="F55" s="100">
        <v>0</v>
      </c>
      <c r="G55" s="100" t="s">
        <v>17</v>
      </c>
      <c r="H55" s="103">
        <v>0.16400000000000001</v>
      </c>
      <c r="I55" s="101">
        <f t="shared" si="1"/>
        <v>-1.6129032258064297E-2</v>
      </c>
    </row>
    <row r="56" spans="1:9" x14ac:dyDescent="0.3">
      <c r="A56" s="100" t="s">
        <v>10</v>
      </c>
      <c r="B56" s="100" t="s">
        <v>11</v>
      </c>
      <c r="C56" s="100" t="s">
        <v>16</v>
      </c>
      <c r="D56" s="102">
        <v>45716</v>
      </c>
      <c r="E56" s="103">
        <v>0.16393442622950821</v>
      </c>
      <c r="F56" s="100">
        <v>0</v>
      </c>
      <c r="G56" s="100" t="s">
        <v>17</v>
      </c>
      <c r="H56" s="103">
        <v>0.16400000000000001</v>
      </c>
      <c r="I56" s="101">
        <f t="shared" si="1"/>
        <v>1.6393442622950595E-2</v>
      </c>
    </row>
    <row r="57" spans="1:9" x14ac:dyDescent="0.3">
      <c r="A57" s="100" t="s">
        <v>10</v>
      </c>
      <c r="B57" s="100" t="s">
        <v>11</v>
      </c>
      <c r="C57" s="100" t="s">
        <v>16</v>
      </c>
      <c r="D57" s="102">
        <v>45747</v>
      </c>
      <c r="E57" s="103">
        <v>0.17741935483870969</v>
      </c>
      <c r="F57" s="100">
        <v>0</v>
      </c>
      <c r="G57" s="100" t="s">
        <v>17</v>
      </c>
      <c r="H57" s="103">
        <v>0.16400000000000001</v>
      </c>
      <c r="I57" s="101">
        <f t="shared" si="1"/>
        <v>8.2258064516128979E-2</v>
      </c>
    </row>
    <row r="58" spans="1:9" x14ac:dyDescent="0.3">
      <c r="A58" s="100" t="s">
        <v>10</v>
      </c>
      <c r="B58" s="100" t="s">
        <v>11</v>
      </c>
      <c r="C58" s="100" t="s">
        <v>16</v>
      </c>
      <c r="D58" s="102">
        <v>45777</v>
      </c>
      <c r="E58" s="103">
        <v>0.17741935483870969</v>
      </c>
      <c r="F58" s="100">
        <v>0</v>
      </c>
      <c r="G58" s="100" t="s">
        <v>17</v>
      </c>
      <c r="H58" s="103">
        <v>0.16400000000000001</v>
      </c>
      <c r="I58" s="101">
        <f t="shared" si="1"/>
        <v>0</v>
      </c>
    </row>
    <row r="59" spans="1:9" x14ac:dyDescent="0.3">
      <c r="A59" s="100" t="s">
        <v>10</v>
      </c>
      <c r="B59" s="100" t="s">
        <v>11</v>
      </c>
      <c r="C59" s="100" t="s">
        <v>16</v>
      </c>
      <c r="D59" s="102">
        <v>45808</v>
      </c>
      <c r="E59" s="103">
        <v>0.2</v>
      </c>
      <c r="F59" s="100">
        <v>0</v>
      </c>
      <c r="G59" s="100" t="s">
        <v>17</v>
      </c>
      <c r="H59" s="103">
        <v>0.16400000000000001</v>
      </c>
      <c r="I59" s="101">
        <f t="shared" si="1"/>
        <v>0.12727272727272729</v>
      </c>
    </row>
    <row r="60" spans="1:9" x14ac:dyDescent="0.3">
      <c r="A60" s="100" t="s">
        <v>10</v>
      </c>
      <c r="B60" s="100" t="s">
        <v>11</v>
      </c>
      <c r="C60" s="100" t="s">
        <v>16</v>
      </c>
      <c r="D60" s="102">
        <v>45838</v>
      </c>
      <c r="E60" s="103">
        <v>0.2</v>
      </c>
      <c r="F60" s="100">
        <v>0</v>
      </c>
      <c r="G60" s="100" t="s">
        <v>17</v>
      </c>
      <c r="H60" s="103">
        <v>0.16400000000000001</v>
      </c>
      <c r="I60" s="101">
        <f t="shared" si="1"/>
        <v>0</v>
      </c>
    </row>
    <row r="61" spans="1:9" x14ac:dyDescent="0.3">
      <c r="A61" s="100" t="s">
        <v>10</v>
      </c>
      <c r="B61" s="100" t="s">
        <v>11</v>
      </c>
      <c r="C61" s="100" t="s">
        <v>16</v>
      </c>
      <c r="D61" s="102">
        <v>45869</v>
      </c>
      <c r="E61" s="103">
        <v>0.1967213114754098</v>
      </c>
      <c r="F61" s="100">
        <v>0</v>
      </c>
      <c r="G61" s="100" t="s">
        <v>17</v>
      </c>
      <c r="H61" s="103">
        <v>0.16400000000000001</v>
      </c>
      <c r="I61" s="101">
        <f t="shared" si="1"/>
        <v>-1.6393442622951032E-2</v>
      </c>
    </row>
    <row r="62" spans="1:9" x14ac:dyDescent="0.3">
      <c r="A62" s="100" t="s">
        <v>10</v>
      </c>
      <c r="B62" s="100" t="s">
        <v>11</v>
      </c>
      <c r="C62" s="100" t="s">
        <v>16</v>
      </c>
      <c r="D62" s="102">
        <v>45900</v>
      </c>
      <c r="E62" s="103">
        <v>0.203125</v>
      </c>
      <c r="F62" s="100">
        <v>0</v>
      </c>
      <c r="G62" s="100" t="s">
        <v>17</v>
      </c>
      <c r="H62" s="103">
        <v>0.16400000000000001</v>
      </c>
      <c r="I62" s="101">
        <f t="shared" si="1"/>
        <v>3.2552083333333495E-2</v>
      </c>
    </row>
    <row r="63" spans="1:9" x14ac:dyDescent="0.3">
      <c r="A63" s="100" t="s">
        <v>10</v>
      </c>
      <c r="B63" s="100" t="s">
        <v>11</v>
      </c>
      <c r="C63" s="100" t="s">
        <v>16</v>
      </c>
      <c r="D63" s="102">
        <v>45930</v>
      </c>
      <c r="E63" s="103">
        <v>0.20634920634920631</v>
      </c>
      <c r="F63" s="100">
        <v>0</v>
      </c>
      <c r="G63" s="100" t="s">
        <v>17</v>
      </c>
      <c r="H63" s="103">
        <v>0.16400000000000001</v>
      </c>
      <c r="I63" s="101">
        <f t="shared" si="1"/>
        <v>1.5873015873015681E-2</v>
      </c>
    </row>
    <row r="64" spans="1:9" x14ac:dyDescent="0.3">
      <c r="A64" s="100" t="s">
        <v>10</v>
      </c>
      <c r="B64" s="100" t="s">
        <v>11</v>
      </c>
      <c r="C64" s="100" t="s">
        <v>16</v>
      </c>
      <c r="D64" s="102">
        <v>45961</v>
      </c>
      <c r="E64" s="103">
        <v>0.20967741935483869</v>
      </c>
      <c r="F64" s="100">
        <v>0</v>
      </c>
      <c r="G64" s="100" t="s">
        <v>17</v>
      </c>
      <c r="H64" s="103">
        <v>0.16400000000000001</v>
      </c>
      <c r="I64" s="101">
        <f t="shared" si="1"/>
        <v>1.6129032258064613E-2</v>
      </c>
    </row>
    <row r="65" spans="1:9" x14ac:dyDescent="0.3">
      <c r="A65" s="100" t="s">
        <v>10</v>
      </c>
      <c r="B65" s="100" t="s">
        <v>11</v>
      </c>
      <c r="C65" s="100" t="s">
        <v>16</v>
      </c>
      <c r="D65" s="102">
        <v>45991</v>
      </c>
      <c r="E65" s="103">
        <v>0.21875</v>
      </c>
      <c r="F65" s="100">
        <v>0</v>
      </c>
      <c r="G65" s="100" t="s">
        <v>17</v>
      </c>
      <c r="H65" s="103">
        <v>0.16400000000000001</v>
      </c>
      <c r="I65" s="101">
        <f t="shared" si="1"/>
        <v>4.3269230769230865E-2</v>
      </c>
    </row>
    <row r="66" spans="1:9" x14ac:dyDescent="0.3">
      <c r="A66" s="100" t="s">
        <v>10</v>
      </c>
      <c r="B66" s="100" t="s">
        <v>11</v>
      </c>
      <c r="C66" s="100" t="s">
        <v>18</v>
      </c>
      <c r="D66" s="102">
        <v>45535</v>
      </c>
      <c r="E66" s="103">
        <v>0.13279941754641431</v>
      </c>
      <c r="F66" s="100">
        <v>0</v>
      </c>
      <c r="G66" s="100" t="s">
        <v>13</v>
      </c>
      <c r="H66" s="103">
        <v>0.104</v>
      </c>
      <c r="I66" s="101" t="str">
        <f t="shared" si="1"/>
        <v/>
      </c>
    </row>
    <row r="67" spans="1:9" x14ac:dyDescent="0.3">
      <c r="A67" s="100" t="s">
        <v>10</v>
      </c>
      <c r="B67" s="100" t="s">
        <v>11</v>
      </c>
      <c r="C67" s="100" t="s">
        <v>18</v>
      </c>
      <c r="D67" s="102">
        <v>45565</v>
      </c>
      <c r="E67" s="103">
        <v>0.13370957238984149</v>
      </c>
      <c r="F67" s="100">
        <v>1</v>
      </c>
      <c r="G67" s="100" t="s">
        <v>13</v>
      </c>
      <c r="H67" s="103">
        <v>0.104</v>
      </c>
      <c r="I67" s="101">
        <f t="shared" ref="I67:I130" si="2">IF(OR(B67&lt;&gt;B66,C67&lt;&gt;C66),"",IF(E66=0,"",IF(G67="UP",(E67-E66)/E66,-((E67-E66)/E66))))</f>
        <v>-6.8536056877589856E-3</v>
      </c>
    </row>
    <row r="68" spans="1:9" x14ac:dyDescent="0.3">
      <c r="A68" s="100" t="s">
        <v>10</v>
      </c>
      <c r="B68" s="100" t="s">
        <v>11</v>
      </c>
      <c r="C68" s="100" t="s">
        <v>18</v>
      </c>
      <c r="D68" s="102">
        <v>45596</v>
      </c>
      <c r="E68" s="103">
        <v>0.13289227671508699</v>
      </c>
      <c r="F68" s="100">
        <v>1</v>
      </c>
      <c r="G68" s="100" t="s">
        <v>13</v>
      </c>
      <c r="H68" s="103">
        <v>0.104</v>
      </c>
      <c r="I68" s="101">
        <f t="shared" si="2"/>
        <v>6.1124694376525545E-3</v>
      </c>
    </row>
    <row r="69" spans="1:9" x14ac:dyDescent="0.3">
      <c r="A69" s="100" t="s">
        <v>10</v>
      </c>
      <c r="B69" s="100" t="s">
        <v>11</v>
      </c>
      <c r="C69" s="100" t="s">
        <v>18</v>
      </c>
      <c r="D69" s="102">
        <v>45626</v>
      </c>
      <c r="E69" s="103">
        <v>0.132066033</v>
      </c>
      <c r="F69" s="100">
        <v>0</v>
      </c>
      <c r="G69" s="100" t="s">
        <v>13</v>
      </c>
      <c r="H69" s="103">
        <v>0.104</v>
      </c>
      <c r="I69" s="101">
        <f t="shared" si="2"/>
        <v>6.2173945357141443E-3</v>
      </c>
    </row>
    <row r="70" spans="1:9" x14ac:dyDescent="0.3">
      <c r="A70" s="100" t="s">
        <v>10</v>
      </c>
      <c r="B70" s="100" t="s">
        <v>11</v>
      </c>
      <c r="C70" s="100" t="s">
        <v>18</v>
      </c>
      <c r="D70" s="102">
        <v>45657</v>
      </c>
      <c r="E70" s="103">
        <v>0.13562695479101511</v>
      </c>
      <c r="F70" s="100">
        <v>1</v>
      </c>
      <c r="G70" s="100" t="s">
        <v>13</v>
      </c>
      <c r="H70" s="103">
        <v>0.104</v>
      </c>
      <c r="I70" s="101">
        <f t="shared" si="2"/>
        <v>-2.6963191898215867E-2</v>
      </c>
    </row>
    <row r="71" spans="1:9" x14ac:dyDescent="0.3">
      <c r="A71" s="100" t="s">
        <v>10</v>
      </c>
      <c r="B71" s="100" t="s">
        <v>11</v>
      </c>
      <c r="C71" s="100" t="s">
        <v>18</v>
      </c>
      <c r="D71" s="102">
        <v>45688</v>
      </c>
      <c r="E71" s="103">
        <v>0.13070231275196259</v>
      </c>
      <c r="F71" s="100">
        <v>0</v>
      </c>
      <c r="G71" s="100" t="s">
        <v>13</v>
      </c>
      <c r="H71" s="103">
        <v>0.104</v>
      </c>
      <c r="I71" s="101">
        <f t="shared" si="2"/>
        <v>3.6310201365508804E-2</v>
      </c>
    </row>
    <row r="72" spans="1:9" x14ac:dyDescent="0.3">
      <c r="A72" s="100" t="s">
        <v>10</v>
      </c>
      <c r="B72" s="100" t="s">
        <v>11</v>
      </c>
      <c r="C72" s="100" t="s">
        <v>18</v>
      </c>
      <c r="D72" s="102">
        <v>45716</v>
      </c>
      <c r="E72" s="103">
        <v>0.1310135944213566</v>
      </c>
      <c r="F72" s="100">
        <v>1</v>
      </c>
      <c r="G72" s="100" t="s">
        <v>13</v>
      </c>
      <c r="H72" s="103">
        <v>0.104</v>
      </c>
      <c r="I72" s="101">
        <f t="shared" si="2"/>
        <v>-2.3816079672953983E-3</v>
      </c>
    </row>
    <row r="73" spans="1:9" x14ac:dyDescent="0.3">
      <c r="A73" s="100" t="s">
        <v>10</v>
      </c>
      <c r="B73" s="100" t="s">
        <v>11</v>
      </c>
      <c r="C73" s="100" t="s">
        <v>18</v>
      </c>
      <c r="D73" s="102">
        <v>45747</v>
      </c>
      <c r="E73" s="103">
        <v>0.1272293217244769</v>
      </c>
      <c r="F73" s="100">
        <v>0</v>
      </c>
      <c r="G73" s="100" t="s">
        <v>13</v>
      </c>
      <c r="H73" s="103">
        <v>0.104</v>
      </c>
      <c r="I73" s="101">
        <f t="shared" si="2"/>
        <v>2.8884580364301658E-2</v>
      </c>
    </row>
    <row r="74" spans="1:9" x14ac:dyDescent="0.3">
      <c r="A74" s="100" t="s">
        <v>10</v>
      </c>
      <c r="B74" s="100" t="s">
        <v>11</v>
      </c>
      <c r="C74" s="100" t="s">
        <v>18</v>
      </c>
      <c r="D74" s="102">
        <v>45777</v>
      </c>
      <c r="E74" s="103">
        <v>0.1220196353436185</v>
      </c>
      <c r="F74" s="100">
        <v>0</v>
      </c>
      <c r="G74" s="100" t="s">
        <v>13</v>
      </c>
      <c r="H74" s="103">
        <v>0.104</v>
      </c>
      <c r="I74" s="101">
        <f t="shared" si="2"/>
        <v>4.0947214920632122E-2</v>
      </c>
    </row>
    <row r="75" spans="1:9" x14ac:dyDescent="0.3">
      <c r="A75" s="100" t="s">
        <v>10</v>
      </c>
      <c r="B75" s="100" t="s">
        <v>11</v>
      </c>
      <c r="C75" s="100" t="s">
        <v>18</v>
      </c>
      <c r="D75" s="102">
        <v>45808</v>
      </c>
      <c r="E75" s="103">
        <v>0.1192609182530795</v>
      </c>
      <c r="F75" s="100">
        <v>0</v>
      </c>
      <c r="G75" s="100" t="s">
        <v>13</v>
      </c>
      <c r="H75" s="103">
        <v>0.104</v>
      </c>
      <c r="I75" s="101">
        <f t="shared" si="2"/>
        <v>2.2608796385681699E-2</v>
      </c>
    </row>
    <row r="76" spans="1:9" x14ac:dyDescent="0.3">
      <c r="A76" s="100" t="s">
        <v>10</v>
      </c>
      <c r="B76" s="100" t="s">
        <v>11</v>
      </c>
      <c r="C76" s="100" t="s">
        <v>18</v>
      </c>
      <c r="D76" s="102">
        <v>45838</v>
      </c>
      <c r="E76" s="103">
        <v>0.1189196733896294</v>
      </c>
      <c r="F76" s="100">
        <v>0</v>
      </c>
      <c r="G76" s="100" t="s">
        <v>13</v>
      </c>
      <c r="H76" s="103">
        <v>0.104</v>
      </c>
      <c r="I76" s="101">
        <f t="shared" si="2"/>
        <v>2.8613301695862314E-3</v>
      </c>
    </row>
    <row r="77" spans="1:9" x14ac:dyDescent="0.3">
      <c r="A77" s="100" t="s">
        <v>10</v>
      </c>
      <c r="B77" s="100" t="s">
        <v>11</v>
      </c>
      <c r="C77" s="100" t="s">
        <v>18</v>
      </c>
      <c r="D77" s="102">
        <v>45869</v>
      </c>
      <c r="E77" s="103">
        <v>0.1151519365829914</v>
      </c>
      <c r="F77" s="100">
        <v>0</v>
      </c>
      <c r="G77" s="100" t="s">
        <v>13</v>
      </c>
      <c r="H77" s="103">
        <v>0.104</v>
      </c>
      <c r="I77" s="101">
        <f t="shared" si="2"/>
        <v>3.1683040318260511E-2</v>
      </c>
    </row>
    <row r="78" spans="1:9" x14ac:dyDescent="0.3">
      <c r="A78" s="100" t="s">
        <v>10</v>
      </c>
      <c r="B78" s="100" t="s">
        <v>11</v>
      </c>
      <c r="C78" s="100" t="s">
        <v>18</v>
      </c>
      <c r="D78" s="102">
        <v>45900</v>
      </c>
      <c r="E78" s="103">
        <v>0.11812824956672439</v>
      </c>
      <c r="F78" s="100">
        <v>0</v>
      </c>
      <c r="G78" s="100" t="s">
        <v>13</v>
      </c>
      <c r="H78" s="103">
        <v>0.104</v>
      </c>
      <c r="I78" s="101">
        <f t="shared" si="2"/>
        <v>-2.5846833948710256E-2</v>
      </c>
    </row>
    <row r="79" spans="1:9" x14ac:dyDescent="0.3">
      <c r="A79" s="100" t="s">
        <v>10</v>
      </c>
      <c r="B79" s="100" t="s">
        <v>11</v>
      </c>
      <c r="C79" s="100" t="s">
        <v>18</v>
      </c>
      <c r="D79" s="102">
        <v>45930</v>
      </c>
      <c r="E79" s="103">
        <v>0.1153447202821382</v>
      </c>
      <c r="F79" s="100">
        <v>0</v>
      </c>
      <c r="G79" s="100" t="s">
        <v>13</v>
      </c>
      <c r="H79" s="103">
        <v>0.104</v>
      </c>
      <c r="I79" s="101">
        <f t="shared" si="2"/>
        <v>2.3563620851030441E-2</v>
      </c>
    </row>
    <row r="80" spans="1:9" x14ac:dyDescent="0.3">
      <c r="A80" s="100" t="s">
        <v>10</v>
      </c>
      <c r="B80" s="100" t="s">
        <v>11</v>
      </c>
      <c r="C80" s="100" t="s">
        <v>18</v>
      </c>
      <c r="D80" s="102">
        <v>45961</v>
      </c>
      <c r="E80" s="103">
        <v>0.1099476439790576</v>
      </c>
      <c r="F80" s="100">
        <v>0</v>
      </c>
      <c r="G80" s="100" t="s">
        <v>13</v>
      </c>
      <c r="H80" s="103">
        <v>0.104</v>
      </c>
      <c r="I80" s="101">
        <f t="shared" si="2"/>
        <v>4.679083957964543E-2</v>
      </c>
    </row>
    <row r="81" spans="1:9" x14ac:dyDescent="0.3">
      <c r="A81" s="100" t="s">
        <v>10</v>
      </c>
      <c r="B81" s="100" t="s">
        <v>11</v>
      </c>
      <c r="C81" s="100" t="s">
        <v>18</v>
      </c>
      <c r="D81" s="102">
        <v>45991</v>
      </c>
      <c r="E81" s="103">
        <v>0.1096605744125326</v>
      </c>
      <c r="F81" s="100">
        <v>0</v>
      </c>
      <c r="G81" s="100" t="s">
        <v>13</v>
      </c>
      <c r="H81" s="103">
        <v>0.104</v>
      </c>
      <c r="I81" s="101">
        <f t="shared" si="2"/>
        <v>2.6109660574416163E-3</v>
      </c>
    </row>
    <row r="82" spans="1:9" x14ac:dyDescent="0.3">
      <c r="A82" s="100" t="s">
        <v>10</v>
      </c>
      <c r="B82" s="100" t="s">
        <v>11</v>
      </c>
      <c r="C82" s="100" t="s">
        <v>19</v>
      </c>
      <c r="D82" s="102">
        <v>45535</v>
      </c>
      <c r="E82" s="103">
        <v>0.1384928716904277</v>
      </c>
      <c r="F82" s="100">
        <v>0</v>
      </c>
      <c r="G82" s="100" t="s">
        <v>13</v>
      </c>
      <c r="H82" s="103">
        <v>0.1</v>
      </c>
      <c r="I82" s="101" t="str">
        <f t="shared" si="2"/>
        <v/>
      </c>
    </row>
    <row r="83" spans="1:9" x14ac:dyDescent="0.3">
      <c r="A83" s="100" t="s">
        <v>10</v>
      </c>
      <c r="B83" s="100" t="s">
        <v>11</v>
      </c>
      <c r="C83" s="100" t="s">
        <v>19</v>
      </c>
      <c r="D83" s="102">
        <v>45565</v>
      </c>
      <c r="E83" s="103">
        <v>0.15240641711229949</v>
      </c>
      <c r="F83" s="100">
        <v>1</v>
      </c>
      <c r="G83" s="100" t="s">
        <v>13</v>
      </c>
      <c r="H83" s="103">
        <v>0.1</v>
      </c>
      <c r="I83" s="101">
        <f t="shared" si="2"/>
        <v>-0.10046398238439776</v>
      </c>
    </row>
    <row r="84" spans="1:9" x14ac:dyDescent="0.3">
      <c r="A84" s="100" t="s">
        <v>10</v>
      </c>
      <c r="B84" s="100" t="s">
        <v>11</v>
      </c>
      <c r="C84" s="100" t="s">
        <v>19</v>
      </c>
      <c r="D84" s="102">
        <v>45596</v>
      </c>
      <c r="E84" s="103">
        <v>0.15737704918032791</v>
      </c>
      <c r="F84" s="100">
        <v>1</v>
      </c>
      <c r="G84" s="100" t="s">
        <v>13</v>
      </c>
      <c r="H84" s="103">
        <v>0.1</v>
      </c>
      <c r="I84" s="101">
        <f t="shared" si="2"/>
        <v>-3.2614322691975936E-2</v>
      </c>
    </row>
    <row r="85" spans="1:9" x14ac:dyDescent="0.3">
      <c r="A85" s="100" t="s">
        <v>10</v>
      </c>
      <c r="B85" s="100" t="s">
        <v>11</v>
      </c>
      <c r="C85" s="100" t="s">
        <v>19</v>
      </c>
      <c r="D85" s="102">
        <v>45626</v>
      </c>
      <c r="E85" s="103">
        <v>0.154440154</v>
      </c>
      <c r="F85" s="100">
        <v>0</v>
      </c>
      <c r="G85" s="100" t="s">
        <v>13</v>
      </c>
      <c r="H85" s="103">
        <v>0.1</v>
      </c>
      <c r="I85" s="101">
        <f t="shared" si="2"/>
        <v>1.8661521458333618E-2</v>
      </c>
    </row>
    <row r="86" spans="1:9" x14ac:dyDescent="0.3">
      <c r="A86" s="100" t="s">
        <v>10</v>
      </c>
      <c r="B86" s="100" t="s">
        <v>11</v>
      </c>
      <c r="C86" s="100" t="s">
        <v>19</v>
      </c>
      <c r="D86" s="102">
        <v>45657</v>
      </c>
      <c r="E86" s="103">
        <v>0.12870662460567819</v>
      </c>
      <c r="F86" s="100">
        <v>0</v>
      </c>
      <c r="G86" s="100" t="s">
        <v>13</v>
      </c>
      <c r="H86" s="103">
        <v>0.1</v>
      </c>
      <c r="I86" s="101">
        <f t="shared" si="2"/>
        <v>0.16662460330311379</v>
      </c>
    </row>
    <row r="87" spans="1:9" x14ac:dyDescent="0.3">
      <c r="A87" s="100" t="s">
        <v>10</v>
      </c>
      <c r="B87" s="100" t="s">
        <v>11</v>
      </c>
      <c r="C87" s="100" t="s">
        <v>19</v>
      </c>
      <c r="D87" s="102">
        <v>45688</v>
      </c>
      <c r="E87" s="103">
        <v>0.1190328580285183</v>
      </c>
      <c r="F87" s="100">
        <v>0</v>
      </c>
      <c r="G87" s="100" t="s">
        <v>13</v>
      </c>
      <c r="H87" s="103">
        <v>0.1</v>
      </c>
      <c r="I87" s="101">
        <f t="shared" si="2"/>
        <v>7.516137267058054E-2</v>
      </c>
    </row>
    <row r="88" spans="1:9" x14ac:dyDescent="0.3">
      <c r="A88" s="100" t="s">
        <v>10</v>
      </c>
      <c r="B88" s="100" t="s">
        <v>11</v>
      </c>
      <c r="C88" s="100" t="s">
        <v>19</v>
      </c>
      <c r="D88" s="102">
        <v>45716</v>
      </c>
      <c r="E88" s="103">
        <v>0.1099572388515577</v>
      </c>
      <c r="F88" s="100">
        <v>0</v>
      </c>
      <c r="G88" s="100" t="s">
        <v>13</v>
      </c>
      <c r="H88" s="103">
        <v>0.1</v>
      </c>
      <c r="I88" s="101">
        <f t="shared" si="2"/>
        <v>7.6244654856445077E-2</v>
      </c>
    </row>
    <row r="89" spans="1:9" x14ac:dyDescent="0.3">
      <c r="A89" s="100" t="s">
        <v>10</v>
      </c>
      <c r="B89" s="100" t="s">
        <v>11</v>
      </c>
      <c r="C89" s="100" t="s">
        <v>19</v>
      </c>
      <c r="D89" s="102">
        <v>45747</v>
      </c>
      <c r="E89" s="103">
        <v>0.10163339382940111</v>
      </c>
      <c r="F89" s="100">
        <v>0</v>
      </c>
      <c r="G89" s="100" t="s">
        <v>13</v>
      </c>
      <c r="H89" s="103">
        <v>0.1</v>
      </c>
      <c r="I89" s="101">
        <f t="shared" si="2"/>
        <v>7.5700746118168585E-2</v>
      </c>
    </row>
    <row r="90" spans="1:9" x14ac:dyDescent="0.3">
      <c r="A90" s="100" t="s">
        <v>10</v>
      </c>
      <c r="B90" s="100" t="s">
        <v>11</v>
      </c>
      <c r="C90" s="100" t="s">
        <v>19</v>
      </c>
      <c r="D90" s="102">
        <v>45777</v>
      </c>
      <c r="E90" s="103">
        <v>0.1083684527393137</v>
      </c>
      <c r="F90" s="100">
        <v>0</v>
      </c>
      <c r="G90" s="100" t="s">
        <v>13</v>
      </c>
      <c r="H90" s="103">
        <v>0.1</v>
      </c>
      <c r="I90" s="101">
        <f t="shared" si="2"/>
        <v>-6.6268168917175671E-2</v>
      </c>
    </row>
    <row r="91" spans="1:9" x14ac:dyDescent="0.3">
      <c r="A91" s="100" t="s">
        <v>10</v>
      </c>
      <c r="B91" s="100" t="s">
        <v>11</v>
      </c>
      <c r="C91" s="100" t="s">
        <v>19</v>
      </c>
      <c r="D91" s="102">
        <v>45808</v>
      </c>
      <c r="E91" s="103">
        <v>0.1003584229390681</v>
      </c>
      <c r="F91" s="100">
        <v>0</v>
      </c>
      <c r="G91" s="100" t="s">
        <v>13</v>
      </c>
      <c r="H91" s="103">
        <v>0.1</v>
      </c>
      <c r="I91" s="101">
        <f t="shared" si="2"/>
        <v>7.3914774990044035E-2</v>
      </c>
    </row>
    <row r="92" spans="1:9" x14ac:dyDescent="0.3">
      <c r="A92" s="100" t="s">
        <v>10</v>
      </c>
      <c r="B92" s="100" t="s">
        <v>11</v>
      </c>
      <c r="C92" s="100" t="s">
        <v>19</v>
      </c>
      <c r="D92" s="102">
        <v>45838</v>
      </c>
      <c r="E92" s="103">
        <v>0.1124586549062845</v>
      </c>
      <c r="F92" s="100">
        <v>0</v>
      </c>
      <c r="G92" s="100" t="s">
        <v>13</v>
      </c>
      <c r="H92" s="103">
        <v>0.1</v>
      </c>
      <c r="I92" s="101">
        <f t="shared" si="2"/>
        <v>-0.12057016853047763</v>
      </c>
    </row>
    <row r="93" spans="1:9" x14ac:dyDescent="0.3">
      <c r="A93" s="100" t="s">
        <v>10</v>
      </c>
      <c r="B93" s="100" t="s">
        <v>11</v>
      </c>
      <c r="C93" s="100" t="s">
        <v>19</v>
      </c>
      <c r="D93" s="102">
        <v>45869</v>
      </c>
      <c r="E93" s="103">
        <v>0.1097932904100305</v>
      </c>
      <c r="F93" s="100">
        <v>0</v>
      </c>
      <c r="G93" s="100" t="s">
        <v>13</v>
      </c>
      <c r="H93" s="103">
        <v>0.1</v>
      </c>
      <c r="I93" s="101">
        <f t="shared" si="2"/>
        <v>2.3700839197082126E-2</v>
      </c>
    </row>
    <row r="94" spans="1:9" x14ac:dyDescent="0.3">
      <c r="A94" s="100" t="s">
        <v>10</v>
      </c>
      <c r="B94" s="100" t="s">
        <v>11</v>
      </c>
      <c r="C94" s="100" t="s">
        <v>19</v>
      </c>
      <c r="D94" s="102">
        <v>45900</v>
      </c>
      <c r="E94" s="103">
        <v>0.1174089068825911</v>
      </c>
      <c r="F94" s="100">
        <v>0</v>
      </c>
      <c r="G94" s="100" t="s">
        <v>13</v>
      </c>
      <c r="H94" s="103">
        <v>0.1</v>
      </c>
      <c r="I94" s="101">
        <f t="shared" si="2"/>
        <v>-6.9363222871994909E-2</v>
      </c>
    </row>
    <row r="95" spans="1:9" x14ac:dyDescent="0.3">
      <c r="A95" s="100" t="s">
        <v>10</v>
      </c>
      <c r="B95" s="100" t="s">
        <v>11</v>
      </c>
      <c r="C95" s="100" t="s">
        <v>19</v>
      </c>
      <c r="D95" s="102">
        <v>45930</v>
      </c>
      <c r="E95" s="103">
        <v>0.1086883596108688</v>
      </c>
      <c r="F95" s="100">
        <v>0</v>
      </c>
      <c r="G95" s="100" t="s">
        <v>13</v>
      </c>
      <c r="H95" s="103">
        <v>0.1</v>
      </c>
      <c r="I95" s="101">
        <f t="shared" si="2"/>
        <v>7.4275006072945154E-2</v>
      </c>
    </row>
    <row r="96" spans="1:9" x14ac:dyDescent="0.3">
      <c r="A96" s="100" t="s">
        <v>10</v>
      </c>
      <c r="B96" s="100" t="s">
        <v>11</v>
      </c>
      <c r="C96" s="100" t="s">
        <v>19</v>
      </c>
      <c r="D96" s="102">
        <v>45961</v>
      </c>
      <c r="E96" s="103">
        <v>9.5744680851063829E-2</v>
      </c>
      <c r="F96" s="100">
        <v>0</v>
      </c>
      <c r="G96" s="100" t="s">
        <v>13</v>
      </c>
      <c r="H96" s="103">
        <v>0.1</v>
      </c>
      <c r="I96" s="101">
        <f t="shared" si="2"/>
        <v>0.11908983451536613</v>
      </c>
    </row>
    <row r="97" spans="1:9" x14ac:dyDescent="0.3">
      <c r="A97" s="100" t="s">
        <v>10</v>
      </c>
      <c r="B97" s="100" t="s">
        <v>11</v>
      </c>
      <c r="C97" s="100" t="s">
        <v>19</v>
      </c>
      <c r="D97" s="102">
        <v>45991</v>
      </c>
      <c r="E97" s="103">
        <v>9.3859211183225169E-2</v>
      </c>
      <c r="F97" s="100">
        <v>0</v>
      </c>
      <c r="G97" s="100" t="s">
        <v>13</v>
      </c>
      <c r="H97" s="103">
        <v>0.1</v>
      </c>
      <c r="I97" s="101">
        <f t="shared" si="2"/>
        <v>1.9692683197426005E-2</v>
      </c>
    </row>
    <row r="98" spans="1:9" x14ac:dyDescent="0.3">
      <c r="A98" s="100" t="s">
        <v>20</v>
      </c>
      <c r="B98" s="100" t="s">
        <v>11</v>
      </c>
      <c r="C98" s="100" t="s">
        <v>21</v>
      </c>
      <c r="D98" s="102">
        <v>45535</v>
      </c>
      <c r="E98" s="103">
        <v>0.45800000000000002</v>
      </c>
      <c r="F98" s="100">
        <v>0</v>
      </c>
      <c r="G98" s="100" t="s">
        <v>13</v>
      </c>
      <c r="H98" s="103">
        <v>0.59</v>
      </c>
      <c r="I98" s="101" t="str">
        <f t="shared" si="2"/>
        <v/>
      </c>
    </row>
    <row r="99" spans="1:9" x14ac:dyDescent="0.3">
      <c r="A99" s="100" t="s">
        <v>20</v>
      </c>
      <c r="B99" s="100" t="s">
        <v>11</v>
      </c>
      <c r="C99" s="100" t="s">
        <v>21</v>
      </c>
      <c r="D99" s="102">
        <v>45565</v>
      </c>
      <c r="E99" s="103">
        <v>0.57299999999999995</v>
      </c>
      <c r="F99" s="100">
        <v>0</v>
      </c>
      <c r="G99" s="100" t="s">
        <v>13</v>
      </c>
      <c r="H99" s="103">
        <v>0.59</v>
      </c>
      <c r="I99" s="101">
        <f t="shared" si="2"/>
        <v>-0.25109170305676842</v>
      </c>
    </row>
    <row r="100" spans="1:9" x14ac:dyDescent="0.3">
      <c r="A100" s="100" t="s">
        <v>20</v>
      </c>
      <c r="B100" s="100" t="s">
        <v>11</v>
      </c>
      <c r="C100" s="100" t="s">
        <v>21</v>
      </c>
      <c r="D100" s="102">
        <v>45596</v>
      </c>
      <c r="E100" s="103">
        <v>0.63</v>
      </c>
      <c r="F100" s="100">
        <v>0</v>
      </c>
      <c r="G100" s="100" t="s">
        <v>13</v>
      </c>
      <c r="H100" s="103">
        <v>0.59</v>
      </c>
      <c r="I100" s="101">
        <f t="shared" si="2"/>
        <v>-9.9476439790576007E-2</v>
      </c>
    </row>
    <row r="101" spans="1:9" x14ac:dyDescent="0.3">
      <c r="A101" s="100" t="s">
        <v>20</v>
      </c>
      <c r="B101" s="100" t="s">
        <v>11</v>
      </c>
      <c r="C101" s="100" t="s">
        <v>21</v>
      </c>
      <c r="D101" s="102">
        <v>45626</v>
      </c>
      <c r="E101" s="103">
        <v>0.61</v>
      </c>
      <c r="F101" s="100">
        <v>0</v>
      </c>
      <c r="G101" s="100" t="s">
        <v>13</v>
      </c>
      <c r="H101" s="103">
        <v>0.59</v>
      </c>
      <c r="I101" s="101">
        <f t="shared" si="2"/>
        <v>3.1746031746031772E-2</v>
      </c>
    </row>
    <row r="102" spans="1:9" x14ac:dyDescent="0.3">
      <c r="A102" s="100" t="s">
        <v>20</v>
      </c>
      <c r="B102" s="100" t="s">
        <v>11</v>
      </c>
      <c r="C102" s="100" t="s">
        <v>21</v>
      </c>
      <c r="D102" s="102">
        <v>45657</v>
      </c>
      <c r="E102" s="103">
        <v>0.59</v>
      </c>
      <c r="F102" s="100">
        <v>0</v>
      </c>
      <c r="G102" s="100" t="s">
        <v>13</v>
      </c>
      <c r="H102" s="103">
        <v>0.59</v>
      </c>
      <c r="I102" s="101">
        <f t="shared" si="2"/>
        <v>3.2786885245901669E-2</v>
      </c>
    </row>
    <row r="103" spans="1:9" x14ac:dyDescent="0.3">
      <c r="A103" s="100" t="s">
        <v>20</v>
      </c>
      <c r="B103" s="100" t="s">
        <v>11</v>
      </c>
      <c r="C103" s="100" t="s">
        <v>21</v>
      </c>
      <c r="D103" s="102">
        <v>45688</v>
      </c>
      <c r="E103" s="103">
        <v>0.62</v>
      </c>
      <c r="F103" s="100">
        <v>0</v>
      </c>
      <c r="G103" s="100" t="s">
        <v>13</v>
      </c>
      <c r="H103" s="103">
        <v>0.59</v>
      </c>
      <c r="I103" s="101">
        <f t="shared" si="2"/>
        <v>-5.0847457627118689E-2</v>
      </c>
    </row>
    <row r="104" spans="1:9" x14ac:dyDescent="0.3">
      <c r="A104" s="100" t="s">
        <v>20</v>
      </c>
      <c r="B104" s="100" t="s">
        <v>11</v>
      </c>
      <c r="C104" s="100" t="s">
        <v>21</v>
      </c>
      <c r="D104" s="102">
        <v>45716</v>
      </c>
      <c r="E104" s="103">
        <v>0.61</v>
      </c>
      <c r="F104" s="100">
        <v>0</v>
      </c>
      <c r="G104" s="100" t="s">
        <v>13</v>
      </c>
      <c r="H104" s="103">
        <v>0.59</v>
      </c>
      <c r="I104" s="101">
        <f t="shared" si="2"/>
        <v>1.612903225806453E-2</v>
      </c>
    </row>
    <row r="105" spans="1:9" x14ac:dyDescent="0.3">
      <c r="A105" s="100" t="s">
        <v>20</v>
      </c>
      <c r="B105" s="100" t="s">
        <v>11</v>
      </c>
      <c r="C105" s="100" t="s">
        <v>21</v>
      </c>
      <c r="D105" s="102">
        <v>45747</v>
      </c>
      <c r="E105" s="103">
        <v>0.5</v>
      </c>
      <c r="F105" s="100">
        <v>0</v>
      </c>
      <c r="G105" s="100" t="s">
        <v>13</v>
      </c>
      <c r="H105" s="103">
        <v>0.59</v>
      </c>
      <c r="I105" s="101">
        <f t="shared" si="2"/>
        <v>0.18032786885245899</v>
      </c>
    </row>
    <row r="106" spans="1:9" x14ac:dyDescent="0.3">
      <c r="A106" s="100" t="s">
        <v>20</v>
      </c>
      <c r="B106" s="100" t="s">
        <v>11</v>
      </c>
      <c r="C106" s="100" t="s">
        <v>21</v>
      </c>
      <c r="D106" s="102">
        <v>45777</v>
      </c>
      <c r="E106" s="103">
        <v>0.56000000000000005</v>
      </c>
      <c r="F106" s="100">
        <v>0</v>
      </c>
      <c r="G106" s="100" t="s">
        <v>13</v>
      </c>
      <c r="H106" s="103">
        <v>0.59</v>
      </c>
      <c r="I106" s="101">
        <f t="shared" si="2"/>
        <v>-0.12000000000000011</v>
      </c>
    </row>
    <row r="107" spans="1:9" x14ac:dyDescent="0.3">
      <c r="A107" s="100" t="s">
        <v>20</v>
      </c>
      <c r="B107" s="100" t="s">
        <v>11</v>
      </c>
      <c r="C107" s="100" t="s">
        <v>21</v>
      </c>
      <c r="D107" s="102">
        <v>45808</v>
      </c>
      <c r="E107" s="103">
        <v>0.57999999999999996</v>
      </c>
      <c r="F107" s="100">
        <v>0</v>
      </c>
      <c r="G107" s="100" t="s">
        <v>13</v>
      </c>
      <c r="H107" s="103">
        <v>0.59</v>
      </c>
      <c r="I107" s="101">
        <f t="shared" si="2"/>
        <v>-3.5714285714285546E-2</v>
      </c>
    </row>
    <row r="108" spans="1:9" x14ac:dyDescent="0.3">
      <c r="A108" s="100" t="s">
        <v>20</v>
      </c>
      <c r="B108" s="100" t="s">
        <v>11</v>
      </c>
      <c r="C108" s="100" t="s">
        <v>21</v>
      </c>
      <c r="D108" s="102">
        <v>45838</v>
      </c>
      <c r="E108" s="103">
        <v>0.56999999999999995</v>
      </c>
      <c r="F108" s="100">
        <v>0</v>
      </c>
      <c r="G108" s="100" t="s">
        <v>13</v>
      </c>
      <c r="H108" s="103">
        <v>0.59</v>
      </c>
      <c r="I108" s="101">
        <f t="shared" si="2"/>
        <v>1.7241379310344845E-2</v>
      </c>
    </row>
    <row r="109" spans="1:9" x14ac:dyDescent="0.3">
      <c r="A109" s="100" t="s">
        <v>20</v>
      </c>
      <c r="B109" s="100" t="s">
        <v>11</v>
      </c>
      <c r="C109" s="100" t="s">
        <v>21</v>
      </c>
      <c r="D109" s="102">
        <v>45869</v>
      </c>
      <c r="E109" s="103">
        <v>0.51</v>
      </c>
      <c r="F109" s="100">
        <v>0</v>
      </c>
      <c r="G109" s="100" t="s">
        <v>13</v>
      </c>
      <c r="H109" s="103">
        <v>0.59</v>
      </c>
      <c r="I109" s="101">
        <f t="shared" si="2"/>
        <v>0.10526315789473675</v>
      </c>
    </row>
    <row r="110" spans="1:9" x14ac:dyDescent="0.3">
      <c r="A110" s="100" t="s">
        <v>20</v>
      </c>
      <c r="B110" s="100" t="s">
        <v>11</v>
      </c>
      <c r="C110" s="100" t="s">
        <v>21</v>
      </c>
      <c r="D110" s="102">
        <v>45900</v>
      </c>
      <c r="E110" s="103">
        <v>0.48</v>
      </c>
      <c r="F110" s="100">
        <v>0</v>
      </c>
      <c r="G110" s="100" t="s">
        <v>13</v>
      </c>
      <c r="H110" s="103">
        <v>0.59</v>
      </c>
      <c r="I110" s="101">
        <f t="shared" si="2"/>
        <v>5.8823529411764754E-2</v>
      </c>
    </row>
    <row r="111" spans="1:9" x14ac:dyDescent="0.3">
      <c r="A111" s="100" t="s">
        <v>20</v>
      </c>
      <c r="B111" s="100" t="s">
        <v>11</v>
      </c>
      <c r="C111" s="100" t="s">
        <v>21</v>
      </c>
      <c r="D111" s="102">
        <v>45930</v>
      </c>
      <c r="E111" s="103">
        <v>0.51</v>
      </c>
      <c r="F111" s="100">
        <v>0</v>
      </c>
      <c r="G111" s="100" t="s">
        <v>13</v>
      </c>
      <c r="H111" s="103">
        <v>0.59</v>
      </c>
      <c r="I111" s="101">
        <f t="shared" si="2"/>
        <v>-6.2500000000000056E-2</v>
      </c>
    </row>
    <row r="112" spans="1:9" x14ac:dyDescent="0.3">
      <c r="A112" s="100" t="s">
        <v>20</v>
      </c>
      <c r="B112" s="100" t="s">
        <v>11</v>
      </c>
      <c r="C112" s="100" t="s">
        <v>21</v>
      </c>
      <c r="D112" s="102">
        <v>45961</v>
      </c>
      <c r="E112" s="103">
        <v>0.47</v>
      </c>
      <c r="F112" s="100">
        <v>0</v>
      </c>
      <c r="G112" s="100" t="s">
        <v>13</v>
      </c>
      <c r="H112" s="103">
        <v>0.59</v>
      </c>
      <c r="I112" s="101">
        <f t="shared" si="2"/>
        <v>7.8431372549019676E-2</v>
      </c>
    </row>
    <row r="113" spans="1:9" x14ac:dyDescent="0.3">
      <c r="A113" s="100" t="s">
        <v>20</v>
      </c>
      <c r="B113" s="100" t="s">
        <v>11</v>
      </c>
      <c r="C113" s="100" t="s">
        <v>22</v>
      </c>
      <c r="D113" s="102">
        <v>45535</v>
      </c>
      <c r="E113" s="103">
        <v>0.65200000000000002</v>
      </c>
      <c r="F113" s="100">
        <v>0</v>
      </c>
      <c r="G113" s="100" t="s">
        <v>13</v>
      </c>
      <c r="H113" s="103">
        <v>0.56999999999999995</v>
      </c>
      <c r="I113" s="101" t="str">
        <f t="shared" si="2"/>
        <v/>
      </c>
    </row>
    <row r="114" spans="1:9" x14ac:dyDescent="0.3">
      <c r="A114" s="100" t="s">
        <v>20</v>
      </c>
      <c r="B114" s="100" t="s">
        <v>11</v>
      </c>
      <c r="C114" s="100" t="s">
        <v>22</v>
      </c>
      <c r="D114" s="102">
        <v>45565</v>
      </c>
      <c r="E114" s="103">
        <v>0.69599999999999995</v>
      </c>
      <c r="F114" s="100">
        <v>0</v>
      </c>
      <c r="G114" s="100" t="s">
        <v>13</v>
      </c>
      <c r="H114" s="103">
        <v>0.56999999999999995</v>
      </c>
      <c r="I114" s="101">
        <f t="shared" si="2"/>
        <v>-6.7484662576687005E-2</v>
      </c>
    </row>
    <row r="115" spans="1:9" x14ac:dyDescent="0.3">
      <c r="A115" s="100" t="s">
        <v>20</v>
      </c>
      <c r="B115" s="100" t="s">
        <v>11</v>
      </c>
      <c r="C115" s="100" t="s">
        <v>22</v>
      </c>
      <c r="D115" s="102">
        <v>45596</v>
      </c>
      <c r="E115" s="103">
        <v>0.82399999999999995</v>
      </c>
      <c r="F115" s="100">
        <v>0</v>
      </c>
      <c r="G115" s="100" t="s">
        <v>13</v>
      </c>
      <c r="H115" s="103">
        <v>0.56999999999999995</v>
      </c>
      <c r="I115" s="101">
        <f t="shared" si="2"/>
        <v>-0.18390804597701152</v>
      </c>
    </row>
    <row r="116" spans="1:9" x14ac:dyDescent="0.3">
      <c r="A116" s="100" t="s">
        <v>20</v>
      </c>
      <c r="B116" s="100" t="s">
        <v>11</v>
      </c>
      <c r="C116" s="100" t="s">
        <v>22</v>
      </c>
      <c r="D116" s="102">
        <v>45626</v>
      </c>
      <c r="E116" s="103">
        <v>0.41399999999999998</v>
      </c>
      <c r="F116" s="100">
        <v>0</v>
      </c>
      <c r="G116" s="100" t="s">
        <v>13</v>
      </c>
      <c r="H116" s="103">
        <v>0.56999999999999995</v>
      </c>
      <c r="I116" s="101">
        <f t="shared" si="2"/>
        <v>0.49757281553398058</v>
      </c>
    </row>
    <row r="117" spans="1:9" x14ac:dyDescent="0.3">
      <c r="A117" s="100" t="s">
        <v>20</v>
      </c>
      <c r="B117" s="100" t="s">
        <v>11</v>
      </c>
      <c r="C117" s="100" t="s">
        <v>22</v>
      </c>
      <c r="D117" s="102">
        <v>45657</v>
      </c>
      <c r="E117" s="103">
        <v>0.75</v>
      </c>
      <c r="F117" s="100">
        <v>1</v>
      </c>
      <c r="G117" s="100" t="s">
        <v>13</v>
      </c>
      <c r="H117" s="103">
        <v>0.56999999999999995</v>
      </c>
      <c r="I117" s="101">
        <f t="shared" si="2"/>
        <v>-0.81159420289855078</v>
      </c>
    </row>
    <row r="118" spans="1:9" x14ac:dyDescent="0.3">
      <c r="A118" s="100" t="s">
        <v>20</v>
      </c>
      <c r="B118" s="100" t="s">
        <v>11</v>
      </c>
      <c r="C118" s="100" t="s">
        <v>22</v>
      </c>
      <c r="D118" s="102">
        <v>45688</v>
      </c>
      <c r="E118" s="103">
        <v>0.621</v>
      </c>
      <c r="F118" s="100">
        <v>0</v>
      </c>
      <c r="G118" s="100" t="s">
        <v>13</v>
      </c>
      <c r="H118" s="103">
        <v>0.56999999999999995</v>
      </c>
      <c r="I118" s="101">
        <f t="shared" si="2"/>
        <v>0.17200000000000001</v>
      </c>
    </row>
    <row r="119" spans="1:9" x14ac:dyDescent="0.3">
      <c r="A119" s="100" t="s">
        <v>20</v>
      </c>
      <c r="B119" s="100" t="s">
        <v>11</v>
      </c>
      <c r="C119" s="100" t="s">
        <v>22</v>
      </c>
      <c r="D119" s="102">
        <v>45716</v>
      </c>
      <c r="E119" s="103">
        <v>0.72699999999999998</v>
      </c>
      <c r="F119" s="100">
        <v>1</v>
      </c>
      <c r="G119" s="100" t="s">
        <v>13</v>
      </c>
      <c r="H119" s="103">
        <v>0.56999999999999995</v>
      </c>
      <c r="I119" s="101">
        <f t="shared" si="2"/>
        <v>-0.17069243156199676</v>
      </c>
    </row>
    <row r="120" spans="1:9" x14ac:dyDescent="0.3">
      <c r="A120" s="100" t="s">
        <v>20</v>
      </c>
      <c r="B120" s="100" t="s">
        <v>11</v>
      </c>
      <c r="C120" s="100" t="s">
        <v>22</v>
      </c>
      <c r="D120" s="102">
        <v>45747</v>
      </c>
      <c r="E120" s="103">
        <v>0.54500000000000004</v>
      </c>
      <c r="F120" s="100">
        <v>1</v>
      </c>
      <c r="G120" s="100" t="s">
        <v>13</v>
      </c>
      <c r="H120" s="103">
        <v>0.56999999999999995</v>
      </c>
      <c r="I120" s="101">
        <f t="shared" si="2"/>
        <v>0.25034387895460791</v>
      </c>
    </row>
    <row r="121" spans="1:9" x14ac:dyDescent="0.3">
      <c r="A121" s="100" t="s">
        <v>20</v>
      </c>
      <c r="B121" s="100" t="s">
        <v>11</v>
      </c>
      <c r="C121" s="100" t="s">
        <v>22</v>
      </c>
      <c r="D121" s="102">
        <v>45777</v>
      </c>
      <c r="E121" s="103">
        <v>0.76700000000000002</v>
      </c>
      <c r="F121" s="100">
        <v>0</v>
      </c>
      <c r="G121" s="100" t="s">
        <v>13</v>
      </c>
      <c r="H121" s="103">
        <v>0.56999999999999995</v>
      </c>
      <c r="I121" s="101">
        <f t="shared" si="2"/>
        <v>-0.40733944954128432</v>
      </c>
    </row>
    <row r="122" spans="1:9" x14ac:dyDescent="0.3">
      <c r="A122" s="100" t="s">
        <v>20</v>
      </c>
      <c r="B122" s="100" t="s">
        <v>11</v>
      </c>
      <c r="C122" s="100" t="s">
        <v>22</v>
      </c>
      <c r="D122" s="102">
        <v>45808</v>
      </c>
      <c r="E122" s="103">
        <v>0.72699999999999998</v>
      </c>
      <c r="F122" s="100">
        <v>0</v>
      </c>
      <c r="G122" s="100" t="s">
        <v>13</v>
      </c>
      <c r="H122" s="103">
        <v>0.56999999999999995</v>
      </c>
      <c r="I122" s="101">
        <f t="shared" si="2"/>
        <v>5.2151238591916602E-2</v>
      </c>
    </row>
    <row r="123" spans="1:9" x14ac:dyDescent="0.3">
      <c r="A123" s="100" t="s">
        <v>20</v>
      </c>
      <c r="B123" s="100" t="s">
        <v>11</v>
      </c>
      <c r="C123" s="100" t="s">
        <v>22</v>
      </c>
      <c r="D123" s="102">
        <v>45838</v>
      </c>
      <c r="E123" s="103">
        <v>0.86699999999999999</v>
      </c>
      <c r="F123" s="100">
        <v>1</v>
      </c>
      <c r="G123" s="100" t="s">
        <v>13</v>
      </c>
      <c r="H123" s="103">
        <v>0.56999999999999995</v>
      </c>
      <c r="I123" s="101">
        <f t="shared" si="2"/>
        <v>-0.19257221458046769</v>
      </c>
    </row>
    <row r="124" spans="1:9" x14ac:dyDescent="0.3">
      <c r="A124" s="100" t="s">
        <v>20</v>
      </c>
      <c r="B124" s="100" t="s">
        <v>11</v>
      </c>
      <c r="C124" s="100" t="s">
        <v>22</v>
      </c>
      <c r="D124" s="102">
        <v>45869</v>
      </c>
      <c r="E124" s="103">
        <v>0.62</v>
      </c>
      <c r="F124" s="100">
        <v>1</v>
      </c>
      <c r="G124" s="100" t="s">
        <v>13</v>
      </c>
      <c r="H124" s="103">
        <v>0.56999999999999995</v>
      </c>
      <c r="I124" s="101">
        <f t="shared" si="2"/>
        <v>0.28489042675893889</v>
      </c>
    </row>
    <row r="125" spans="1:9" x14ac:dyDescent="0.3">
      <c r="A125" s="100" t="s">
        <v>20</v>
      </c>
      <c r="B125" s="100" t="s">
        <v>11</v>
      </c>
      <c r="C125" s="100" t="s">
        <v>22</v>
      </c>
      <c r="D125" s="102">
        <v>45900</v>
      </c>
      <c r="E125" s="103">
        <v>0.66</v>
      </c>
      <c r="F125" s="100">
        <v>0</v>
      </c>
      <c r="G125" s="100" t="s">
        <v>13</v>
      </c>
      <c r="H125" s="103">
        <v>0.56999999999999995</v>
      </c>
      <c r="I125" s="101">
        <f t="shared" si="2"/>
        <v>-6.4516129032258118E-2</v>
      </c>
    </row>
    <row r="126" spans="1:9" x14ac:dyDescent="0.3">
      <c r="A126" s="100" t="s">
        <v>20</v>
      </c>
      <c r="B126" s="100" t="s">
        <v>11</v>
      </c>
      <c r="C126" s="100" t="s">
        <v>22</v>
      </c>
      <c r="D126" s="102">
        <v>45930</v>
      </c>
      <c r="E126" s="103">
        <v>0.67</v>
      </c>
      <c r="F126" s="100">
        <v>1</v>
      </c>
      <c r="G126" s="100" t="s">
        <v>13</v>
      </c>
      <c r="H126" s="103">
        <v>0.56999999999999995</v>
      </c>
      <c r="I126" s="101">
        <f t="shared" si="2"/>
        <v>-1.5151515151515164E-2</v>
      </c>
    </row>
    <row r="127" spans="1:9" x14ac:dyDescent="0.3">
      <c r="A127" s="100" t="s">
        <v>20</v>
      </c>
      <c r="B127" s="100" t="s">
        <v>11</v>
      </c>
      <c r="C127" s="100" t="s">
        <v>22</v>
      </c>
      <c r="D127" s="102">
        <v>45961</v>
      </c>
      <c r="E127" s="103">
        <v>0.61</v>
      </c>
      <c r="F127" s="100">
        <v>0</v>
      </c>
      <c r="G127" s="100" t="s">
        <v>13</v>
      </c>
      <c r="H127" s="103">
        <v>0.56999999999999995</v>
      </c>
      <c r="I127" s="101">
        <f t="shared" si="2"/>
        <v>8.9552238805970227E-2</v>
      </c>
    </row>
    <row r="128" spans="1:9" x14ac:dyDescent="0.3">
      <c r="A128" s="100" t="s">
        <v>23</v>
      </c>
      <c r="B128" s="100" t="s">
        <v>11</v>
      </c>
      <c r="C128" s="100" t="s">
        <v>24</v>
      </c>
      <c r="D128" s="102">
        <v>45535</v>
      </c>
      <c r="E128" s="103">
        <v>0.77049999999999996</v>
      </c>
      <c r="F128" s="100">
        <v>1</v>
      </c>
      <c r="G128" s="100" t="s">
        <v>17</v>
      </c>
      <c r="H128" s="103">
        <v>0.85</v>
      </c>
      <c r="I128" s="101" t="str">
        <f t="shared" si="2"/>
        <v/>
      </c>
    </row>
    <row r="129" spans="1:9" x14ac:dyDescent="0.3">
      <c r="A129" s="100" t="s">
        <v>23</v>
      </c>
      <c r="B129" s="100" t="s">
        <v>11</v>
      </c>
      <c r="C129" s="100" t="s">
        <v>24</v>
      </c>
      <c r="D129" s="102">
        <v>45565</v>
      </c>
      <c r="E129" s="103">
        <v>0.82979999999999998</v>
      </c>
      <c r="F129" s="100">
        <v>0</v>
      </c>
      <c r="G129" s="100" t="s">
        <v>17</v>
      </c>
      <c r="H129" s="103">
        <v>0.85</v>
      </c>
      <c r="I129" s="101">
        <f t="shared" si="2"/>
        <v>7.6963011031797562E-2</v>
      </c>
    </row>
    <row r="130" spans="1:9" x14ac:dyDescent="0.3">
      <c r="A130" s="100" t="s">
        <v>23</v>
      </c>
      <c r="B130" s="100" t="s">
        <v>11</v>
      </c>
      <c r="C130" s="100" t="s">
        <v>24</v>
      </c>
      <c r="D130" s="102">
        <v>45596</v>
      </c>
      <c r="E130" s="103">
        <v>0.84730000000000005</v>
      </c>
      <c r="F130" s="100">
        <v>0</v>
      </c>
      <c r="G130" s="100" t="s">
        <v>17</v>
      </c>
      <c r="H130" s="103">
        <v>0.85</v>
      </c>
      <c r="I130" s="101">
        <f t="shared" si="2"/>
        <v>2.1089419137141567E-2</v>
      </c>
    </row>
    <row r="131" spans="1:9" x14ac:dyDescent="0.3">
      <c r="A131" s="100" t="s">
        <v>23</v>
      </c>
      <c r="B131" s="100" t="s">
        <v>11</v>
      </c>
      <c r="C131" s="100" t="s">
        <v>24</v>
      </c>
      <c r="D131" s="102">
        <v>45626</v>
      </c>
      <c r="E131" s="103">
        <v>0.80420000000000003</v>
      </c>
      <c r="F131" s="100">
        <v>1</v>
      </c>
      <c r="G131" s="100" t="s">
        <v>17</v>
      </c>
      <c r="H131" s="103">
        <v>0.85</v>
      </c>
      <c r="I131" s="101">
        <f t="shared" ref="I131:I162" si="3">IF(OR(B131&lt;&gt;B130,C131&lt;&gt;C130),"",IF(E130=0,"",IF(G131="UP",(E131-E130)/E130,-((E131-E130)/E130))))</f>
        <v>-5.086746134781072E-2</v>
      </c>
    </row>
    <row r="132" spans="1:9" x14ac:dyDescent="0.3">
      <c r="A132" s="100" t="s">
        <v>23</v>
      </c>
      <c r="B132" s="100" t="s">
        <v>11</v>
      </c>
      <c r="C132" s="100" t="s">
        <v>24</v>
      </c>
      <c r="D132" s="102">
        <v>45657</v>
      </c>
      <c r="E132" s="103">
        <v>0.74780000000000002</v>
      </c>
      <c r="F132" s="100">
        <v>1</v>
      </c>
      <c r="G132" s="100" t="s">
        <v>17</v>
      </c>
      <c r="H132" s="103">
        <v>0.85</v>
      </c>
      <c r="I132" s="101">
        <f t="shared" si="3"/>
        <v>-7.0131808007958221E-2</v>
      </c>
    </row>
    <row r="133" spans="1:9" x14ac:dyDescent="0.3">
      <c r="A133" s="100" t="s">
        <v>23</v>
      </c>
      <c r="B133" s="100" t="s">
        <v>11</v>
      </c>
      <c r="C133" s="100" t="s">
        <v>24</v>
      </c>
      <c r="D133" s="102">
        <v>45688</v>
      </c>
      <c r="E133" s="103">
        <v>0.77939999999999998</v>
      </c>
      <c r="F133" s="100">
        <v>0</v>
      </c>
      <c r="G133" s="100" t="s">
        <v>17</v>
      </c>
      <c r="H133" s="103">
        <v>0.85</v>
      </c>
      <c r="I133" s="101">
        <f t="shared" si="3"/>
        <v>4.225728804493175E-2</v>
      </c>
    </row>
    <row r="134" spans="1:9" x14ac:dyDescent="0.3">
      <c r="A134" s="100" t="s">
        <v>23</v>
      </c>
      <c r="B134" s="100" t="s">
        <v>11</v>
      </c>
      <c r="C134" s="100" t="s">
        <v>24</v>
      </c>
      <c r="D134" s="102">
        <v>45716</v>
      </c>
      <c r="E134" s="103">
        <v>0.80989999999999995</v>
      </c>
      <c r="F134" s="100">
        <v>0</v>
      </c>
      <c r="G134" s="100" t="s">
        <v>17</v>
      </c>
      <c r="H134" s="103">
        <v>0.85</v>
      </c>
      <c r="I134" s="101">
        <f t="shared" si="3"/>
        <v>3.9132666153451338E-2</v>
      </c>
    </row>
    <row r="135" spans="1:9" x14ac:dyDescent="0.3">
      <c r="A135" s="100" t="s">
        <v>23</v>
      </c>
      <c r="B135" s="100" t="s">
        <v>11</v>
      </c>
      <c r="C135" s="100" t="s">
        <v>24</v>
      </c>
      <c r="D135" s="102">
        <v>45747</v>
      </c>
      <c r="E135" s="103">
        <v>0.80469999999999997</v>
      </c>
      <c r="F135" s="100">
        <v>1</v>
      </c>
      <c r="G135" s="100" t="s">
        <v>17</v>
      </c>
      <c r="H135" s="103">
        <v>0.85</v>
      </c>
      <c r="I135" s="101">
        <f t="shared" si="3"/>
        <v>-6.4205457463884213E-3</v>
      </c>
    </row>
    <row r="136" spans="1:9" x14ac:dyDescent="0.3">
      <c r="A136" s="100" t="s">
        <v>23</v>
      </c>
      <c r="B136" s="100" t="s">
        <v>11</v>
      </c>
      <c r="C136" s="100" t="s">
        <v>24</v>
      </c>
      <c r="D136" s="102">
        <v>45777</v>
      </c>
      <c r="E136" s="103">
        <v>0.80159999999999998</v>
      </c>
      <c r="F136" s="100">
        <v>1</v>
      </c>
      <c r="G136" s="100" t="s">
        <v>17</v>
      </c>
      <c r="H136" s="103">
        <v>0.85</v>
      </c>
      <c r="I136" s="101">
        <f t="shared" si="3"/>
        <v>-3.852367341866524E-3</v>
      </c>
    </row>
    <row r="137" spans="1:9" x14ac:dyDescent="0.3">
      <c r="A137" s="100" t="s">
        <v>23</v>
      </c>
      <c r="B137" s="100" t="s">
        <v>11</v>
      </c>
      <c r="C137" s="100" t="s">
        <v>24</v>
      </c>
      <c r="D137" s="102">
        <v>45808</v>
      </c>
      <c r="E137" s="103">
        <v>0.79610000000000003</v>
      </c>
      <c r="F137" s="100">
        <v>1</v>
      </c>
      <c r="G137" s="100" t="s">
        <v>17</v>
      </c>
      <c r="H137" s="103">
        <v>0.85</v>
      </c>
      <c r="I137" s="101">
        <f t="shared" si="3"/>
        <v>-6.8612774451097171E-3</v>
      </c>
    </row>
    <row r="138" spans="1:9" x14ac:dyDescent="0.3">
      <c r="A138" s="100" t="s">
        <v>23</v>
      </c>
      <c r="B138" s="100" t="s">
        <v>11</v>
      </c>
      <c r="C138" s="100" t="s">
        <v>24</v>
      </c>
      <c r="D138" s="102">
        <v>45838</v>
      </c>
      <c r="E138" s="103">
        <v>0.87180000000000002</v>
      </c>
      <c r="F138" s="100">
        <v>0</v>
      </c>
      <c r="G138" s="100" t="s">
        <v>17</v>
      </c>
      <c r="H138" s="103">
        <v>0.85</v>
      </c>
      <c r="I138" s="101">
        <f t="shared" si="3"/>
        <v>9.5088556713980643E-2</v>
      </c>
    </row>
    <row r="139" spans="1:9" x14ac:dyDescent="0.3">
      <c r="A139" s="100" t="s">
        <v>23</v>
      </c>
      <c r="B139" s="100" t="s">
        <v>11</v>
      </c>
      <c r="C139" s="100" t="s">
        <v>24</v>
      </c>
      <c r="D139" s="102">
        <v>45869</v>
      </c>
      <c r="E139" s="103">
        <v>0.82699999999999996</v>
      </c>
      <c r="F139" s="100">
        <v>0</v>
      </c>
      <c r="G139" s="100" t="s">
        <v>17</v>
      </c>
      <c r="H139" s="103">
        <v>0.85</v>
      </c>
      <c r="I139" s="101">
        <f t="shared" si="3"/>
        <v>-5.1387933012158819E-2</v>
      </c>
    </row>
    <row r="140" spans="1:9" x14ac:dyDescent="0.3">
      <c r="A140" s="100" t="s">
        <v>23</v>
      </c>
      <c r="B140" s="100" t="s">
        <v>11</v>
      </c>
      <c r="C140" s="100" t="s">
        <v>24</v>
      </c>
      <c r="D140" s="102">
        <v>45900</v>
      </c>
      <c r="E140" s="103">
        <v>0.76900000000000002</v>
      </c>
      <c r="F140" s="100">
        <v>1</v>
      </c>
      <c r="G140" s="100" t="s">
        <v>17</v>
      </c>
      <c r="H140" s="103">
        <v>0.85</v>
      </c>
      <c r="I140" s="101">
        <f t="shared" si="3"/>
        <v>-7.0133010882708513E-2</v>
      </c>
    </row>
    <row r="141" spans="1:9" x14ac:dyDescent="0.3">
      <c r="A141" s="100" t="s">
        <v>23</v>
      </c>
      <c r="B141" s="100" t="s">
        <v>11</v>
      </c>
      <c r="C141" s="100" t="s">
        <v>24</v>
      </c>
      <c r="D141" s="102">
        <v>45930</v>
      </c>
      <c r="E141" s="103">
        <v>0.878</v>
      </c>
      <c r="F141" s="100">
        <v>0</v>
      </c>
      <c r="G141" s="100" t="s">
        <v>17</v>
      </c>
      <c r="H141" s="103">
        <v>0.85</v>
      </c>
      <c r="I141" s="101">
        <f t="shared" si="3"/>
        <v>0.14174252275682703</v>
      </c>
    </row>
    <row r="142" spans="1:9" x14ac:dyDescent="0.3">
      <c r="A142" s="100" t="s">
        <v>23</v>
      </c>
      <c r="B142" s="100" t="s">
        <v>11</v>
      </c>
      <c r="C142" s="100" t="s">
        <v>24</v>
      </c>
      <c r="D142" s="102">
        <v>45961</v>
      </c>
      <c r="E142" s="103">
        <v>0.79400000000000004</v>
      </c>
      <c r="F142" s="100">
        <v>0</v>
      </c>
      <c r="G142" s="100" t="s">
        <v>17</v>
      </c>
      <c r="H142" s="103">
        <v>0.85</v>
      </c>
      <c r="I142" s="101">
        <f t="shared" si="3"/>
        <v>-9.5671981776765336E-2</v>
      </c>
    </row>
    <row r="143" spans="1:9" x14ac:dyDescent="0.3">
      <c r="A143" s="100" t="s">
        <v>23</v>
      </c>
      <c r="B143" s="100" t="s">
        <v>11</v>
      </c>
      <c r="C143" s="100" t="s">
        <v>24</v>
      </c>
      <c r="D143" s="102">
        <v>45991</v>
      </c>
      <c r="E143" s="103">
        <v>0.84399999999999997</v>
      </c>
      <c r="F143" s="100">
        <v>0</v>
      </c>
      <c r="G143" s="100" t="s">
        <v>17</v>
      </c>
      <c r="H143" s="103">
        <v>0.85</v>
      </c>
      <c r="I143" s="101">
        <f t="shared" si="3"/>
        <v>6.2972292191435686E-2</v>
      </c>
    </row>
    <row r="144" spans="1:9" x14ac:dyDescent="0.3">
      <c r="A144" s="100" t="s">
        <v>23</v>
      </c>
      <c r="B144" s="100" t="s">
        <v>11</v>
      </c>
      <c r="C144" s="100" t="s">
        <v>25</v>
      </c>
      <c r="D144" s="102">
        <v>45535</v>
      </c>
      <c r="E144" s="103">
        <v>0.68</v>
      </c>
      <c r="F144" s="100">
        <v>0</v>
      </c>
      <c r="G144" s="100" t="s">
        <v>17</v>
      </c>
      <c r="H144" s="103">
        <v>0.65</v>
      </c>
      <c r="I144" s="101" t="str">
        <f t="shared" si="3"/>
        <v/>
      </c>
    </row>
    <row r="145" spans="1:9" x14ac:dyDescent="0.3">
      <c r="A145" s="100" t="s">
        <v>23</v>
      </c>
      <c r="B145" s="100" t="s">
        <v>11</v>
      </c>
      <c r="C145" s="100" t="s">
        <v>25</v>
      </c>
      <c r="D145" s="102">
        <v>45565</v>
      </c>
      <c r="E145" s="103">
        <v>0.7238</v>
      </c>
      <c r="F145" s="100">
        <v>0</v>
      </c>
      <c r="G145" s="100" t="s">
        <v>17</v>
      </c>
      <c r="H145" s="103">
        <v>0.65</v>
      </c>
      <c r="I145" s="101">
        <f t="shared" si="3"/>
        <v>6.441176470588228E-2</v>
      </c>
    </row>
    <row r="146" spans="1:9" x14ac:dyDescent="0.3">
      <c r="A146" s="100" t="s">
        <v>23</v>
      </c>
      <c r="B146" s="100" t="s">
        <v>11</v>
      </c>
      <c r="C146" s="100" t="s">
        <v>25</v>
      </c>
      <c r="D146" s="102">
        <v>45596</v>
      </c>
      <c r="E146" s="103">
        <v>0.7</v>
      </c>
      <c r="F146" s="100">
        <v>0</v>
      </c>
      <c r="G146" s="100" t="s">
        <v>17</v>
      </c>
      <c r="H146" s="103">
        <v>0.65</v>
      </c>
      <c r="I146" s="101">
        <f t="shared" si="3"/>
        <v>-3.2882011605415921E-2</v>
      </c>
    </row>
    <row r="147" spans="1:9" x14ac:dyDescent="0.3">
      <c r="A147" s="100" t="s">
        <v>23</v>
      </c>
      <c r="B147" s="100" t="s">
        <v>11</v>
      </c>
      <c r="C147" s="100" t="s">
        <v>25</v>
      </c>
      <c r="D147" s="102">
        <v>45626</v>
      </c>
      <c r="E147" s="103">
        <v>0.68420000000000003</v>
      </c>
      <c r="F147" s="100">
        <v>0</v>
      </c>
      <c r="G147" s="100" t="s">
        <v>17</v>
      </c>
      <c r="H147" s="103">
        <v>0.65</v>
      </c>
      <c r="I147" s="101">
        <f t="shared" si="3"/>
        <v>-2.2571428571428465E-2</v>
      </c>
    </row>
    <row r="148" spans="1:9" x14ac:dyDescent="0.3">
      <c r="A148" s="100" t="s">
        <v>23</v>
      </c>
      <c r="B148" s="100" t="s">
        <v>11</v>
      </c>
      <c r="C148" s="100" t="s">
        <v>25</v>
      </c>
      <c r="D148" s="102">
        <v>45657</v>
      </c>
      <c r="E148" s="103">
        <v>0.71</v>
      </c>
      <c r="F148" s="100">
        <v>0</v>
      </c>
      <c r="G148" s="100" t="s">
        <v>17</v>
      </c>
      <c r="H148" s="103">
        <v>0.65</v>
      </c>
      <c r="I148" s="101">
        <f t="shared" si="3"/>
        <v>3.7708272434960437E-2</v>
      </c>
    </row>
    <row r="149" spans="1:9" x14ac:dyDescent="0.3">
      <c r="A149" s="100" t="s">
        <v>23</v>
      </c>
      <c r="B149" s="100" t="s">
        <v>11</v>
      </c>
      <c r="C149" s="100" t="s">
        <v>25</v>
      </c>
      <c r="D149" s="102">
        <v>45688</v>
      </c>
      <c r="E149" s="103">
        <v>0.65</v>
      </c>
      <c r="F149" s="100">
        <v>0</v>
      </c>
      <c r="G149" s="100" t="s">
        <v>17</v>
      </c>
      <c r="H149" s="103">
        <v>0.65</v>
      </c>
      <c r="I149" s="101">
        <f t="shared" si="3"/>
        <v>-8.4507042253521056E-2</v>
      </c>
    </row>
    <row r="150" spans="1:9" x14ac:dyDescent="0.3">
      <c r="A150" s="100" t="s">
        <v>23</v>
      </c>
      <c r="B150" s="100" t="s">
        <v>11</v>
      </c>
      <c r="C150" s="100" t="s">
        <v>25</v>
      </c>
      <c r="D150" s="102">
        <v>45716</v>
      </c>
      <c r="E150" s="103">
        <v>0.74439999999999995</v>
      </c>
      <c r="F150" s="100">
        <v>0</v>
      </c>
      <c r="G150" s="100" t="s">
        <v>17</v>
      </c>
      <c r="H150" s="103">
        <v>0.65</v>
      </c>
      <c r="I150" s="101">
        <f t="shared" si="3"/>
        <v>0.14523076923076911</v>
      </c>
    </row>
    <row r="151" spans="1:9" x14ac:dyDescent="0.3">
      <c r="A151" s="100" t="s">
        <v>23</v>
      </c>
      <c r="B151" s="100" t="s">
        <v>11</v>
      </c>
      <c r="C151" s="100" t="s">
        <v>25</v>
      </c>
      <c r="D151" s="102">
        <v>45747</v>
      </c>
      <c r="E151" s="103">
        <v>0.81369999999999998</v>
      </c>
      <c r="F151" s="100">
        <v>0</v>
      </c>
      <c r="G151" s="100" t="s">
        <v>17</v>
      </c>
      <c r="H151" s="103">
        <v>0.65</v>
      </c>
      <c r="I151" s="101">
        <f t="shared" si="3"/>
        <v>9.3095110155830246E-2</v>
      </c>
    </row>
    <row r="152" spans="1:9" x14ac:dyDescent="0.3">
      <c r="A152" s="100" t="s">
        <v>23</v>
      </c>
      <c r="B152" s="100" t="s">
        <v>11</v>
      </c>
      <c r="C152" s="100" t="s">
        <v>25</v>
      </c>
      <c r="D152" s="102">
        <v>45777</v>
      </c>
      <c r="E152" s="103">
        <v>0.63560000000000005</v>
      </c>
      <c r="F152" s="100">
        <v>0</v>
      </c>
      <c r="G152" s="100" t="s">
        <v>17</v>
      </c>
      <c r="H152" s="103">
        <v>0.65</v>
      </c>
      <c r="I152" s="101">
        <f t="shared" si="3"/>
        <v>-0.21887673589775092</v>
      </c>
    </row>
    <row r="153" spans="1:9" x14ac:dyDescent="0.3">
      <c r="A153" s="100" t="s">
        <v>23</v>
      </c>
      <c r="B153" s="100" t="s">
        <v>11</v>
      </c>
      <c r="C153" s="100" t="s">
        <v>25</v>
      </c>
      <c r="D153" s="102">
        <v>45808</v>
      </c>
      <c r="E153" s="103">
        <v>0.71550000000000002</v>
      </c>
      <c r="F153" s="100">
        <v>0</v>
      </c>
      <c r="G153" s="100" t="s">
        <v>17</v>
      </c>
      <c r="H153" s="103">
        <v>0.65</v>
      </c>
      <c r="I153" s="101">
        <f t="shared" si="3"/>
        <v>0.12570799244808051</v>
      </c>
    </row>
    <row r="154" spans="1:9" x14ac:dyDescent="0.3">
      <c r="A154" s="100" t="s">
        <v>23</v>
      </c>
      <c r="B154" s="100" t="s">
        <v>11</v>
      </c>
      <c r="C154" s="100" t="s">
        <v>25</v>
      </c>
      <c r="D154" s="102">
        <v>45838</v>
      </c>
      <c r="E154" s="103">
        <v>0.70650000000000002</v>
      </c>
      <c r="F154" s="100">
        <v>0</v>
      </c>
      <c r="G154" s="100" t="s">
        <v>17</v>
      </c>
      <c r="H154" s="103">
        <v>0.65</v>
      </c>
      <c r="I154" s="101">
        <f t="shared" si="3"/>
        <v>-1.2578616352201269E-2</v>
      </c>
    </row>
    <row r="155" spans="1:9" x14ac:dyDescent="0.3">
      <c r="A155" s="100" t="s">
        <v>23</v>
      </c>
      <c r="B155" s="100" t="s">
        <v>11</v>
      </c>
      <c r="C155" s="100" t="s">
        <v>25</v>
      </c>
      <c r="D155" s="102">
        <v>45869</v>
      </c>
      <c r="E155" s="103">
        <v>0.77100000000000002</v>
      </c>
      <c r="F155" s="100">
        <v>0</v>
      </c>
      <c r="G155" s="100" t="s">
        <v>17</v>
      </c>
      <c r="H155" s="103">
        <v>0.65</v>
      </c>
      <c r="I155" s="101">
        <f t="shared" si="3"/>
        <v>9.1295116772823773E-2</v>
      </c>
    </row>
    <row r="156" spans="1:9" x14ac:dyDescent="0.3">
      <c r="A156" s="100" t="s">
        <v>23</v>
      </c>
      <c r="B156" s="100" t="s">
        <v>11</v>
      </c>
      <c r="C156" s="100" t="s">
        <v>25</v>
      </c>
      <c r="D156" s="102">
        <v>45900</v>
      </c>
      <c r="E156" s="103">
        <v>0.69799999999999995</v>
      </c>
      <c r="F156" s="100">
        <v>0</v>
      </c>
      <c r="G156" s="100" t="s">
        <v>17</v>
      </c>
      <c r="H156" s="103">
        <v>0.65</v>
      </c>
      <c r="I156" s="101">
        <f t="shared" si="3"/>
        <v>-9.4682230869001377E-2</v>
      </c>
    </row>
    <row r="157" spans="1:9" x14ac:dyDescent="0.3">
      <c r="A157" s="100" t="s">
        <v>23</v>
      </c>
      <c r="B157" s="100" t="s">
        <v>11</v>
      </c>
      <c r="C157" s="100" t="s">
        <v>25</v>
      </c>
      <c r="D157" s="102">
        <v>45930</v>
      </c>
      <c r="E157" s="103">
        <v>0.73299999999999998</v>
      </c>
      <c r="F157" s="100">
        <v>0</v>
      </c>
      <c r="G157" s="100" t="s">
        <v>17</v>
      </c>
      <c r="H157" s="103">
        <v>0.65</v>
      </c>
      <c r="I157" s="101">
        <f t="shared" si="3"/>
        <v>5.0143266475644745E-2</v>
      </c>
    </row>
    <row r="158" spans="1:9" x14ac:dyDescent="0.3">
      <c r="A158" s="100" t="s">
        <v>23</v>
      </c>
      <c r="B158" s="100" t="s">
        <v>11</v>
      </c>
      <c r="C158" s="100" t="s">
        <v>25</v>
      </c>
      <c r="D158" s="102">
        <v>45961</v>
      </c>
      <c r="E158" s="103">
        <v>0.83899999999999997</v>
      </c>
      <c r="F158" s="100">
        <v>0</v>
      </c>
      <c r="G158" s="100" t="s">
        <v>17</v>
      </c>
      <c r="H158" s="103">
        <v>0.65</v>
      </c>
      <c r="I158" s="101">
        <f t="shared" si="3"/>
        <v>0.14461118690313776</v>
      </c>
    </row>
    <row r="159" spans="1:9" x14ac:dyDescent="0.3">
      <c r="A159" s="100" t="s">
        <v>23</v>
      </c>
      <c r="B159" s="100" t="s">
        <v>11</v>
      </c>
      <c r="C159" s="100" t="s">
        <v>25</v>
      </c>
      <c r="D159" s="102">
        <v>45991</v>
      </c>
      <c r="E159" s="103">
        <v>0.73240000000000005</v>
      </c>
      <c r="F159" s="100">
        <v>0</v>
      </c>
      <c r="G159" s="100" t="s">
        <v>17</v>
      </c>
      <c r="H159" s="103">
        <v>0.65</v>
      </c>
      <c r="I159" s="101">
        <f t="shared" si="3"/>
        <v>-0.12705601907032171</v>
      </c>
    </row>
    <row r="160" spans="1:9" x14ac:dyDescent="0.3">
      <c r="A160" s="100" t="s">
        <v>23</v>
      </c>
      <c r="B160" s="100" t="s">
        <v>11</v>
      </c>
      <c r="C160" s="100" t="s">
        <v>26</v>
      </c>
      <c r="D160" s="102">
        <v>45535</v>
      </c>
      <c r="E160" s="103">
        <v>0.87119999999999997</v>
      </c>
      <c r="F160" s="100">
        <v>0</v>
      </c>
      <c r="G160" s="100" t="s">
        <v>17</v>
      </c>
      <c r="H160" s="103">
        <v>0.85</v>
      </c>
      <c r="I160" s="101" t="str">
        <f t="shared" si="3"/>
        <v/>
      </c>
    </row>
    <row r="161" spans="1:9" x14ac:dyDescent="0.3">
      <c r="A161" s="100" t="s">
        <v>23</v>
      </c>
      <c r="B161" s="100" t="s">
        <v>11</v>
      </c>
      <c r="C161" s="100" t="s">
        <v>26</v>
      </c>
      <c r="D161" s="102">
        <v>45565</v>
      </c>
      <c r="E161" s="103">
        <v>0.8679</v>
      </c>
      <c r="F161" s="100">
        <v>0</v>
      </c>
      <c r="G161" s="100" t="s">
        <v>17</v>
      </c>
      <c r="H161" s="103">
        <v>0.85</v>
      </c>
      <c r="I161" s="101">
        <f t="shared" si="3"/>
        <v>-3.7878787878787533E-3</v>
      </c>
    </row>
    <row r="162" spans="1:9" x14ac:dyDescent="0.3">
      <c r="A162" s="100" t="s">
        <v>23</v>
      </c>
      <c r="B162" s="100" t="s">
        <v>11</v>
      </c>
      <c r="C162" s="100" t="s">
        <v>26</v>
      </c>
      <c r="D162" s="102">
        <v>45596</v>
      </c>
      <c r="E162" s="103">
        <v>0.85189999999999999</v>
      </c>
      <c r="F162" s="100">
        <v>0</v>
      </c>
      <c r="G162" s="100" t="s">
        <v>17</v>
      </c>
      <c r="H162" s="103">
        <v>0.85</v>
      </c>
      <c r="I162" s="101">
        <f t="shared" si="3"/>
        <v>-1.8435303606406283E-2</v>
      </c>
    </row>
    <row r="163" spans="1:9" x14ac:dyDescent="0.3">
      <c r="A163" s="100" t="s">
        <v>23</v>
      </c>
      <c r="B163" s="100" t="s">
        <v>11</v>
      </c>
      <c r="C163" s="100" t="s">
        <v>26</v>
      </c>
      <c r="D163" s="102">
        <v>45626</v>
      </c>
      <c r="E163" s="103">
        <v>0.78659999999999997</v>
      </c>
      <c r="F163" s="100">
        <v>0</v>
      </c>
      <c r="G163" s="100" t="s">
        <v>17</v>
      </c>
      <c r="H163" s="103">
        <v>0.85</v>
      </c>
      <c r="I163" s="101">
        <f t="shared" ref="I163:I194" si="4">IF(OR(B163&lt;&gt;B162,C163&lt;&gt;C162),"",IF(E162=0,"",IF(G163="UP",(E163-E162)/E162,-((E163-E162)/E162))))</f>
        <v>-7.6652189224087369E-2</v>
      </c>
    </row>
    <row r="164" spans="1:9" x14ac:dyDescent="0.3">
      <c r="A164" s="100" t="s">
        <v>23</v>
      </c>
      <c r="B164" s="100" t="s">
        <v>11</v>
      </c>
      <c r="C164" s="100" t="s">
        <v>26</v>
      </c>
      <c r="D164" s="102">
        <v>45657</v>
      </c>
      <c r="E164" s="103">
        <v>0.91180000000000005</v>
      </c>
      <c r="F164" s="100">
        <v>0</v>
      </c>
      <c r="G164" s="100" t="s">
        <v>17</v>
      </c>
      <c r="H164" s="103">
        <v>0.85</v>
      </c>
      <c r="I164" s="101">
        <f t="shared" si="4"/>
        <v>0.15916603101957805</v>
      </c>
    </row>
    <row r="165" spans="1:9" x14ac:dyDescent="0.3">
      <c r="A165" s="100" t="s">
        <v>23</v>
      </c>
      <c r="B165" s="100" t="s">
        <v>11</v>
      </c>
      <c r="C165" s="100" t="s">
        <v>26</v>
      </c>
      <c r="D165" s="102">
        <v>45688</v>
      </c>
      <c r="E165" s="103">
        <v>0.8306</v>
      </c>
      <c r="F165" s="100">
        <v>0</v>
      </c>
      <c r="G165" s="100" t="s">
        <v>17</v>
      </c>
      <c r="H165" s="103">
        <v>0.85</v>
      </c>
      <c r="I165" s="101">
        <f t="shared" si="4"/>
        <v>-8.9054617240622996E-2</v>
      </c>
    </row>
    <row r="166" spans="1:9" x14ac:dyDescent="0.3">
      <c r="A166" s="100" t="s">
        <v>23</v>
      </c>
      <c r="B166" s="100" t="s">
        <v>11</v>
      </c>
      <c r="C166" s="100" t="s">
        <v>26</v>
      </c>
      <c r="D166" s="102">
        <v>45716</v>
      </c>
      <c r="E166" s="103">
        <v>0.875</v>
      </c>
      <c r="F166" s="100">
        <v>0</v>
      </c>
      <c r="G166" s="100" t="s">
        <v>17</v>
      </c>
      <c r="H166" s="103">
        <v>0.85</v>
      </c>
      <c r="I166" s="101">
        <f t="shared" si="4"/>
        <v>5.3455333493859856E-2</v>
      </c>
    </row>
    <row r="167" spans="1:9" x14ac:dyDescent="0.3">
      <c r="A167" s="100" t="s">
        <v>23</v>
      </c>
      <c r="B167" s="100" t="s">
        <v>11</v>
      </c>
      <c r="C167" s="100" t="s">
        <v>26</v>
      </c>
      <c r="D167" s="102">
        <v>45747</v>
      </c>
      <c r="E167" s="103">
        <v>0.84309999999999996</v>
      </c>
      <c r="F167" s="100">
        <v>0</v>
      </c>
      <c r="G167" s="100" t="s">
        <v>17</v>
      </c>
      <c r="H167" s="103">
        <v>0.85</v>
      </c>
      <c r="I167" s="101">
        <f t="shared" si="4"/>
        <v>-3.6457142857142903E-2</v>
      </c>
    </row>
    <row r="168" spans="1:9" x14ac:dyDescent="0.3">
      <c r="A168" s="100" t="s">
        <v>23</v>
      </c>
      <c r="B168" s="100" t="s">
        <v>11</v>
      </c>
      <c r="C168" s="100" t="s">
        <v>26</v>
      </c>
      <c r="D168" s="102">
        <v>45777</v>
      </c>
      <c r="E168" s="103">
        <v>0.85589999999999999</v>
      </c>
      <c r="F168" s="100">
        <v>0</v>
      </c>
      <c r="G168" s="100" t="s">
        <v>17</v>
      </c>
      <c r="H168" s="103">
        <v>0.85</v>
      </c>
      <c r="I168" s="101">
        <f t="shared" si="4"/>
        <v>1.5182066184319812E-2</v>
      </c>
    </row>
    <row r="169" spans="1:9" x14ac:dyDescent="0.3">
      <c r="A169" s="100" t="s">
        <v>23</v>
      </c>
      <c r="B169" s="100" t="s">
        <v>11</v>
      </c>
      <c r="C169" s="100" t="s">
        <v>26</v>
      </c>
      <c r="D169" s="102">
        <v>45808</v>
      </c>
      <c r="E169" s="103">
        <v>0.84260000000000002</v>
      </c>
      <c r="F169" s="100">
        <v>0</v>
      </c>
      <c r="G169" s="100" t="s">
        <v>17</v>
      </c>
      <c r="H169" s="103">
        <v>0.85</v>
      </c>
      <c r="I169" s="101">
        <f t="shared" si="4"/>
        <v>-1.5539198504498164E-2</v>
      </c>
    </row>
    <row r="170" spans="1:9" x14ac:dyDescent="0.3">
      <c r="A170" s="100" t="s">
        <v>23</v>
      </c>
      <c r="B170" s="100" t="s">
        <v>11</v>
      </c>
      <c r="C170" s="100" t="s">
        <v>26</v>
      </c>
      <c r="D170" s="102">
        <v>45838</v>
      </c>
      <c r="E170" s="103">
        <v>0.93410000000000004</v>
      </c>
      <c r="F170" s="100">
        <v>0</v>
      </c>
      <c r="G170" s="100" t="s">
        <v>17</v>
      </c>
      <c r="H170" s="103">
        <v>0.85</v>
      </c>
      <c r="I170" s="101">
        <f t="shared" si="4"/>
        <v>0.10859245193448852</v>
      </c>
    </row>
    <row r="171" spans="1:9" x14ac:dyDescent="0.3">
      <c r="A171" s="100" t="s">
        <v>23</v>
      </c>
      <c r="B171" s="100" t="s">
        <v>11</v>
      </c>
      <c r="C171" s="100" t="s">
        <v>26</v>
      </c>
      <c r="D171" s="102">
        <v>45869</v>
      </c>
      <c r="E171" s="103">
        <v>0.85299999999999998</v>
      </c>
      <c r="F171" s="100">
        <v>0</v>
      </c>
      <c r="G171" s="100" t="s">
        <v>17</v>
      </c>
      <c r="H171" s="103">
        <v>0.85</v>
      </c>
      <c r="I171" s="101">
        <f t="shared" si="4"/>
        <v>-8.6821539449737778E-2</v>
      </c>
    </row>
    <row r="172" spans="1:9" x14ac:dyDescent="0.3">
      <c r="A172" s="100" t="s">
        <v>23</v>
      </c>
      <c r="B172" s="100" t="s">
        <v>11</v>
      </c>
      <c r="C172" s="100" t="s">
        <v>26</v>
      </c>
      <c r="D172" s="102">
        <v>45900</v>
      </c>
      <c r="E172" s="103">
        <v>0.90200000000000002</v>
      </c>
      <c r="F172" s="100">
        <v>0</v>
      </c>
      <c r="G172" s="100" t="s">
        <v>17</v>
      </c>
      <c r="H172" s="103">
        <v>0.85</v>
      </c>
      <c r="I172" s="101">
        <f t="shared" si="4"/>
        <v>5.7444314185228655E-2</v>
      </c>
    </row>
    <row r="173" spans="1:9" x14ac:dyDescent="0.3">
      <c r="A173" s="100" t="s">
        <v>23</v>
      </c>
      <c r="B173" s="100" t="s">
        <v>11</v>
      </c>
      <c r="C173" s="100" t="s">
        <v>26</v>
      </c>
      <c r="D173" s="102">
        <v>45930</v>
      </c>
      <c r="E173" s="103">
        <v>0.80800000000000005</v>
      </c>
      <c r="F173" s="100">
        <v>0</v>
      </c>
      <c r="G173" s="100" t="s">
        <v>17</v>
      </c>
      <c r="H173" s="103">
        <v>0.85</v>
      </c>
      <c r="I173" s="101">
        <f t="shared" si="4"/>
        <v>-0.10421286031042125</v>
      </c>
    </row>
    <row r="174" spans="1:9" x14ac:dyDescent="0.3">
      <c r="A174" s="100" t="s">
        <v>23</v>
      </c>
      <c r="B174" s="100" t="s">
        <v>11</v>
      </c>
      <c r="C174" s="100" t="s">
        <v>26</v>
      </c>
      <c r="D174" s="102">
        <v>45961</v>
      </c>
      <c r="E174" s="103">
        <v>0.89500000000000002</v>
      </c>
      <c r="F174" s="100">
        <v>0</v>
      </c>
      <c r="G174" s="100" t="s">
        <v>17</v>
      </c>
      <c r="H174" s="103">
        <v>0.85</v>
      </c>
      <c r="I174" s="101">
        <f t="shared" si="4"/>
        <v>0.10767326732673263</v>
      </c>
    </row>
    <row r="175" spans="1:9" x14ac:dyDescent="0.3">
      <c r="A175" s="100" t="s">
        <v>23</v>
      </c>
      <c r="B175" s="100" t="s">
        <v>11</v>
      </c>
      <c r="C175" s="100" t="s">
        <v>26</v>
      </c>
      <c r="D175" s="102">
        <v>45991</v>
      </c>
      <c r="E175" s="103">
        <v>0.90900000000000003</v>
      </c>
      <c r="F175" s="100">
        <v>0</v>
      </c>
      <c r="G175" s="100" t="s">
        <v>17</v>
      </c>
      <c r="H175" s="103">
        <v>0.85</v>
      </c>
      <c r="I175" s="101">
        <f t="shared" si="4"/>
        <v>1.5642458100558674E-2</v>
      </c>
    </row>
    <row r="176" spans="1:9" x14ac:dyDescent="0.3">
      <c r="A176" s="100" t="s">
        <v>23</v>
      </c>
      <c r="B176" s="100" t="s">
        <v>11</v>
      </c>
      <c r="C176" s="100" t="s">
        <v>27</v>
      </c>
      <c r="D176" s="102">
        <v>45535</v>
      </c>
      <c r="E176" s="103">
        <v>0.84160000000000001</v>
      </c>
      <c r="F176" s="100">
        <v>0</v>
      </c>
      <c r="G176" s="100" t="s">
        <v>17</v>
      </c>
      <c r="H176" s="103">
        <v>0.7</v>
      </c>
      <c r="I176" s="101" t="str">
        <f t="shared" si="4"/>
        <v/>
      </c>
    </row>
    <row r="177" spans="1:9" x14ac:dyDescent="0.3">
      <c r="A177" s="100" t="s">
        <v>23</v>
      </c>
      <c r="B177" s="100" t="s">
        <v>11</v>
      </c>
      <c r="C177" s="100" t="s">
        <v>27</v>
      </c>
      <c r="D177" s="102">
        <v>45565</v>
      </c>
      <c r="E177" s="103">
        <v>0.82350000000000001</v>
      </c>
      <c r="F177" s="100">
        <v>0</v>
      </c>
      <c r="G177" s="100" t="s">
        <v>17</v>
      </c>
      <c r="H177" s="103">
        <v>0.7</v>
      </c>
      <c r="I177" s="101">
        <f t="shared" si="4"/>
        <v>-2.1506653992395444E-2</v>
      </c>
    </row>
    <row r="178" spans="1:9" x14ac:dyDescent="0.3">
      <c r="A178" s="100" t="s">
        <v>23</v>
      </c>
      <c r="B178" s="100" t="s">
        <v>11</v>
      </c>
      <c r="C178" s="100" t="s">
        <v>27</v>
      </c>
      <c r="D178" s="102">
        <v>45596</v>
      </c>
      <c r="E178" s="103">
        <v>0.82720000000000005</v>
      </c>
      <c r="F178" s="100">
        <v>0</v>
      </c>
      <c r="G178" s="100" t="s">
        <v>17</v>
      </c>
      <c r="H178" s="103">
        <v>0.7</v>
      </c>
      <c r="I178" s="101">
        <f t="shared" si="4"/>
        <v>4.4930176077717507E-3</v>
      </c>
    </row>
    <row r="179" spans="1:9" x14ac:dyDescent="0.3">
      <c r="A179" s="100" t="s">
        <v>23</v>
      </c>
      <c r="B179" s="100" t="s">
        <v>11</v>
      </c>
      <c r="C179" s="100" t="s">
        <v>27</v>
      </c>
      <c r="D179" s="102">
        <v>45626</v>
      </c>
      <c r="E179" s="103">
        <v>0.78669999999999995</v>
      </c>
      <c r="F179" s="100">
        <v>0</v>
      </c>
      <c r="G179" s="100" t="s">
        <v>17</v>
      </c>
      <c r="H179" s="103">
        <v>0.7</v>
      </c>
      <c r="I179" s="101">
        <f t="shared" si="4"/>
        <v>-4.8960348162475929E-2</v>
      </c>
    </row>
    <row r="180" spans="1:9" x14ac:dyDescent="0.3">
      <c r="A180" s="100" t="s">
        <v>23</v>
      </c>
      <c r="B180" s="100" t="s">
        <v>11</v>
      </c>
      <c r="C180" s="100" t="s">
        <v>27</v>
      </c>
      <c r="D180" s="102">
        <v>45657</v>
      </c>
      <c r="E180" s="103">
        <v>0.84689999999999999</v>
      </c>
      <c r="F180" s="100">
        <v>0</v>
      </c>
      <c r="G180" s="100" t="s">
        <v>17</v>
      </c>
      <c r="H180" s="103">
        <v>0.7</v>
      </c>
      <c r="I180" s="101">
        <f t="shared" si="4"/>
        <v>7.6522181263505823E-2</v>
      </c>
    </row>
    <row r="181" spans="1:9" x14ac:dyDescent="0.3">
      <c r="A181" s="100" t="s">
        <v>23</v>
      </c>
      <c r="B181" s="100" t="s">
        <v>11</v>
      </c>
      <c r="C181" s="100" t="s">
        <v>27</v>
      </c>
      <c r="D181" s="102">
        <v>45688</v>
      </c>
      <c r="E181" s="103">
        <v>0.86670000000000003</v>
      </c>
      <c r="F181" s="100">
        <v>0</v>
      </c>
      <c r="G181" s="100" t="s">
        <v>17</v>
      </c>
      <c r="H181" s="103">
        <v>0.7</v>
      </c>
      <c r="I181" s="101">
        <f t="shared" si="4"/>
        <v>2.3379383634431504E-2</v>
      </c>
    </row>
    <row r="182" spans="1:9" x14ac:dyDescent="0.3">
      <c r="A182" s="100" t="s">
        <v>23</v>
      </c>
      <c r="B182" s="100" t="s">
        <v>11</v>
      </c>
      <c r="C182" s="100" t="s">
        <v>27</v>
      </c>
      <c r="D182" s="102">
        <v>45716</v>
      </c>
      <c r="E182" s="103">
        <v>0.88639999999999997</v>
      </c>
      <c r="F182" s="100">
        <v>0</v>
      </c>
      <c r="G182" s="100" t="s">
        <v>17</v>
      </c>
      <c r="H182" s="103">
        <v>0.7</v>
      </c>
      <c r="I182" s="101">
        <f t="shared" si="4"/>
        <v>2.2729895004038235E-2</v>
      </c>
    </row>
    <row r="183" spans="1:9" x14ac:dyDescent="0.3">
      <c r="A183" s="100" t="s">
        <v>23</v>
      </c>
      <c r="B183" s="100" t="s">
        <v>11</v>
      </c>
      <c r="C183" s="100" t="s">
        <v>27</v>
      </c>
      <c r="D183" s="102">
        <v>45747</v>
      </c>
      <c r="E183" s="103">
        <v>0.87</v>
      </c>
      <c r="F183" s="100">
        <v>0</v>
      </c>
      <c r="G183" s="100" t="s">
        <v>17</v>
      </c>
      <c r="H183" s="103">
        <v>0.7</v>
      </c>
      <c r="I183" s="101">
        <f t="shared" si="4"/>
        <v>-1.8501805054151593E-2</v>
      </c>
    </row>
    <row r="184" spans="1:9" x14ac:dyDescent="0.3">
      <c r="A184" s="100" t="s">
        <v>23</v>
      </c>
      <c r="B184" s="100" t="s">
        <v>11</v>
      </c>
      <c r="C184" s="100" t="s">
        <v>27</v>
      </c>
      <c r="D184" s="102">
        <v>45777</v>
      </c>
      <c r="E184" s="103">
        <v>0.76470000000000005</v>
      </c>
      <c r="F184" s="100">
        <v>0</v>
      </c>
      <c r="G184" s="100" t="s">
        <v>17</v>
      </c>
      <c r="H184" s="103">
        <v>0.7</v>
      </c>
      <c r="I184" s="101">
        <f t="shared" si="4"/>
        <v>-0.12103448275862064</v>
      </c>
    </row>
    <row r="185" spans="1:9" x14ac:dyDescent="0.3">
      <c r="A185" s="100" t="s">
        <v>23</v>
      </c>
      <c r="B185" s="100" t="s">
        <v>11</v>
      </c>
      <c r="C185" s="100" t="s">
        <v>27</v>
      </c>
      <c r="D185" s="102">
        <v>45808</v>
      </c>
      <c r="E185" s="103">
        <v>0.79810000000000003</v>
      </c>
      <c r="F185" s="100">
        <v>0</v>
      </c>
      <c r="G185" s="100" t="s">
        <v>17</v>
      </c>
      <c r="H185" s="103">
        <v>0.7</v>
      </c>
      <c r="I185" s="101">
        <f t="shared" si="4"/>
        <v>4.3677259055838871E-2</v>
      </c>
    </row>
    <row r="186" spans="1:9" x14ac:dyDescent="0.3">
      <c r="A186" s="100" t="s">
        <v>23</v>
      </c>
      <c r="B186" s="100" t="s">
        <v>11</v>
      </c>
      <c r="C186" s="100" t="s">
        <v>27</v>
      </c>
      <c r="D186" s="102">
        <v>45838</v>
      </c>
      <c r="E186" s="103">
        <v>0.80900000000000005</v>
      </c>
      <c r="F186" s="100">
        <v>0</v>
      </c>
      <c r="G186" s="100" t="s">
        <v>17</v>
      </c>
      <c r="H186" s="103">
        <v>0.7</v>
      </c>
      <c r="I186" s="101">
        <f t="shared" si="4"/>
        <v>1.3657436411477285E-2</v>
      </c>
    </row>
    <row r="187" spans="1:9" x14ac:dyDescent="0.3">
      <c r="A187" s="100" t="s">
        <v>23</v>
      </c>
      <c r="B187" s="100" t="s">
        <v>11</v>
      </c>
      <c r="C187" s="100" t="s">
        <v>27</v>
      </c>
      <c r="D187" s="102">
        <v>45869</v>
      </c>
      <c r="E187" s="103">
        <v>0.84399999999999997</v>
      </c>
      <c r="F187" s="100">
        <v>0</v>
      </c>
      <c r="G187" s="100" t="s">
        <v>17</v>
      </c>
      <c r="H187" s="103">
        <v>0.7</v>
      </c>
      <c r="I187" s="101">
        <f t="shared" si="4"/>
        <v>4.3263288009888649E-2</v>
      </c>
    </row>
    <row r="188" spans="1:9" x14ac:dyDescent="0.3">
      <c r="A188" s="100" t="s">
        <v>23</v>
      </c>
      <c r="B188" s="100" t="s">
        <v>11</v>
      </c>
      <c r="C188" s="100" t="s">
        <v>27</v>
      </c>
      <c r="D188" s="102">
        <v>45900</v>
      </c>
      <c r="E188" s="103">
        <v>0.84199999999999997</v>
      </c>
      <c r="F188" s="100">
        <v>0</v>
      </c>
      <c r="G188" s="100" t="s">
        <v>17</v>
      </c>
      <c r="H188" s="103">
        <v>0.7</v>
      </c>
      <c r="I188" s="101">
        <f t="shared" si="4"/>
        <v>-2.3696682464455E-3</v>
      </c>
    </row>
    <row r="189" spans="1:9" x14ac:dyDescent="0.3">
      <c r="A189" s="100" t="s">
        <v>23</v>
      </c>
      <c r="B189" s="100" t="s">
        <v>11</v>
      </c>
      <c r="C189" s="100" t="s">
        <v>27</v>
      </c>
      <c r="D189" s="102">
        <v>45930</v>
      </c>
      <c r="E189" s="103">
        <v>0.84499999999999997</v>
      </c>
      <c r="F189" s="100">
        <v>0</v>
      </c>
      <c r="G189" s="100" t="s">
        <v>17</v>
      </c>
      <c r="H189" s="103">
        <v>0.7</v>
      </c>
      <c r="I189" s="101">
        <f t="shared" si="4"/>
        <v>3.5629453681710246E-3</v>
      </c>
    </row>
    <row r="190" spans="1:9" x14ac:dyDescent="0.3">
      <c r="A190" s="100" t="s">
        <v>23</v>
      </c>
      <c r="B190" s="100" t="s">
        <v>11</v>
      </c>
      <c r="C190" s="100" t="s">
        <v>27</v>
      </c>
      <c r="D190" s="102">
        <v>45961</v>
      </c>
      <c r="E190" s="103">
        <v>0.80500000000000005</v>
      </c>
      <c r="F190" s="100">
        <v>0</v>
      </c>
      <c r="G190" s="100" t="s">
        <v>17</v>
      </c>
      <c r="H190" s="103">
        <v>0.7</v>
      </c>
      <c r="I190" s="101">
        <f t="shared" si="4"/>
        <v>-4.7337278106508784E-2</v>
      </c>
    </row>
    <row r="191" spans="1:9" x14ac:dyDescent="0.3">
      <c r="A191" s="100" t="s">
        <v>23</v>
      </c>
      <c r="B191" s="100" t="s">
        <v>11</v>
      </c>
      <c r="C191" s="100" t="s">
        <v>27</v>
      </c>
      <c r="D191" s="102">
        <v>45991</v>
      </c>
      <c r="E191" s="103">
        <v>0.82099999999999995</v>
      </c>
      <c r="F191" s="100">
        <v>0</v>
      </c>
      <c r="G191" s="100" t="s">
        <v>17</v>
      </c>
      <c r="H191" s="103">
        <v>0.7</v>
      </c>
      <c r="I191" s="101">
        <f t="shared" si="4"/>
        <v>1.9875776397515407E-2</v>
      </c>
    </row>
    <row r="192" spans="1:9" x14ac:dyDescent="0.3">
      <c r="A192" s="100" t="s">
        <v>10</v>
      </c>
      <c r="B192" s="100" t="s">
        <v>28</v>
      </c>
      <c r="C192" s="100" t="s">
        <v>12</v>
      </c>
      <c r="D192" s="102">
        <v>45535</v>
      </c>
      <c r="E192" s="103">
        <v>0.31273953702284218</v>
      </c>
      <c r="F192" s="100">
        <v>0</v>
      </c>
      <c r="G192" s="100" t="s">
        <v>13</v>
      </c>
      <c r="H192" s="103">
        <v>0.27</v>
      </c>
      <c r="I192" s="101" t="str">
        <f t="shared" si="4"/>
        <v/>
      </c>
    </row>
    <row r="193" spans="1:9" x14ac:dyDescent="0.3">
      <c r="A193" s="100" t="s">
        <v>10</v>
      </c>
      <c r="B193" s="100" t="s">
        <v>28</v>
      </c>
      <c r="C193" s="100" t="s">
        <v>12</v>
      </c>
      <c r="D193" s="102">
        <v>45565</v>
      </c>
      <c r="E193" s="103">
        <v>0.31530984204131229</v>
      </c>
      <c r="F193" s="100">
        <v>1</v>
      </c>
      <c r="G193" s="100" t="s">
        <v>13</v>
      </c>
      <c r="H193" s="103">
        <v>0.27</v>
      </c>
      <c r="I193" s="101">
        <f t="shared" si="4"/>
        <v>-8.2186762919022188E-3</v>
      </c>
    </row>
    <row r="194" spans="1:9" x14ac:dyDescent="0.3">
      <c r="A194" s="100" t="s">
        <v>10</v>
      </c>
      <c r="B194" s="100" t="s">
        <v>28</v>
      </c>
      <c r="C194" s="100" t="s">
        <v>12</v>
      </c>
      <c r="D194" s="102">
        <v>45596</v>
      </c>
      <c r="E194" s="103">
        <v>0.31173538740371542</v>
      </c>
      <c r="F194" s="100">
        <v>0</v>
      </c>
      <c r="G194" s="100" t="s">
        <v>13</v>
      </c>
      <c r="H194" s="103">
        <v>0.27</v>
      </c>
      <c r="I194" s="101">
        <f t="shared" si="4"/>
        <v>1.1336324341973883E-2</v>
      </c>
    </row>
    <row r="195" spans="1:9" x14ac:dyDescent="0.3">
      <c r="A195" s="100" t="s">
        <v>10</v>
      </c>
      <c r="B195" s="100" t="s">
        <v>28</v>
      </c>
      <c r="C195" s="100" t="s">
        <v>12</v>
      </c>
      <c r="D195" s="102">
        <v>45626</v>
      </c>
      <c r="E195" s="103">
        <v>0.28353521799999998</v>
      </c>
      <c r="F195" s="100">
        <v>0</v>
      </c>
      <c r="G195" s="100" t="s">
        <v>13</v>
      </c>
      <c r="H195" s="103">
        <v>0.27</v>
      </c>
      <c r="I195" s="101">
        <f t="shared" ref="I195:I258" si="5">IF(OR(B195&lt;&gt;B194,C195&lt;&gt;C194),"",IF(E194=0,"",IF(G195="UP",(E195-E194)/E194,-((E195-E194)/E194))))</f>
        <v>9.0461880630813951E-2</v>
      </c>
    </row>
    <row r="196" spans="1:9" x14ac:dyDescent="0.3">
      <c r="A196" s="100" t="s">
        <v>10</v>
      </c>
      <c r="B196" s="100" t="s">
        <v>28</v>
      </c>
      <c r="C196" s="100" t="s">
        <v>12</v>
      </c>
      <c r="D196" s="102">
        <v>45657</v>
      </c>
      <c r="E196" s="103">
        <v>0.27688211802987728</v>
      </c>
      <c r="F196" s="100">
        <v>0</v>
      </c>
      <c r="G196" s="100" t="s">
        <v>13</v>
      </c>
      <c r="H196" s="103">
        <v>0.27</v>
      </c>
      <c r="I196" s="101">
        <f t="shared" si="5"/>
        <v>2.346480982874833E-2</v>
      </c>
    </row>
    <row r="197" spans="1:9" x14ac:dyDescent="0.3">
      <c r="A197" s="100" t="s">
        <v>10</v>
      </c>
      <c r="B197" s="100" t="s">
        <v>28</v>
      </c>
      <c r="C197" s="100" t="s">
        <v>12</v>
      </c>
      <c r="D197" s="102">
        <v>45688</v>
      </c>
      <c r="E197" s="103">
        <v>0.27228525121555908</v>
      </c>
      <c r="F197" s="100">
        <v>0</v>
      </c>
      <c r="G197" s="100" t="s">
        <v>13</v>
      </c>
      <c r="H197" s="103">
        <v>0.27</v>
      </c>
      <c r="I197" s="101">
        <f t="shared" si="5"/>
        <v>1.6602252420729356E-2</v>
      </c>
    </row>
    <row r="198" spans="1:9" x14ac:dyDescent="0.3">
      <c r="A198" s="100" t="s">
        <v>10</v>
      </c>
      <c r="B198" s="100" t="s">
        <v>28</v>
      </c>
      <c r="C198" s="100" t="s">
        <v>12</v>
      </c>
      <c r="D198" s="102">
        <v>45716</v>
      </c>
      <c r="E198" s="103">
        <v>0.27296742001761082</v>
      </c>
      <c r="F198" s="100">
        <v>1</v>
      </c>
      <c r="G198" s="100" t="s">
        <v>13</v>
      </c>
      <c r="H198" s="103">
        <v>0.27</v>
      </c>
      <c r="I198" s="101">
        <f t="shared" si="5"/>
        <v>-2.5053461361066935E-3</v>
      </c>
    </row>
    <row r="199" spans="1:9" x14ac:dyDescent="0.3">
      <c r="A199" s="100" t="s">
        <v>10</v>
      </c>
      <c r="B199" s="100" t="s">
        <v>28</v>
      </c>
      <c r="C199" s="100" t="s">
        <v>12</v>
      </c>
      <c r="D199" s="102">
        <v>45747</v>
      </c>
      <c r="E199" s="103">
        <v>0.26933101650738489</v>
      </c>
      <c r="F199" s="100">
        <v>0</v>
      </c>
      <c r="G199" s="100" t="s">
        <v>13</v>
      </c>
      <c r="H199" s="103">
        <v>0.27</v>
      </c>
      <c r="I199" s="101">
        <f t="shared" si="5"/>
        <v>1.3321749203591112E-2</v>
      </c>
    </row>
    <row r="200" spans="1:9" x14ac:dyDescent="0.3">
      <c r="A200" s="100" t="s">
        <v>10</v>
      </c>
      <c r="B200" s="100" t="s">
        <v>28</v>
      </c>
      <c r="C200" s="100" t="s">
        <v>12</v>
      </c>
      <c r="D200" s="102">
        <v>45777</v>
      </c>
      <c r="E200" s="103">
        <v>0.27830596369922211</v>
      </c>
      <c r="F200" s="100">
        <v>1</v>
      </c>
      <c r="G200" s="100" t="s">
        <v>13</v>
      </c>
      <c r="H200" s="103">
        <v>0.27</v>
      </c>
      <c r="I200" s="101">
        <f t="shared" si="5"/>
        <v>-3.3323110380014981E-2</v>
      </c>
    </row>
    <row r="201" spans="1:9" x14ac:dyDescent="0.3">
      <c r="A201" s="100" t="s">
        <v>10</v>
      </c>
      <c r="B201" s="100" t="s">
        <v>28</v>
      </c>
      <c r="C201" s="100" t="s">
        <v>12</v>
      </c>
      <c r="D201" s="102">
        <v>45808</v>
      </c>
      <c r="E201" s="103">
        <v>0.27315676449534709</v>
      </c>
      <c r="F201" s="100">
        <v>0</v>
      </c>
      <c r="G201" s="100" t="s">
        <v>13</v>
      </c>
      <c r="H201" s="103">
        <v>0.27</v>
      </c>
      <c r="I201" s="101">
        <f t="shared" si="5"/>
        <v>1.8501936269824222E-2</v>
      </c>
    </row>
    <row r="202" spans="1:9" x14ac:dyDescent="0.3">
      <c r="A202" s="100" t="s">
        <v>10</v>
      </c>
      <c r="B202" s="100" t="s">
        <v>28</v>
      </c>
      <c r="C202" s="100" t="s">
        <v>12</v>
      </c>
      <c r="D202" s="102">
        <v>45838</v>
      </c>
      <c r="E202" s="103">
        <v>0.25626423690205008</v>
      </c>
      <c r="F202" s="100">
        <v>0</v>
      </c>
      <c r="G202" s="100" t="s">
        <v>13</v>
      </c>
      <c r="H202" s="103">
        <v>0.27</v>
      </c>
      <c r="I202" s="101">
        <f t="shared" si="5"/>
        <v>6.1841879056173832E-2</v>
      </c>
    </row>
    <row r="203" spans="1:9" x14ac:dyDescent="0.3">
      <c r="A203" s="100" t="s">
        <v>10</v>
      </c>
      <c r="B203" s="100" t="s">
        <v>28</v>
      </c>
      <c r="C203" s="100" t="s">
        <v>12</v>
      </c>
      <c r="D203" s="102">
        <v>45869</v>
      </c>
      <c r="E203" s="103">
        <v>0.2545608824777259</v>
      </c>
      <c r="F203" s="100">
        <v>0</v>
      </c>
      <c r="G203" s="100" t="s">
        <v>13</v>
      </c>
      <c r="H203" s="103">
        <v>0.27</v>
      </c>
      <c r="I203" s="101">
        <f t="shared" si="5"/>
        <v>6.6468674869183458E-3</v>
      </c>
    </row>
    <row r="204" spans="1:9" x14ac:dyDescent="0.3">
      <c r="A204" s="100" t="s">
        <v>10</v>
      </c>
      <c r="B204" s="100" t="s">
        <v>28</v>
      </c>
      <c r="C204" s="100" t="s">
        <v>12</v>
      </c>
      <c r="D204" s="102">
        <v>45900</v>
      </c>
      <c r="E204" s="103">
        <v>0.25162935675828851</v>
      </c>
      <c r="F204" s="100">
        <v>0</v>
      </c>
      <c r="G204" s="100" t="s">
        <v>13</v>
      </c>
      <c r="H204" s="103">
        <v>0.27</v>
      </c>
      <c r="I204" s="101">
        <f t="shared" si="5"/>
        <v>1.1516010201189877E-2</v>
      </c>
    </row>
    <row r="205" spans="1:9" x14ac:dyDescent="0.3">
      <c r="A205" s="100" t="s">
        <v>10</v>
      </c>
      <c r="B205" s="100" t="s">
        <v>28</v>
      </c>
      <c r="C205" s="100" t="s">
        <v>12</v>
      </c>
      <c r="D205" s="102">
        <v>45930</v>
      </c>
      <c r="E205" s="103">
        <v>0.2522010792388526</v>
      </c>
      <c r="F205" s="100">
        <v>0</v>
      </c>
      <c r="G205" s="100" t="s">
        <v>13</v>
      </c>
      <c r="H205" s="103">
        <v>0.27</v>
      </c>
      <c r="I205" s="101">
        <f t="shared" si="5"/>
        <v>-2.2720817949444328E-3</v>
      </c>
    </row>
    <row r="206" spans="1:9" x14ac:dyDescent="0.3">
      <c r="A206" s="100" t="s">
        <v>10</v>
      </c>
      <c r="B206" s="100" t="s">
        <v>28</v>
      </c>
      <c r="C206" s="100" t="s">
        <v>12</v>
      </c>
      <c r="D206" s="102">
        <v>45961</v>
      </c>
      <c r="E206" s="103">
        <v>0.24580369843527741</v>
      </c>
      <c r="F206" s="100">
        <v>0</v>
      </c>
      <c r="G206" s="100" t="s">
        <v>13</v>
      </c>
      <c r="H206" s="103">
        <v>0.27</v>
      </c>
      <c r="I206" s="101">
        <f t="shared" si="5"/>
        <v>2.5366191226788549E-2</v>
      </c>
    </row>
    <row r="207" spans="1:9" x14ac:dyDescent="0.3">
      <c r="A207" s="100" t="s">
        <v>10</v>
      </c>
      <c r="B207" s="100" t="s">
        <v>28</v>
      </c>
      <c r="C207" s="100" t="s">
        <v>12</v>
      </c>
      <c r="D207" s="102">
        <v>45991</v>
      </c>
      <c r="E207" s="103">
        <v>0.2460215053763441</v>
      </c>
      <c r="F207" s="100">
        <v>0</v>
      </c>
      <c r="G207" s="100" t="s">
        <v>13</v>
      </c>
      <c r="H207" s="103">
        <v>0.27</v>
      </c>
      <c r="I207" s="101">
        <f t="shared" si="5"/>
        <v>-8.8610115491827973E-4</v>
      </c>
    </row>
    <row r="208" spans="1:9" x14ac:dyDescent="0.3">
      <c r="A208" s="100" t="s">
        <v>10</v>
      </c>
      <c r="B208" s="100" t="s">
        <v>28</v>
      </c>
      <c r="C208" s="100" t="s">
        <v>14</v>
      </c>
      <c r="D208" s="102">
        <v>45535</v>
      </c>
      <c r="E208" s="103">
        <v>9.5206611570247929E-2</v>
      </c>
      <c r="F208" s="100">
        <v>1</v>
      </c>
      <c r="G208" s="100" t="s">
        <v>13</v>
      </c>
      <c r="H208" s="103">
        <v>5.3999999999999999E-2</v>
      </c>
      <c r="I208" s="101" t="str">
        <f t="shared" si="5"/>
        <v/>
      </c>
    </row>
    <row r="209" spans="1:9" x14ac:dyDescent="0.3">
      <c r="A209" s="100" t="s">
        <v>10</v>
      </c>
      <c r="B209" s="100" t="s">
        <v>28</v>
      </c>
      <c r="C209" s="100" t="s">
        <v>14</v>
      </c>
      <c r="D209" s="102">
        <v>45565</v>
      </c>
      <c r="E209" s="103">
        <v>9.3853271645736952E-2</v>
      </c>
      <c r="F209" s="100">
        <v>0</v>
      </c>
      <c r="G209" s="100" t="s">
        <v>13</v>
      </c>
      <c r="H209" s="103">
        <v>5.3999999999999999E-2</v>
      </c>
      <c r="I209" s="101">
        <f t="shared" si="5"/>
        <v>1.4214768304325364E-2</v>
      </c>
    </row>
    <row r="210" spans="1:9" x14ac:dyDescent="0.3">
      <c r="A210" s="100" t="s">
        <v>10</v>
      </c>
      <c r="B210" s="100" t="s">
        <v>28</v>
      </c>
      <c r="C210" s="100" t="s">
        <v>14</v>
      </c>
      <c r="D210" s="102">
        <v>45596</v>
      </c>
      <c r="E210" s="103">
        <v>9.49535192563081E-2</v>
      </c>
      <c r="F210" s="100">
        <v>1</v>
      </c>
      <c r="G210" s="100" t="s">
        <v>13</v>
      </c>
      <c r="H210" s="103">
        <v>5.3999999999999999E-2</v>
      </c>
      <c r="I210" s="101">
        <f t="shared" si="5"/>
        <v>-1.1723060808409482E-2</v>
      </c>
    </row>
    <row r="211" spans="1:9" x14ac:dyDescent="0.3">
      <c r="A211" s="100" t="s">
        <v>10</v>
      </c>
      <c r="B211" s="100" t="s">
        <v>28</v>
      </c>
      <c r="C211" s="100" t="s">
        <v>14</v>
      </c>
      <c r="D211" s="102">
        <v>45626</v>
      </c>
      <c r="E211" s="103">
        <v>8.3221925000000002E-2</v>
      </c>
      <c r="F211" s="100">
        <v>0</v>
      </c>
      <c r="G211" s="100" t="s">
        <v>13</v>
      </c>
      <c r="H211" s="103">
        <v>5.3999999999999999E-2</v>
      </c>
      <c r="I211" s="101">
        <f t="shared" si="5"/>
        <v>0.1235509157342657</v>
      </c>
    </row>
    <row r="212" spans="1:9" x14ac:dyDescent="0.3">
      <c r="A212" s="100" t="s">
        <v>10</v>
      </c>
      <c r="B212" s="100" t="s">
        <v>28</v>
      </c>
      <c r="C212" s="100" t="s">
        <v>14</v>
      </c>
      <c r="D212" s="102">
        <v>45657</v>
      </c>
      <c r="E212" s="103">
        <v>8.3941605839416053E-2</v>
      </c>
      <c r="F212" s="100">
        <v>1</v>
      </c>
      <c r="G212" s="100" t="s">
        <v>13</v>
      </c>
      <c r="H212" s="103">
        <v>5.3999999999999999E-2</v>
      </c>
      <c r="I212" s="101">
        <f t="shared" si="5"/>
        <v>-8.6477312248671358E-3</v>
      </c>
    </row>
    <row r="213" spans="1:9" x14ac:dyDescent="0.3">
      <c r="A213" s="100" t="s">
        <v>10</v>
      </c>
      <c r="B213" s="100" t="s">
        <v>28</v>
      </c>
      <c r="C213" s="100" t="s">
        <v>14</v>
      </c>
      <c r="D213" s="102">
        <v>45688</v>
      </c>
      <c r="E213" s="103">
        <v>8.7471226570207172E-2</v>
      </c>
      <c r="F213" s="100">
        <v>0</v>
      </c>
      <c r="G213" s="100" t="s">
        <v>13</v>
      </c>
      <c r="H213" s="103">
        <v>5.3999999999999999E-2</v>
      </c>
      <c r="I213" s="101">
        <f t="shared" si="5"/>
        <v>-4.2048525227685513E-2</v>
      </c>
    </row>
    <row r="214" spans="1:9" x14ac:dyDescent="0.3">
      <c r="A214" s="100" t="s">
        <v>10</v>
      </c>
      <c r="B214" s="100" t="s">
        <v>28</v>
      </c>
      <c r="C214" s="100" t="s">
        <v>14</v>
      </c>
      <c r="D214" s="102">
        <v>45716</v>
      </c>
      <c r="E214" s="103">
        <v>8.8989931796037675E-2</v>
      </c>
      <c r="F214" s="100">
        <v>1</v>
      </c>
      <c r="G214" s="100" t="s">
        <v>13</v>
      </c>
      <c r="H214" s="103">
        <v>5.3999999999999999E-2</v>
      </c>
      <c r="I214" s="101">
        <f t="shared" si="5"/>
        <v>-1.7362340570490818E-2</v>
      </c>
    </row>
    <row r="215" spans="1:9" x14ac:dyDescent="0.3">
      <c r="A215" s="100" t="s">
        <v>10</v>
      </c>
      <c r="B215" s="100" t="s">
        <v>28</v>
      </c>
      <c r="C215" s="100" t="s">
        <v>14</v>
      </c>
      <c r="D215" s="102">
        <v>45747</v>
      </c>
      <c r="E215" s="103">
        <v>8.5209003215434079E-2</v>
      </c>
      <c r="F215" s="100">
        <v>0</v>
      </c>
      <c r="G215" s="100" t="s">
        <v>13</v>
      </c>
      <c r="H215" s="103">
        <v>5.3999999999999999E-2</v>
      </c>
      <c r="I215" s="101">
        <f t="shared" si="5"/>
        <v>4.2487149998826537E-2</v>
      </c>
    </row>
    <row r="216" spans="1:9" x14ac:dyDescent="0.3">
      <c r="A216" s="100" t="s">
        <v>10</v>
      </c>
      <c r="B216" s="100" t="s">
        <v>28</v>
      </c>
      <c r="C216" s="100" t="s">
        <v>14</v>
      </c>
      <c r="D216" s="102">
        <v>45777</v>
      </c>
      <c r="E216" s="103">
        <v>7.814526588845655E-2</v>
      </c>
      <c r="F216" s="100">
        <v>0</v>
      </c>
      <c r="G216" s="100" t="s">
        <v>13</v>
      </c>
      <c r="H216" s="103">
        <v>5.3999999999999999E-2</v>
      </c>
      <c r="I216" s="101">
        <f t="shared" si="5"/>
        <v>8.2898955044906103E-2</v>
      </c>
    </row>
    <row r="217" spans="1:9" x14ac:dyDescent="0.3">
      <c r="A217" s="100" t="s">
        <v>10</v>
      </c>
      <c r="B217" s="100" t="s">
        <v>28</v>
      </c>
      <c r="C217" s="100" t="s">
        <v>14</v>
      </c>
      <c r="D217" s="102">
        <v>45808</v>
      </c>
      <c r="E217" s="103">
        <v>7.9740680713128037E-2</v>
      </c>
      <c r="F217" s="100">
        <v>0</v>
      </c>
      <c r="G217" s="100" t="s">
        <v>13</v>
      </c>
      <c r="H217" s="103">
        <v>5.3999999999999999E-2</v>
      </c>
      <c r="I217" s="101">
        <f t="shared" si="5"/>
        <v>-2.0416013772974549E-2</v>
      </c>
    </row>
    <row r="218" spans="1:9" x14ac:dyDescent="0.3">
      <c r="A218" s="100" t="s">
        <v>10</v>
      </c>
      <c r="B218" s="100" t="s">
        <v>28</v>
      </c>
      <c r="C218" s="100" t="s">
        <v>14</v>
      </c>
      <c r="D218" s="102">
        <v>45838</v>
      </c>
      <c r="E218" s="103">
        <v>6.5132858068697341E-2</v>
      </c>
      <c r="F218" s="100">
        <v>0</v>
      </c>
      <c r="G218" s="100" t="s">
        <v>13</v>
      </c>
      <c r="H218" s="103">
        <v>5.3999999999999999E-2</v>
      </c>
      <c r="I218" s="101">
        <f t="shared" si="5"/>
        <v>0.1831915969840191</v>
      </c>
    </row>
    <row r="219" spans="1:9" x14ac:dyDescent="0.3">
      <c r="A219" s="100" t="s">
        <v>10</v>
      </c>
      <c r="B219" s="100" t="s">
        <v>28</v>
      </c>
      <c r="C219" s="100" t="s">
        <v>14</v>
      </c>
      <c r="D219" s="102">
        <v>45869</v>
      </c>
      <c r="E219" s="103">
        <v>6.8844060198527054E-2</v>
      </c>
      <c r="F219" s="100">
        <v>0</v>
      </c>
      <c r="G219" s="100" t="s">
        <v>13</v>
      </c>
      <c r="H219" s="103">
        <v>5.3999999999999999E-2</v>
      </c>
      <c r="I219" s="101">
        <f t="shared" si="5"/>
        <v>-5.6978954092808433E-2</v>
      </c>
    </row>
    <row r="220" spans="1:9" x14ac:dyDescent="0.3">
      <c r="A220" s="100" t="s">
        <v>10</v>
      </c>
      <c r="B220" s="100" t="s">
        <v>28</v>
      </c>
      <c r="C220" s="100" t="s">
        <v>14</v>
      </c>
      <c r="D220" s="102">
        <v>45900</v>
      </c>
      <c r="E220" s="103">
        <v>6.7350865939704935E-2</v>
      </c>
      <c r="F220" s="100">
        <v>0</v>
      </c>
      <c r="G220" s="100" t="s">
        <v>13</v>
      </c>
      <c r="H220" s="103">
        <v>5.3999999999999999E-2</v>
      </c>
      <c r="I220" s="101">
        <f t="shared" si="5"/>
        <v>2.1689514745588279E-2</v>
      </c>
    </row>
    <row r="221" spans="1:9" x14ac:dyDescent="0.3">
      <c r="A221" s="100" t="s">
        <v>10</v>
      </c>
      <c r="B221" s="100" t="s">
        <v>28</v>
      </c>
      <c r="C221" s="100" t="s">
        <v>14</v>
      </c>
      <c r="D221" s="102">
        <v>45930</v>
      </c>
      <c r="E221" s="103">
        <v>6.0038734667527439E-2</v>
      </c>
      <c r="F221" s="100">
        <v>0</v>
      </c>
      <c r="G221" s="100" t="s">
        <v>13</v>
      </c>
      <c r="H221" s="103">
        <v>5.3999999999999999E-2</v>
      </c>
      <c r="I221" s="101">
        <f t="shared" si="5"/>
        <v>0.10856773955547348</v>
      </c>
    </row>
    <row r="222" spans="1:9" x14ac:dyDescent="0.3">
      <c r="A222" s="100" t="s">
        <v>10</v>
      </c>
      <c r="B222" s="100" t="s">
        <v>28</v>
      </c>
      <c r="C222" s="100" t="s">
        <v>14</v>
      </c>
      <c r="D222" s="102">
        <v>45961</v>
      </c>
      <c r="E222" s="103">
        <v>5.8538163001293657E-2</v>
      </c>
      <c r="F222" s="100">
        <v>0</v>
      </c>
      <c r="G222" s="100" t="s">
        <v>13</v>
      </c>
      <c r="H222" s="103">
        <v>5.3999999999999999E-2</v>
      </c>
      <c r="I222" s="101">
        <f t="shared" si="5"/>
        <v>2.4993392591356228E-2</v>
      </c>
    </row>
    <row r="223" spans="1:9" x14ac:dyDescent="0.3">
      <c r="A223" s="100" t="s">
        <v>10</v>
      </c>
      <c r="B223" s="100" t="s">
        <v>28</v>
      </c>
      <c r="C223" s="100" t="s">
        <v>14</v>
      </c>
      <c r="D223" s="102">
        <v>45991</v>
      </c>
      <c r="E223" s="103">
        <v>4.9951028403525957E-2</v>
      </c>
      <c r="F223" s="100">
        <v>0</v>
      </c>
      <c r="G223" s="100" t="s">
        <v>13</v>
      </c>
      <c r="H223" s="103">
        <v>5.3999999999999999E-2</v>
      </c>
      <c r="I223" s="101">
        <f t="shared" si="5"/>
        <v>0.14669292915081619</v>
      </c>
    </row>
    <row r="224" spans="1:9" x14ac:dyDescent="0.3">
      <c r="A224" s="100" t="s">
        <v>10</v>
      </c>
      <c r="B224" s="100" t="s">
        <v>28</v>
      </c>
      <c r="C224" s="100" t="s">
        <v>15</v>
      </c>
      <c r="D224" s="102">
        <v>45535</v>
      </c>
      <c r="E224" s="103">
        <v>0.10130111524163569</v>
      </c>
      <c r="F224" s="100">
        <v>0</v>
      </c>
      <c r="G224" s="100" t="s">
        <v>13</v>
      </c>
      <c r="H224" s="103">
        <v>6.6000000000000003E-2</v>
      </c>
      <c r="I224" s="101" t="str">
        <f t="shared" si="5"/>
        <v/>
      </c>
    </row>
    <row r="225" spans="1:9" x14ac:dyDescent="0.3">
      <c r="A225" s="100" t="s">
        <v>10</v>
      </c>
      <c r="B225" s="100" t="s">
        <v>28</v>
      </c>
      <c r="C225" s="100" t="s">
        <v>15</v>
      </c>
      <c r="D225" s="102">
        <v>45565</v>
      </c>
      <c r="E225" s="103">
        <v>9.1417910447761194E-2</v>
      </c>
      <c r="F225" s="100">
        <v>1</v>
      </c>
      <c r="G225" s="100" t="s">
        <v>13</v>
      </c>
      <c r="H225" s="103">
        <v>6.6000000000000003E-2</v>
      </c>
      <c r="I225" s="101">
        <f t="shared" si="5"/>
        <v>9.7562645488155617E-2</v>
      </c>
    </row>
    <row r="226" spans="1:9" x14ac:dyDescent="0.3">
      <c r="A226" s="100" t="s">
        <v>10</v>
      </c>
      <c r="B226" s="100" t="s">
        <v>28</v>
      </c>
      <c r="C226" s="100" t="s">
        <v>15</v>
      </c>
      <c r="D226" s="102">
        <v>45596</v>
      </c>
      <c r="E226" s="103">
        <v>0.10925925925925931</v>
      </c>
      <c r="F226" s="100">
        <v>1</v>
      </c>
      <c r="G226" s="100" t="s">
        <v>13</v>
      </c>
      <c r="H226" s="103">
        <v>6.6000000000000003E-2</v>
      </c>
      <c r="I226" s="101">
        <f t="shared" si="5"/>
        <v>-0.19516250944822425</v>
      </c>
    </row>
    <row r="227" spans="1:9" x14ac:dyDescent="0.3">
      <c r="A227" s="100" t="s">
        <v>10</v>
      </c>
      <c r="B227" s="100" t="s">
        <v>28</v>
      </c>
      <c r="C227" s="100" t="s">
        <v>15</v>
      </c>
      <c r="D227" s="102">
        <v>45626</v>
      </c>
      <c r="E227" s="103">
        <v>9.5595127000000002E-2</v>
      </c>
      <c r="F227" s="100">
        <v>0</v>
      </c>
      <c r="G227" s="100" t="s">
        <v>13</v>
      </c>
      <c r="H227" s="103">
        <v>6.6000000000000003E-2</v>
      </c>
      <c r="I227" s="101">
        <f t="shared" si="5"/>
        <v>0.12506154949152579</v>
      </c>
    </row>
    <row r="228" spans="1:9" x14ac:dyDescent="0.3">
      <c r="A228" s="100" t="s">
        <v>10</v>
      </c>
      <c r="B228" s="100" t="s">
        <v>28</v>
      </c>
      <c r="C228" s="100" t="s">
        <v>15</v>
      </c>
      <c r="D228" s="102">
        <v>45657</v>
      </c>
      <c r="E228" s="103">
        <v>9.5238095238095233E-2</v>
      </c>
      <c r="F228" s="100">
        <v>0</v>
      </c>
      <c r="G228" s="100" t="s">
        <v>13</v>
      </c>
      <c r="H228" s="103">
        <v>6.6000000000000003E-2</v>
      </c>
      <c r="I228" s="101">
        <f t="shared" si="5"/>
        <v>3.7348322357976379E-3</v>
      </c>
    </row>
    <row r="229" spans="1:9" x14ac:dyDescent="0.3">
      <c r="A229" s="100" t="s">
        <v>10</v>
      </c>
      <c r="B229" s="100" t="s">
        <v>28</v>
      </c>
      <c r="C229" s="100" t="s">
        <v>15</v>
      </c>
      <c r="D229" s="102">
        <v>45688</v>
      </c>
      <c r="E229" s="103">
        <v>9.4619666048237475E-2</v>
      </c>
      <c r="F229" s="100">
        <v>0</v>
      </c>
      <c r="G229" s="100" t="s">
        <v>13</v>
      </c>
      <c r="H229" s="103">
        <v>6.6000000000000003E-2</v>
      </c>
      <c r="I229" s="101">
        <f t="shared" si="5"/>
        <v>6.493506493506461E-3</v>
      </c>
    </row>
    <row r="230" spans="1:9" x14ac:dyDescent="0.3">
      <c r="A230" s="100" t="s">
        <v>10</v>
      </c>
      <c r="B230" s="100" t="s">
        <v>28</v>
      </c>
      <c r="C230" s="100" t="s">
        <v>15</v>
      </c>
      <c r="D230" s="102">
        <v>45716</v>
      </c>
      <c r="E230" s="103">
        <v>0.1008174386920981</v>
      </c>
      <c r="F230" s="100">
        <v>1</v>
      </c>
      <c r="G230" s="100" t="s">
        <v>13</v>
      </c>
      <c r="H230" s="103">
        <v>6.6000000000000003E-2</v>
      </c>
      <c r="I230" s="101">
        <f t="shared" si="5"/>
        <v>-6.5501950098840689E-2</v>
      </c>
    </row>
    <row r="231" spans="1:9" x14ac:dyDescent="0.3">
      <c r="A231" s="100" t="s">
        <v>10</v>
      </c>
      <c r="B231" s="100" t="s">
        <v>28</v>
      </c>
      <c r="C231" s="100" t="s">
        <v>15</v>
      </c>
      <c r="D231" s="102">
        <v>45747</v>
      </c>
      <c r="E231" s="103">
        <v>9.329710144927536E-2</v>
      </c>
      <c r="F231" s="100">
        <v>0</v>
      </c>
      <c r="G231" s="100" t="s">
        <v>13</v>
      </c>
      <c r="H231" s="103">
        <v>6.6000000000000003E-2</v>
      </c>
      <c r="I231" s="101">
        <f t="shared" si="5"/>
        <v>7.4593615354484971E-2</v>
      </c>
    </row>
    <row r="232" spans="1:9" x14ac:dyDescent="0.3">
      <c r="A232" s="100" t="s">
        <v>10</v>
      </c>
      <c r="B232" s="100" t="s">
        <v>28</v>
      </c>
      <c r="C232" s="100" t="s">
        <v>15</v>
      </c>
      <c r="D232" s="102">
        <v>45777</v>
      </c>
      <c r="E232" s="103">
        <v>8.4095063985374766E-2</v>
      </c>
      <c r="F232" s="100">
        <v>0</v>
      </c>
      <c r="G232" s="100" t="s">
        <v>13</v>
      </c>
      <c r="H232" s="103">
        <v>6.6000000000000003E-2</v>
      </c>
      <c r="I232" s="101">
        <f t="shared" si="5"/>
        <v>9.8631547185885987E-2</v>
      </c>
    </row>
    <row r="233" spans="1:9" x14ac:dyDescent="0.3">
      <c r="A233" s="100" t="s">
        <v>10</v>
      </c>
      <c r="B233" s="100" t="s">
        <v>28</v>
      </c>
      <c r="C233" s="100" t="s">
        <v>15</v>
      </c>
      <c r="D233" s="102">
        <v>45808</v>
      </c>
      <c r="E233" s="103">
        <v>8.356290174471992E-2</v>
      </c>
      <c r="F233" s="100">
        <v>0</v>
      </c>
      <c r="G233" s="100" t="s">
        <v>13</v>
      </c>
      <c r="H233" s="103">
        <v>6.6000000000000003E-2</v>
      </c>
      <c r="I233" s="101">
        <f t="shared" si="5"/>
        <v>6.3281031660478429E-3</v>
      </c>
    </row>
    <row r="234" spans="1:9" x14ac:dyDescent="0.3">
      <c r="A234" s="100" t="s">
        <v>10</v>
      </c>
      <c r="B234" s="100" t="s">
        <v>28</v>
      </c>
      <c r="C234" s="100" t="s">
        <v>15</v>
      </c>
      <c r="D234" s="102">
        <v>45838</v>
      </c>
      <c r="E234" s="103">
        <v>7.6853526220614823E-2</v>
      </c>
      <c r="F234" s="100">
        <v>0</v>
      </c>
      <c r="G234" s="100" t="s">
        <v>13</v>
      </c>
      <c r="H234" s="103">
        <v>6.6000000000000003E-2</v>
      </c>
      <c r="I234" s="101">
        <f t="shared" si="5"/>
        <v>8.0291318085169788E-2</v>
      </c>
    </row>
    <row r="235" spans="1:9" x14ac:dyDescent="0.3">
      <c r="A235" s="100" t="s">
        <v>10</v>
      </c>
      <c r="B235" s="100" t="s">
        <v>28</v>
      </c>
      <c r="C235" s="100" t="s">
        <v>15</v>
      </c>
      <c r="D235" s="102">
        <v>45869</v>
      </c>
      <c r="E235" s="103">
        <v>8.3848190644307152E-2</v>
      </c>
      <c r="F235" s="100">
        <v>1</v>
      </c>
      <c r="G235" s="100" t="s">
        <v>13</v>
      </c>
      <c r="H235" s="103">
        <v>6.6000000000000003E-2</v>
      </c>
      <c r="I235" s="101">
        <f t="shared" si="5"/>
        <v>-9.1012927677690786E-2</v>
      </c>
    </row>
    <row r="236" spans="1:9" x14ac:dyDescent="0.3">
      <c r="A236" s="100" t="s">
        <v>10</v>
      </c>
      <c r="B236" s="100" t="s">
        <v>28</v>
      </c>
      <c r="C236" s="100" t="s">
        <v>15</v>
      </c>
      <c r="D236" s="102">
        <v>45900</v>
      </c>
      <c r="E236" s="103">
        <v>9.2657342657342656E-2</v>
      </c>
      <c r="F236" s="100">
        <v>0</v>
      </c>
      <c r="G236" s="100" t="s">
        <v>13</v>
      </c>
      <c r="H236" s="103">
        <v>6.6000000000000003E-2</v>
      </c>
      <c r="I236" s="101">
        <f t="shared" si="5"/>
        <v>-0.10506072874493921</v>
      </c>
    </row>
    <row r="237" spans="1:9" x14ac:dyDescent="0.3">
      <c r="A237" s="100" t="s">
        <v>10</v>
      </c>
      <c r="B237" s="100" t="s">
        <v>28</v>
      </c>
      <c r="C237" s="100" t="s">
        <v>15</v>
      </c>
      <c r="D237" s="102">
        <v>45930</v>
      </c>
      <c r="E237" s="103">
        <v>7.5287865367581933E-2</v>
      </c>
      <c r="F237" s="100">
        <v>0</v>
      </c>
      <c r="G237" s="100" t="s">
        <v>13</v>
      </c>
      <c r="H237" s="103">
        <v>6.6000000000000003E-2</v>
      </c>
      <c r="I237" s="101">
        <f t="shared" si="5"/>
        <v>0.18745926433477611</v>
      </c>
    </row>
    <row r="238" spans="1:9" x14ac:dyDescent="0.3">
      <c r="A238" s="100" t="s">
        <v>10</v>
      </c>
      <c r="B238" s="100" t="s">
        <v>28</v>
      </c>
      <c r="C238" s="100" t="s">
        <v>15</v>
      </c>
      <c r="D238" s="102">
        <v>45961</v>
      </c>
      <c r="E238" s="103">
        <v>6.8688670829616411E-2</v>
      </c>
      <c r="F238" s="100">
        <v>0</v>
      </c>
      <c r="G238" s="100" t="s">
        <v>13</v>
      </c>
      <c r="H238" s="103">
        <v>6.6000000000000003E-2</v>
      </c>
      <c r="I238" s="101">
        <f t="shared" si="5"/>
        <v>8.7652830980742044E-2</v>
      </c>
    </row>
    <row r="239" spans="1:9" x14ac:dyDescent="0.3">
      <c r="A239" s="100" t="s">
        <v>10</v>
      </c>
      <c r="B239" s="100" t="s">
        <v>28</v>
      </c>
      <c r="C239" s="100" t="s">
        <v>15</v>
      </c>
      <c r="D239" s="102">
        <v>45991</v>
      </c>
      <c r="E239" s="103">
        <v>5.7657657657657659E-2</v>
      </c>
      <c r="F239" s="100">
        <v>0</v>
      </c>
      <c r="G239" s="100" t="s">
        <v>13</v>
      </c>
      <c r="H239" s="103">
        <v>6.6000000000000003E-2</v>
      </c>
      <c r="I239" s="101">
        <f t="shared" si="5"/>
        <v>0.16059436059436055</v>
      </c>
    </row>
    <row r="240" spans="1:9" x14ac:dyDescent="0.3">
      <c r="A240" s="100" t="s">
        <v>10</v>
      </c>
      <c r="B240" s="100" t="s">
        <v>28</v>
      </c>
      <c r="C240" s="100" t="s">
        <v>16</v>
      </c>
      <c r="D240" s="102">
        <v>45535</v>
      </c>
      <c r="E240" s="103">
        <v>0.15573770491803279</v>
      </c>
      <c r="F240" s="100">
        <v>0</v>
      </c>
      <c r="G240" s="100" t="s">
        <v>17</v>
      </c>
      <c r="H240" s="103">
        <v>0.16400000000000001</v>
      </c>
      <c r="I240" s="101" t="str">
        <f t="shared" si="5"/>
        <v/>
      </c>
    </row>
    <row r="241" spans="1:9" x14ac:dyDescent="0.3">
      <c r="A241" s="100" t="s">
        <v>10</v>
      </c>
      <c r="B241" s="100" t="s">
        <v>28</v>
      </c>
      <c r="C241" s="100" t="s">
        <v>16</v>
      </c>
      <c r="D241" s="102">
        <v>45565</v>
      </c>
      <c r="E241" s="103">
        <v>0.14399999999999999</v>
      </c>
      <c r="F241" s="100">
        <v>0</v>
      </c>
      <c r="G241" s="100" t="s">
        <v>17</v>
      </c>
      <c r="H241" s="103">
        <v>0.16400000000000001</v>
      </c>
      <c r="I241" s="101">
        <f t="shared" si="5"/>
        <v>-7.5368421052631682E-2</v>
      </c>
    </row>
    <row r="242" spans="1:9" x14ac:dyDescent="0.3">
      <c r="A242" s="100" t="s">
        <v>10</v>
      </c>
      <c r="B242" s="100" t="s">
        <v>28</v>
      </c>
      <c r="C242" s="100" t="s">
        <v>16</v>
      </c>
      <c r="D242" s="102">
        <v>45596</v>
      </c>
      <c r="E242" s="103">
        <v>0.14399999999999999</v>
      </c>
      <c r="F242" s="100">
        <v>0</v>
      </c>
      <c r="G242" s="100" t="s">
        <v>17</v>
      </c>
      <c r="H242" s="103">
        <v>0.16400000000000001</v>
      </c>
      <c r="I242" s="101">
        <f t="shared" si="5"/>
        <v>0</v>
      </c>
    </row>
    <row r="243" spans="1:9" x14ac:dyDescent="0.3">
      <c r="A243" s="100" t="s">
        <v>10</v>
      </c>
      <c r="B243" s="100" t="s">
        <v>28</v>
      </c>
      <c r="C243" s="100" t="s">
        <v>16</v>
      </c>
      <c r="D243" s="102">
        <v>45626</v>
      </c>
      <c r="E243" s="103">
        <v>0.133858268</v>
      </c>
      <c r="F243" s="100">
        <v>0</v>
      </c>
      <c r="G243" s="100" t="s">
        <v>17</v>
      </c>
      <c r="H243" s="103">
        <v>0.16400000000000001</v>
      </c>
      <c r="I243" s="101">
        <f t="shared" si="5"/>
        <v>-7.0428694444444356E-2</v>
      </c>
    </row>
    <row r="244" spans="1:9" x14ac:dyDescent="0.3">
      <c r="A244" s="100" t="s">
        <v>10</v>
      </c>
      <c r="B244" s="100" t="s">
        <v>28</v>
      </c>
      <c r="C244" s="100" t="s">
        <v>16</v>
      </c>
      <c r="D244" s="102">
        <v>45657</v>
      </c>
      <c r="E244" s="103">
        <v>0.13178294573643409</v>
      </c>
      <c r="F244" s="100">
        <v>0</v>
      </c>
      <c r="G244" s="100" t="s">
        <v>17</v>
      </c>
      <c r="H244" s="103">
        <v>0.16400000000000001</v>
      </c>
      <c r="I244" s="101">
        <f t="shared" si="5"/>
        <v>-1.55038780538077E-2</v>
      </c>
    </row>
    <row r="245" spans="1:9" x14ac:dyDescent="0.3">
      <c r="A245" s="100" t="s">
        <v>10</v>
      </c>
      <c r="B245" s="100" t="s">
        <v>28</v>
      </c>
      <c r="C245" s="100" t="s">
        <v>16</v>
      </c>
      <c r="D245" s="102">
        <v>45688</v>
      </c>
      <c r="E245" s="103">
        <v>0.1328125</v>
      </c>
      <c r="F245" s="100">
        <v>0</v>
      </c>
      <c r="G245" s="100" t="s">
        <v>17</v>
      </c>
      <c r="H245" s="103">
        <v>0.16400000000000001</v>
      </c>
      <c r="I245" s="101">
        <f t="shared" si="5"/>
        <v>7.8125000000001197E-3</v>
      </c>
    </row>
    <row r="246" spans="1:9" x14ac:dyDescent="0.3">
      <c r="A246" s="100" t="s">
        <v>10</v>
      </c>
      <c r="B246" s="100" t="s">
        <v>28</v>
      </c>
      <c r="C246" s="100" t="s">
        <v>16</v>
      </c>
      <c r="D246" s="102">
        <v>45716</v>
      </c>
      <c r="E246" s="103">
        <v>0.1328125</v>
      </c>
      <c r="F246" s="100">
        <v>1</v>
      </c>
      <c r="G246" s="100" t="s">
        <v>17</v>
      </c>
      <c r="H246" s="103">
        <v>0.16400000000000001</v>
      </c>
      <c r="I246" s="101">
        <f t="shared" si="5"/>
        <v>0</v>
      </c>
    </row>
    <row r="247" spans="1:9" x14ac:dyDescent="0.3">
      <c r="A247" s="100" t="s">
        <v>10</v>
      </c>
      <c r="B247" s="100" t="s">
        <v>28</v>
      </c>
      <c r="C247" s="100" t="s">
        <v>16</v>
      </c>
      <c r="D247" s="102">
        <v>45747</v>
      </c>
      <c r="E247" s="103">
        <v>0.14615384615384619</v>
      </c>
      <c r="F247" s="100">
        <v>0</v>
      </c>
      <c r="G247" s="100" t="s">
        <v>17</v>
      </c>
      <c r="H247" s="103">
        <v>0.16400000000000001</v>
      </c>
      <c r="I247" s="101">
        <f t="shared" si="5"/>
        <v>0.10045248868778307</v>
      </c>
    </row>
    <row r="248" spans="1:9" x14ac:dyDescent="0.3">
      <c r="A248" s="100" t="s">
        <v>10</v>
      </c>
      <c r="B248" s="100" t="s">
        <v>28</v>
      </c>
      <c r="C248" s="100" t="s">
        <v>16</v>
      </c>
      <c r="D248" s="102">
        <v>45777</v>
      </c>
      <c r="E248" s="103">
        <v>0.15267175572519079</v>
      </c>
      <c r="F248" s="100">
        <v>1</v>
      </c>
      <c r="G248" s="100" t="s">
        <v>17</v>
      </c>
      <c r="H248" s="103">
        <v>0.16400000000000001</v>
      </c>
      <c r="I248" s="101">
        <f t="shared" si="5"/>
        <v>4.459622338288409E-2</v>
      </c>
    </row>
    <row r="249" spans="1:9" x14ac:dyDescent="0.3">
      <c r="A249" s="100" t="s">
        <v>10</v>
      </c>
      <c r="B249" s="100" t="s">
        <v>28</v>
      </c>
      <c r="C249" s="100" t="s">
        <v>16</v>
      </c>
      <c r="D249" s="102">
        <v>45808</v>
      </c>
      <c r="E249" s="103">
        <v>0.15037593984962411</v>
      </c>
      <c r="F249" s="100">
        <v>0</v>
      </c>
      <c r="G249" s="100" t="s">
        <v>17</v>
      </c>
      <c r="H249" s="103">
        <v>0.16400000000000001</v>
      </c>
      <c r="I249" s="101">
        <f t="shared" si="5"/>
        <v>-1.5037593984961767E-2</v>
      </c>
    </row>
    <row r="250" spans="1:9" x14ac:dyDescent="0.3">
      <c r="A250" s="100" t="s">
        <v>10</v>
      </c>
      <c r="B250" s="100" t="s">
        <v>28</v>
      </c>
      <c r="C250" s="100" t="s">
        <v>16</v>
      </c>
      <c r="D250" s="102">
        <v>45838</v>
      </c>
      <c r="E250" s="103">
        <v>0.15037593984962411</v>
      </c>
      <c r="F250" s="100">
        <v>0</v>
      </c>
      <c r="G250" s="100" t="s">
        <v>17</v>
      </c>
      <c r="H250" s="103">
        <v>0.16400000000000001</v>
      </c>
      <c r="I250" s="101">
        <f t="shared" si="5"/>
        <v>0</v>
      </c>
    </row>
    <row r="251" spans="1:9" x14ac:dyDescent="0.3">
      <c r="A251" s="100" t="s">
        <v>10</v>
      </c>
      <c r="B251" s="100" t="s">
        <v>28</v>
      </c>
      <c r="C251" s="100" t="s">
        <v>16</v>
      </c>
      <c r="D251" s="102">
        <v>45869</v>
      </c>
      <c r="E251" s="103">
        <v>0.1470588235294118</v>
      </c>
      <c r="F251" s="100">
        <v>0</v>
      </c>
      <c r="G251" s="100" t="s">
        <v>17</v>
      </c>
      <c r="H251" s="103">
        <v>0.16400000000000001</v>
      </c>
      <c r="I251" s="101">
        <f t="shared" si="5"/>
        <v>-2.2058823529411853E-2</v>
      </c>
    </row>
    <row r="252" spans="1:9" x14ac:dyDescent="0.3">
      <c r="A252" s="100" t="s">
        <v>10</v>
      </c>
      <c r="B252" s="100" t="s">
        <v>28</v>
      </c>
      <c r="C252" s="100" t="s">
        <v>16</v>
      </c>
      <c r="D252" s="102">
        <v>45900</v>
      </c>
      <c r="E252" s="103">
        <v>0.15328467153284669</v>
      </c>
      <c r="F252" s="100">
        <v>0</v>
      </c>
      <c r="G252" s="100" t="s">
        <v>17</v>
      </c>
      <c r="H252" s="103">
        <v>0.16400000000000001</v>
      </c>
      <c r="I252" s="101">
        <f t="shared" si="5"/>
        <v>4.2335766423357291E-2</v>
      </c>
    </row>
    <row r="253" spans="1:9" x14ac:dyDescent="0.3">
      <c r="A253" s="100" t="s">
        <v>10</v>
      </c>
      <c r="B253" s="100" t="s">
        <v>28</v>
      </c>
      <c r="C253" s="100" t="s">
        <v>16</v>
      </c>
      <c r="D253" s="102">
        <v>45930</v>
      </c>
      <c r="E253" s="103">
        <v>0.16666666666666671</v>
      </c>
      <c r="F253" s="100">
        <v>0</v>
      </c>
      <c r="G253" s="100" t="s">
        <v>17</v>
      </c>
      <c r="H253" s="103">
        <v>0.16400000000000001</v>
      </c>
      <c r="I253" s="101">
        <f t="shared" si="5"/>
        <v>8.7301587301587755E-2</v>
      </c>
    </row>
    <row r="254" spans="1:9" x14ac:dyDescent="0.3">
      <c r="A254" s="100" t="s">
        <v>10</v>
      </c>
      <c r="B254" s="100" t="s">
        <v>28</v>
      </c>
      <c r="C254" s="100" t="s">
        <v>16</v>
      </c>
      <c r="D254" s="102">
        <v>45961</v>
      </c>
      <c r="E254" s="103">
        <v>0.17164179104477609</v>
      </c>
      <c r="F254" s="100">
        <v>0</v>
      </c>
      <c r="G254" s="100" t="s">
        <v>17</v>
      </c>
      <c r="H254" s="103">
        <v>0.16400000000000001</v>
      </c>
      <c r="I254" s="101">
        <f t="shared" si="5"/>
        <v>2.9850746268656241E-2</v>
      </c>
    </row>
    <row r="255" spans="1:9" x14ac:dyDescent="0.3">
      <c r="A255" s="100" t="s">
        <v>10</v>
      </c>
      <c r="B255" s="100" t="s">
        <v>28</v>
      </c>
      <c r="C255" s="100" t="s">
        <v>16</v>
      </c>
      <c r="D255" s="102">
        <v>45991</v>
      </c>
      <c r="E255" s="103">
        <v>0.1764705882352941</v>
      </c>
      <c r="F255" s="100">
        <v>0</v>
      </c>
      <c r="G255" s="100" t="s">
        <v>17</v>
      </c>
      <c r="H255" s="103">
        <v>0.16400000000000001</v>
      </c>
      <c r="I255" s="101">
        <f t="shared" si="5"/>
        <v>2.8132992327365824E-2</v>
      </c>
    </row>
    <row r="256" spans="1:9" x14ac:dyDescent="0.3">
      <c r="A256" s="100" t="s">
        <v>10</v>
      </c>
      <c r="B256" s="100" t="s">
        <v>28</v>
      </c>
      <c r="C256" s="100" t="s">
        <v>18</v>
      </c>
      <c r="D256" s="102">
        <v>45535</v>
      </c>
      <c r="E256" s="103">
        <v>0.13626012145748989</v>
      </c>
      <c r="F256" s="100">
        <v>0</v>
      </c>
      <c r="G256" s="100" t="s">
        <v>13</v>
      </c>
      <c r="H256" s="103">
        <v>0.104</v>
      </c>
      <c r="I256" s="101" t="str">
        <f t="shared" si="5"/>
        <v/>
      </c>
    </row>
    <row r="257" spans="1:9" x14ac:dyDescent="0.3">
      <c r="A257" s="100" t="s">
        <v>10</v>
      </c>
      <c r="B257" s="100" t="s">
        <v>28</v>
      </c>
      <c r="C257" s="100" t="s">
        <v>18</v>
      </c>
      <c r="D257" s="102">
        <v>45565</v>
      </c>
      <c r="E257" s="103">
        <v>0.13558255177188899</v>
      </c>
      <c r="F257" s="100">
        <v>0</v>
      </c>
      <c r="G257" s="100" t="s">
        <v>13</v>
      </c>
      <c r="H257" s="103">
        <v>0.104</v>
      </c>
      <c r="I257" s="101">
        <f t="shared" si="5"/>
        <v>4.9726191225529246E-3</v>
      </c>
    </row>
    <row r="258" spans="1:9" x14ac:dyDescent="0.3">
      <c r="A258" s="100" t="s">
        <v>10</v>
      </c>
      <c r="B258" s="100" t="s">
        <v>28</v>
      </c>
      <c r="C258" s="100" t="s">
        <v>18</v>
      </c>
      <c r="D258" s="102">
        <v>45596</v>
      </c>
      <c r="E258" s="103">
        <v>0.13774502116982909</v>
      </c>
      <c r="F258" s="100">
        <v>1</v>
      </c>
      <c r="G258" s="100" t="s">
        <v>13</v>
      </c>
      <c r="H258" s="103">
        <v>0.104</v>
      </c>
      <c r="I258" s="101">
        <f t="shared" si="5"/>
        <v>-1.5949466724732742E-2</v>
      </c>
    </row>
    <row r="259" spans="1:9" x14ac:dyDescent="0.3">
      <c r="A259" s="100" t="s">
        <v>10</v>
      </c>
      <c r="B259" s="100" t="s">
        <v>28</v>
      </c>
      <c r="C259" s="100" t="s">
        <v>18</v>
      </c>
      <c r="D259" s="102">
        <v>45626</v>
      </c>
      <c r="E259" s="103">
        <v>0.130043723</v>
      </c>
      <c r="F259" s="100">
        <v>0</v>
      </c>
      <c r="G259" s="100" t="s">
        <v>13</v>
      </c>
      <c r="H259" s="103">
        <v>0.104</v>
      </c>
      <c r="I259" s="101">
        <f t="shared" ref="I259:I322" si="6">IF(OR(B259&lt;&gt;B258,C259&lt;&gt;C258),"",IF(E258=0,"",IF(G259="UP",(E259-E258)/E258,-((E259-E258)/E258))))</f>
        <v>5.5909811508424528E-2</v>
      </c>
    </row>
    <row r="260" spans="1:9" x14ac:dyDescent="0.3">
      <c r="A260" s="100" t="s">
        <v>10</v>
      </c>
      <c r="B260" s="100" t="s">
        <v>28</v>
      </c>
      <c r="C260" s="100" t="s">
        <v>18</v>
      </c>
      <c r="D260" s="102">
        <v>45657</v>
      </c>
      <c r="E260" s="103">
        <v>0.12861136999068029</v>
      </c>
      <c r="F260" s="100">
        <v>0</v>
      </c>
      <c r="G260" s="100" t="s">
        <v>13</v>
      </c>
      <c r="H260" s="103">
        <v>0.104</v>
      </c>
      <c r="I260" s="101">
        <f t="shared" si="6"/>
        <v>1.1014395591548152E-2</v>
      </c>
    </row>
    <row r="261" spans="1:9" x14ac:dyDescent="0.3">
      <c r="A261" s="100" t="s">
        <v>10</v>
      </c>
      <c r="B261" s="100" t="s">
        <v>28</v>
      </c>
      <c r="C261" s="100" t="s">
        <v>18</v>
      </c>
      <c r="D261" s="102">
        <v>45688</v>
      </c>
      <c r="E261" s="103">
        <v>0.13019287833827889</v>
      </c>
      <c r="F261" s="100">
        <v>0</v>
      </c>
      <c r="G261" s="100" t="s">
        <v>13</v>
      </c>
      <c r="H261" s="103">
        <v>0.104</v>
      </c>
      <c r="I261" s="101">
        <f t="shared" si="6"/>
        <v>-1.2296800412849973E-2</v>
      </c>
    </row>
    <row r="262" spans="1:9" x14ac:dyDescent="0.3">
      <c r="A262" s="100" t="s">
        <v>10</v>
      </c>
      <c r="B262" s="100" t="s">
        <v>28</v>
      </c>
      <c r="C262" s="100" t="s">
        <v>18</v>
      </c>
      <c r="D262" s="102">
        <v>45716</v>
      </c>
      <c r="E262" s="103">
        <v>0.12616822429906541</v>
      </c>
      <c r="F262" s="100">
        <v>0</v>
      </c>
      <c r="G262" s="100" t="s">
        <v>13</v>
      </c>
      <c r="H262" s="103">
        <v>0.104</v>
      </c>
      <c r="I262" s="101">
        <f t="shared" si="6"/>
        <v>3.0913012221423224E-2</v>
      </c>
    </row>
    <row r="263" spans="1:9" x14ac:dyDescent="0.3">
      <c r="A263" s="100" t="s">
        <v>10</v>
      </c>
      <c r="B263" s="100" t="s">
        <v>28</v>
      </c>
      <c r="C263" s="100" t="s">
        <v>18</v>
      </c>
      <c r="D263" s="102">
        <v>45747</v>
      </c>
      <c r="E263" s="103">
        <v>0.1237566363580887</v>
      </c>
      <c r="F263" s="100">
        <v>0</v>
      </c>
      <c r="G263" s="100" t="s">
        <v>13</v>
      </c>
      <c r="H263" s="103">
        <v>0.104</v>
      </c>
      <c r="I263" s="101">
        <f t="shared" si="6"/>
        <v>1.9114067384037599E-2</v>
      </c>
    </row>
    <row r="264" spans="1:9" x14ac:dyDescent="0.3">
      <c r="A264" s="100" t="s">
        <v>10</v>
      </c>
      <c r="B264" s="100" t="s">
        <v>28</v>
      </c>
      <c r="C264" s="100" t="s">
        <v>18</v>
      </c>
      <c r="D264" s="102">
        <v>45777</v>
      </c>
      <c r="E264" s="103">
        <v>0.1226420816400801</v>
      </c>
      <c r="F264" s="100">
        <v>0</v>
      </c>
      <c r="G264" s="100" t="s">
        <v>13</v>
      </c>
      <c r="H264" s="103">
        <v>0.104</v>
      </c>
      <c r="I264" s="101">
        <f t="shared" si="6"/>
        <v>9.0060198047371524E-3</v>
      </c>
    </row>
    <row r="265" spans="1:9" x14ac:dyDescent="0.3">
      <c r="A265" s="100" t="s">
        <v>10</v>
      </c>
      <c r="B265" s="100" t="s">
        <v>28</v>
      </c>
      <c r="C265" s="100" t="s">
        <v>18</v>
      </c>
      <c r="D265" s="102">
        <v>45808</v>
      </c>
      <c r="E265" s="103">
        <v>0.1259120786347464</v>
      </c>
      <c r="F265" s="100">
        <v>0</v>
      </c>
      <c r="G265" s="100" t="s">
        <v>13</v>
      </c>
      <c r="H265" s="103">
        <v>0.104</v>
      </c>
      <c r="I265" s="101">
        <f t="shared" si="6"/>
        <v>-2.6662928017340926E-2</v>
      </c>
    </row>
    <row r="266" spans="1:9" x14ac:dyDescent="0.3">
      <c r="A266" s="100" t="s">
        <v>10</v>
      </c>
      <c r="B266" s="100" t="s">
        <v>28</v>
      </c>
      <c r="C266" s="100" t="s">
        <v>18</v>
      </c>
      <c r="D266" s="102">
        <v>45838</v>
      </c>
      <c r="E266" s="103">
        <v>0.12263981298327641</v>
      </c>
      <c r="F266" s="100">
        <v>0</v>
      </c>
      <c r="G266" s="100" t="s">
        <v>13</v>
      </c>
      <c r="H266" s="103">
        <v>0.104</v>
      </c>
      <c r="I266" s="101">
        <f t="shared" si="6"/>
        <v>2.5988496790386499E-2</v>
      </c>
    </row>
    <row r="267" spans="1:9" x14ac:dyDescent="0.3">
      <c r="A267" s="100" t="s">
        <v>10</v>
      </c>
      <c r="B267" s="100" t="s">
        <v>28</v>
      </c>
      <c r="C267" s="100" t="s">
        <v>18</v>
      </c>
      <c r="D267" s="102">
        <v>45869</v>
      </c>
      <c r="E267" s="103">
        <v>0.1208221626452189</v>
      </c>
      <c r="F267" s="100">
        <v>0</v>
      </c>
      <c r="G267" s="100" t="s">
        <v>13</v>
      </c>
      <c r="H267" s="103">
        <v>0.104</v>
      </c>
      <c r="I267" s="101">
        <f t="shared" si="6"/>
        <v>1.482104623158031E-2</v>
      </c>
    </row>
    <row r="268" spans="1:9" x14ac:dyDescent="0.3">
      <c r="A268" s="100" t="s">
        <v>10</v>
      </c>
      <c r="B268" s="100" t="s">
        <v>28</v>
      </c>
      <c r="C268" s="100" t="s">
        <v>18</v>
      </c>
      <c r="D268" s="102">
        <v>45900</v>
      </c>
      <c r="E268" s="103">
        <v>0.12092113452476221</v>
      </c>
      <c r="F268" s="100">
        <v>0</v>
      </c>
      <c r="G268" s="100" t="s">
        <v>13</v>
      </c>
      <c r="H268" s="103">
        <v>0.104</v>
      </c>
      <c r="I268" s="101">
        <f t="shared" si="6"/>
        <v>-8.1915335213724556E-4</v>
      </c>
    </row>
    <row r="269" spans="1:9" x14ac:dyDescent="0.3">
      <c r="A269" s="100" t="s">
        <v>10</v>
      </c>
      <c r="B269" s="100" t="s">
        <v>28</v>
      </c>
      <c r="C269" s="100" t="s">
        <v>18</v>
      </c>
      <c r="D269" s="102">
        <v>45930</v>
      </c>
      <c r="E269" s="103">
        <v>0.1210119714572153</v>
      </c>
      <c r="F269" s="100">
        <v>0</v>
      </c>
      <c r="G269" s="100" t="s">
        <v>13</v>
      </c>
      <c r="H269" s="103">
        <v>0.104</v>
      </c>
      <c r="I269" s="101">
        <f t="shared" si="6"/>
        <v>-7.5120807301469862E-4</v>
      </c>
    </row>
    <row r="270" spans="1:9" x14ac:dyDescent="0.3">
      <c r="A270" s="100" t="s">
        <v>10</v>
      </c>
      <c r="B270" s="100" t="s">
        <v>28</v>
      </c>
      <c r="C270" s="100" t="s">
        <v>18</v>
      </c>
      <c r="D270" s="102">
        <v>45961</v>
      </c>
      <c r="E270" s="103">
        <v>0.1185888976862849</v>
      </c>
      <c r="F270" s="100">
        <v>0</v>
      </c>
      <c r="G270" s="100" t="s">
        <v>13</v>
      </c>
      <c r="H270" s="103">
        <v>0.104</v>
      </c>
      <c r="I270" s="101">
        <f t="shared" si="6"/>
        <v>2.0023421994964329E-2</v>
      </c>
    </row>
    <row r="271" spans="1:9" x14ac:dyDescent="0.3">
      <c r="A271" s="100" t="s">
        <v>10</v>
      </c>
      <c r="B271" s="100" t="s">
        <v>28</v>
      </c>
      <c r="C271" s="100" t="s">
        <v>18</v>
      </c>
      <c r="D271" s="102">
        <v>45991</v>
      </c>
      <c r="E271" s="103">
        <v>0.1191449597009695</v>
      </c>
      <c r="F271" s="100">
        <v>0</v>
      </c>
      <c r="G271" s="100" t="s">
        <v>13</v>
      </c>
      <c r="H271" s="103">
        <v>0.104</v>
      </c>
      <c r="I271" s="101">
        <f t="shared" si="6"/>
        <v>-4.6889888137387316E-3</v>
      </c>
    </row>
    <row r="272" spans="1:9" x14ac:dyDescent="0.3">
      <c r="A272" s="100" t="s">
        <v>10</v>
      </c>
      <c r="B272" s="100" t="s">
        <v>28</v>
      </c>
      <c r="C272" s="100" t="s">
        <v>19</v>
      </c>
      <c r="D272" s="102">
        <v>45535</v>
      </c>
      <c r="E272" s="103">
        <v>0.14545454545454539</v>
      </c>
      <c r="F272" s="100">
        <v>1</v>
      </c>
      <c r="G272" s="100" t="s">
        <v>13</v>
      </c>
      <c r="H272" s="103">
        <v>0.1</v>
      </c>
      <c r="I272" s="101" t="str">
        <f t="shared" si="6"/>
        <v/>
      </c>
    </row>
    <row r="273" spans="1:9" x14ac:dyDescent="0.3">
      <c r="A273" s="100" t="s">
        <v>10</v>
      </c>
      <c r="B273" s="100" t="s">
        <v>28</v>
      </c>
      <c r="C273" s="100" t="s">
        <v>19</v>
      </c>
      <c r="D273" s="102">
        <v>45565</v>
      </c>
      <c r="E273" s="103">
        <v>0.14309484193011651</v>
      </c>
      <c r="F273" s="100">
        <v>0</v>
      </c>
      <c r="G273" s="100" t="s">
        <v>13</v>
      </c>
      <c r="H273" s="103">
        <v>0.1</v>
      </c>
      <c r="I273" s="101">
        <f t="shared" si="6"/>
        <v>1.6222961730448557E-2</v>
      </c>
    </row>
    <row r="274" spans="1:9" x14ac:dyDescent="0.3">
      <c r="A274" s="100" t="s">
        <v>10</v>
      </c>
      <c r="B274" s="100" t="s">
        <v>28</v>
      </c>
      <c r="C274" s="100" t="s">
        <v>19</v>
      </c>
      <c r="D274" s="102">
        <v>45596</v>
      </c>
      <c r="E274" s="103">
        <v>0.13735343383584589</v>
      </c>
      <c r="F274" s="100">
        <v>0</v>
      </c>
      <c r="G274" s="100" t="s">
        <v>13</v>
      </c>
      <c r="H274" s="103">
        <v>0.1</v>
      </c>
      <c r="I274" s="101">
        <f t="shared" si="6"/>
        <v>4.0123096100658638E-2</v>
      </c>
    </row>
    <row r="275" spans="1:9" x14ac:dyDescent="0.3">
      <c r="A275" s="100" t="s">
        <v>10</v>
      </c>
      <c r="B275" s="100" t="s">
        <v>28</v>
      </c>
      <c r="C275" s="100" t="s">
        <v>19</v>
      </c>
      <c r="D275" s="102">
        <v>45626</v>
      </c>
      <c r="E275" s="103">
        <v>0.12808988800000001</v>
      </c>
      <c r="F275" s="100">
        <v>0</v>
      </c>
      <c r="G275" s="100" t="s">
        <v>13</v>
      </c>
      <c r="H275" s="103">
        <v>0.1</v>
      </c>
      <c r="I275" s="101">
        <f t="shared" si="6"/>
        <v>6.7443132487804744E-2</v>
      </c>
    </row>
    <row r="276" spans="1:9" x14ac:dyDescent="0.3">
      <c r="A276" s="100" t="s">
        <v>10</v>
      </c>
      <c r="B276" s="100" t="s">
        <v>28</v>
      </c>
      <c r="C276" s="100" t="s">
        <v>19</v>
      </c>
      <c r="D276" s="102">
        <v>45657</v>
      </c>
      <c r="E276" s="103">
        <v>0.12841453111799489</v>
      </c>
      <c r="F276" s="100">
        <v>1</v>
      </c>
      <c r="G276" s="100" t="s">
        <v>13</v>
      </c>
      <c r="H276" s="103">
        <v>0.1</v>
      </c>
      <c r="I276" s="101">
        <f t="shared" si="6"/>
        <v>-2.5344945105649336E-3</v>
      </c>
    </row>
    <row r="277" spans="1:9" x14ac:dyDescent="0.3">
      <c r="A277" s="100" t="s">
        <v>10</v>
      </c>
      <c r="B277" s="100" t="s">
        <v>28</v>
      </c>
      <c r="C277" s="100" t="s">
        <v>19</v>
      </c>
      <c r="D277" s="102">
        <v>45688</v>
      </c>
      <c r="E277" s="103">
        <v>0.12870448772226931</v>
      </c>
      <c r="F277" s="100">
        <v>0</v>
      </c>
      <c r="G277" s="100" t="s">
        <v>13</v>
      </c>
      <c r="H277" s="103">
        <v>0.1</v>
      </c>
      <c r="I277" s="101">
        <f t="shared" si="6"/>
        <v>-2.2579734688123951E-3</v>
      </c>
    </row>
    <row r="278" spans="1:9" x14ac:dyDescent="0.3">
      <c r="A278" s="100" t="s">
        <v>10</v>
      </c>
      <c r="B278" s="100" t="s">
        <v>28</v>
      </c>
      <c r="C278" s="100" t="s">
        <v>19</v>
      </c>
      <c r="D278" s="102">
        <v>45716</v>
      </c>
      <c r="E278" s="103">
        <v>0.12545916925685219</v>
      </c>
      <c r="F278" s="100">
        <v>0</v>
      </c>
      <c r="G278" s="100" t="s">
        <v>13</v>
      </c>
      <c r="H278" s="103">
        <v>0.1</v>
      </c>
      <c r="I278" s="101">
        <f t="shared" si="6"/>
        <v>2.5215270445115893E-2</v>
      </c>
    </row>
    <row r="279" spans="1:9" x14ac:dyDescent="0.3">
      <c r="A279" s="100" t="s">
        <v>10</v>
      </c>
      <c r="B279" s="100" t="s">
        <v>28</v>
      </c>
      <c r="C279" s="100" t="s">
        <v>19</v>
      </c>
      <c r="D279" s="102">
        <v>45747</v>
      </c>
      <c r="E279" s="103">
        <v>0.11548259269742429</v>
      </c>
      <c r="F279" s="100">
        <v>0</v>
      </c>
      <c r="G279" s="100" t="s">
        <v>13</v>
      </c>
      <c r="H279" s="103">
        <v>0.1</v>
      </c>
      <c r="I279" s="101">
        <f t="shared" si="6"/>
        <v>7.9520505504088568E-2</v>
      </c>
    </row>
    <row r="280" spans="1:9" x14ac:dyDescent="0.3">
      <c r="A280" s="100" t="s">
        <v>10</v>
      </c>
      <c r="B280" s="100" t="s">
        <v>28</v>
      </c>
      <c r="C280" s="100" t="s">
        <v>19</v>
      </c>
      <c r="D280" s="102">
        <v>45777</v>
      </c>
      <c r="E280" s="103">
        <v>0.1055019852524107</v>
      </c>
      <c r="F280" s="100">
        <v>0</v>
      </c>
      <c r="G280" s="100" t="s">
        <v>13</v>
      </c>
      <c r="H280" s="103">
        <v>0.1</v>
      </c>
      <c r="I280" s="101">
        <f t="shared" si="6"/>
        <v>8.6425211037335872E-2</v>
      </c>
    </row>
    <row r="281" spans="1:9" x14ac:dyDescent="0.3">
      <c r="A281" s="100" t="s">
        <v>10</v>
      </c>
      <c r="B281" s="100" t="s">
        <v>28</v>
      </c>
      <c r="C281" s="100" t="s">
        <v>19</v>
      </c>
      <c r="D281" s="102">
        <v>45808</v>
      </c>
      <c r="E281" s="103">
        <v>0.1087818696883853</v>
      </c>
      <c r="F281" s="100">
        <v>0</v>
      </c>
      <c r="G281" s="100" t="s">
        <v>13</v>
      </c>
      <c r="H281" s="103">
        <v>0.1</v>
      </c>
      <c r="I281" s="101">
        <f t="shared" si="6"/>
        <v>-3.1088366992597951E-2</v>
      </c>
    </row>
    <row r="282" spans="1:9" x14ac:dyDescent="0.3">
      <c r="A282" s="100" t="s">
        <v>10</v>
      </c>
      <c r="B282" s="100" t="s">
        <v>28</v>
      </c>
      <c r="C282" s="100" t="s">
        <v>19</v>
      </c>
      <c r="D282" s="102">
        <v>45838</v>
      </c>
      <c r="E282" s="103">
        <v>8.2317073170731711E-2</v>
      </c>
      <c r="F282" s="100">
        <v>0</v>
      </c>
      <c r="G282" s="100" t="s">
        <v>13</v>
      </c>
      <c r="H282" s="103">
        <v>0.1</v>
      </c>
      <c r="I282" s="101">
        <f t="shared" si="6"/>
        <v>0.24328315548780505</v>
      </c>
    </row>
    <row r="283" spans="1:9" x14ac:dyDescent="0.3">
      <c r="A283" s="100" t="s">
        <v>10</v>
      </c>
      <c r="B283" s="100" t="s">
        <v>28</v>
      </c>
      <c r="C283" s="100" t="s">
        <v>19</v>
      </c>
      <c r="D283" s="102">
        <v>45869</v>
      </c>
      <c r="E283" s="103">
        <v>0.10818933132982721</v>
      </c>
      <c r="F283" s="100">
        <v>0</v>
      </c>
      <c r="G283" s="100" t="s">
        <v>13</v>
      </c>
      <c r="H283" s="103">
        <v>0.1</v>
      </c>
      <c r="I283" s="101">
        <f t="shared" si="6"/>
        <v>-0.31430002504382676</v>
      </c>
    </row>
    <row r="284" spans="1:9" x14ac:dyDescent="0.3">
      <c r="A284" s="100" t="s">
        <v>10</v>
      </c>
      <c r="B284" s="100" t="s">
        <v>28</v>
      </c>
      <c r="C284" s="100" t="s">
        <v>19</v>
      </c>
      <c r="D284" s="102">
        <v>45900</v>
      </c>
      <c r="E284" s="103">
        <v>0.1123778501628664</v>
      </c>
      <c r="F284" s="100">
        <v>0</v>
      </c>
      <c r="G284" s="100" t="s">
        <v>13</v>
      </c>
      <c r="H284" s="103">
        <v>0.1</v>
      </c>
      <c r="I284" s="101">
        <f t="shared" si="6"/>
        <v>-3.8714712269272006E-2</v>
      </c>
    </row>
    <row r="285" spans="1:9" x14ac:dyDescent="0.3">
      <c r="A285" s="100" t="s">
        <v>10</v>
      </c>
      <c r="B285" s="100" t="s">
        <v>28</v>
      </c>
      <c r="C285" s="100" t="s">
        <v>19</v>
      </c>
      <c r="D285" s="102">
        <v>45930</v>
      </c>
      <c r="E285" s="103">
        <v>0.1107742065898524</v>
      </c>
      <c r="F285" s="100">
        <v>0</v>
      </c>
      <c r="G285" s="100" t="s">
        <v>13</v>
      </c>
      <c r="H285" s="103">
        <v>0.1</v>
      </c>
      <c r="I285" s="101">
        <f t="shared" si="6"/>
        <v>1.4270103678704288E-2</v>
      </c>
    </row>
    <row r="286" spans="1:9" x14ac:dyDescent="0.3">
      <c r="A286" s="100" t="s">
        <v>10</v>
      </c>
      <c r="B286" s="100" t="s">
        <v>28</v>
      </c>
      <c r="C286" s="100" t="s">
        <v>19</v>
      </c>
      <c r="D286" s="102">
        <v>45961</v>
      </c>
      <c r="E286" s="103">
        <v>0.1083032490974729</v>
      </c>
      <c r="F286" s="100">
        <v>0</v>
      </c>
      <c r="G286" s="100" t="s">
        <v>13</v>
      </c>
      <c r="H286" s="103">
        <v>0.1</v>
      </c>
      <c r="I286" s="101">
        <f t="shared" si="6"/>
        <v>2.2306253129199691E-2</v>
      </c>
    </row>
    <row r="287" spans="1:9" x14ac:dyDescent="0.3">
      <c r="A287" s="100" t="s">
        <v>10</v>
      </c>
      <c r="B287" s="100" t="s">
        <v>28</v>
      </c>
      <c r="C287" s="100" t="s">
        <v>19</v>
      </c>
      <c r="D287" s="102">
        <v>45991</v>
      </c>
      <c r="E287" s="103">
        <v>0.1090836174052537</v>
      </c>
      <c r="F287" s="100">
        <v>0</v>
      </c>
      <c r="G287" s="100" t="s">
        <v>13</v>
      </c>
      <c r="H287" s="103">
        <v>0.1</v>
      </c>
      <c r="I287" s="101">
        <f t="shared" si="6"/>
        <v>-7.2054007085094289E-3</v>
      </c>
    </row>
    <row r="288" spans="1:9" x14ac:dyDescent="0.3">
      <c r="A288" s="100" t="s">
        <v>20</v>
      </c>
      <c r="B288" s="100" t="s">
        <v>28</v>
      </c>
      <c r="C288" s="100" t="s">
        <v>21</v>
      </c>
      <c r="D288" s="102">
        <v>45535</v>
      </c>
      <c r="E288" s="103">
        <v>0.66300000000000003</v>
      </c>
      <c r="F288" s="100">
        <v>0</v>
      </c>
      <c r="G288" s="100" t="s">
        <v>13</v>
      </c>
      <c r="H288" s="103">
        <v>0.59</v>
      </c>
      <c r="I288" s="101" t="str">
        <f t="shared" si="6"/>
        <v/>
      </c>
    </row>
    <row r="289" spans="1:9" x14ac:dyDescent="0.3">
      <c r="A289" s="100" t="s">
        <v>20</v>
      </c>
      <c r="B289" s="100" t="s">
        <v>28</v>
      </c>
      <c r="C289" s="100" t="s">
        <v>21</v>
      </c>
      <c r="D289" s="102">
        <v>45565</v>
      </c>
      <c r="E289" s="103">
        <v>0.7</v>
      </c>
      <c r="F289" s="100">
        <v>1</v>
      </c>
      <c r="G289" s="100" t="s">
        <v>13</v>
      </c>
      <c r="H289" s="103">
        <v>0.59</v>
      </c>
      <c r="I289" s="101">
        <f t="shared" si="6"/>
        <v>-5.5806938159879214E-2</v>
      </c>
    </row>
    <row r="290" spans="1:9" x14ac:dyDescent="0.3">
      <c r="A290" s="100" t="s">
        <v>20</v>
      </c>
      <c r="B290" s="100" t="s">
        <v>28</v>
      </c>
      <c r="C290" s="100" t="s">
        <v>21</v>
      </c>
      <c r="D290" s="102">
        <v>45596</v>
      </c>
      <c r="E290" s="103">
        <v>0.68</v>
      </c>
      <c r="F290" s="100">
        <v>0</v>
      </c>
      <c r="G290" s="100" t="s">
        <v>13</v>
      </c>
      <c r="H290" s="103">
        <v>0.59</v>
      </c>
      <c r="I290" s="101">
        <f t="shared" si="6"/>
        <v>2.8571428571428439E-2</v>
      </c>
    </row>
    <row r="291" spans="1:9" x14ac:dyDescent="0.3">
      <c r="A291" s="100" t="s">
        <v>20</v>
      </c>
      <c r="B291" s="100" t="s">
        <v>28</v>
      </c>
      <c r="C291" s="100" t="s">
        <v>21</v>
      </c>
      <c r="D291" s="102">
        <v>45626</v>
      </c>
      <c r="E291" s="103">
        <v>0.69</v>
      </c>
      <c r="F291" s="100">
        <v>0</v>
      </c>
      <c r="G291" s="100" t="s">
        <v>13</v>
      </c>
      <c r="H291" s="103">
        <v>0.59</v>
      </c>
      <c r="I291" s="101">
        <f t="shared" si="6"/>
        <v>-1.4705882352941025E-2</v>
      </c>
    </row>
    <row r="292" spans="1:9" x14ac:dyDescent="0.3">
      <c r="A292" s="100" t="s">
        <v>20</v>
      </c>
      <c r="B292" s="100" t="s">
        <v>28</v>
      </c>
      <c r="C292" s="100" t="s">
        <v>21</v>
      </c>
      <c r="D292" s="102">
        <v>45657</v>
      </c>
      <c r="E292" s="103">
        <v>0.7</v>
      </c>
      <c r="F292" s="100">
        <v>1</v>
      </c>
      <c r="G292" s="100" t="s">
        <v>13</v>
      </c>
      <c r="H292" s="103">
        <v>0.59</v>
      </c>
      <c r="I292" s="101">
        <f t="shared" si="6"/>
        <v>-1.449275362318842E-2</v>
      </c>
    </row>
    <row r="293" spans="1:9" x14ac:dyDescent="0.3">
      <c r="A293" s="100" t="s">
        <v>20</v>
      </c>
      <c r="B293" s="100" t="s">
        <v>28</v>
      </c>
      <c r="C293" s="100" t="s">
        <v>21</v>
      </c>
      <c r="D293" s="102">
        <v>45688</v>
      </c>
      <c r="E293" s="103">
        <v>0.74</v>
      </c>
      <c r="F293" s="100">
        <v>0</v>
      </c>
      <c r="G293" s="100" t="s">
        <v>13</v>
      </c>
      <c r="H293" s="103">
        <v>0.59</v>
      </c>
      <c r="I293" s="101">
        <f t="shared" si="6"/>
        <v>-5.7142857142857197E-2</v>
      </c>
    </row>
    <row r="294" spans="1:9" x14ac:dyDescent="0.3">
      <c r="A294" s="100" t="s">
        <v>20</v>
      </c>
      <c r="B294" s="100" t="s">
        <v>28</v>
      </c>
      <c r="C294" s="100" t="s">
        <v>21</v>
      </c>
      <c r="D294" s="102">
        <v>45716</v>
      </c>
      <c r="E294" s="103">
        <v>0.79</v>
      </c>
      <c r="F294" s="100">
        <v>0</v>
      </c>
      <c r="G294" s="100" t="s">
        <v>13</v>
      </c>
      <c r="H294" s="103">
        <v>0.59</v>
      </c>
      <c r="I294" s="101">
        <f t="shared" si="6"/>
        <v>-6.7567567567567627E-2</v>
      </c>
    </row>
    <row r="295" spans="1:9" x14ac:dyDescent="0.3">
      <c r="A295" s="100" t="s">
        <v>20</v>
      </c>
      <c r="B295" s="100" t="s">
        <v>28</v>
      </c>
      <c r="C295" s="100" t="s">
        <v>21</v>
      </c>
      <c r="D295" s="102">
        <v>45747</v>
      </c>
      <c r="E295" s="103">
        <v>0.7</v>
      </c>
      <c r="F295" s="100">
        <v>0</v>
      </c>
      <c r="G295" s="100" t="s">
        <v>13</v>
      </c>
      <c r="H295" s="103">
        <v>0.59</v>
      </c>
      <c r="I295" s="101">
        <f t="shared" si="6"/>
        <v>0.11392405063291149</v>
      </c>
    </row>
    <row r="296" spans="1:9" x14ac:dyDescent="0.3">
      <c r="A296" s="100" t="s">
        <v>20</v>
      </c>
      <c r="B296" s="100" t="s">
        <v>28</v>
      </c>
      <c r="C296" s="100" t="s">
        <v>21</v>
      </c>
      <c r="D296" s="102">
        <v>45777</v>
      </c>
      <c r="E296" s="103">
        <v>0.78</v>
      </c>
      <c r="F296" s="100">
        <v>0</v>
      </c>
      <c r="G296" s="100" t="s">
        <v>13</v>
      </c>
      <c r="H296" s="103">
        <v>0.59</v>
      </c>
      <c r="I296" s="101">
        <f t="shared" si="6"/>
        <v>-0.11428571428571439</v>
      </c>
    </row>
    <row r="297" spans="1:9" x14ac:dyDescent="0.3">
      <c r="A297" s="100" t="s">
        <v>20</v>
      </c>
      <c r="B297" s="100" t="s">
        <v>28</v>
      </c>
      <c r="C297" s="100" t="s">
        <v>21</v>
      </c>
      <c r="D297" s="102">
        <v>45808</v>
      </c>
      <c r="E297" s="103">
        <v>0.69</v>
      </c>
      <c r="F297" s="100">
        <v>0</v>
      </c>
      <c r="G297" s="100" t="s">
        <v>13</v>
      </c>
      <c r="H297" s="103">
        <v>0.59</v>
      </c>
      <c r="I297" s="101">
        <f t="shared" si="6"/>
        <v>0.11538461538461549</v>
      </c>
    </row>
    <row r="298" spans="1:9" x14ac:dyDescent="0.3">
      <c r="A298" s="100" t="s">
        <v>20</v>
      </c>
      <c r="B298" s="100" t="s">
        <v>28</v>
      </c>
      <c r="C298" s="100" t="s">
        <v>21</v>
      </c>
      <c r="D298" s="102">
        <v>45838</v>
      </c>
      <c r="E298" s="103">
        <v>0.7</v>
      </c>
      <c r="F298" s="100">
        <v>0</v>
      </c>
      <c r="G298" s="100" t="s">
        <v>13</v>
      </c>
      <c r="H298" s="103">
        <v>0.59</v>
      </c>
      <c r="I298" s="101">
        <f t="shared" si="6"/>
        <v>-1.449275362318842E-2</v>
      </c>
    </row>
    <row r="299" spans="1:9" x14ac:dyDescent="0.3">
      <c r="A299" s="100" t="s">
        <v>20</v>
      </c>
      <c r="B299" s="100" t="s">
        <v>28</v>
      </c>
      <c r="C299" s="100" t="s">
        <v>21</v>
      </c>
      <c r="D299" s="102">
        <v>45869</v>
      </c>
      <c r="E299" s="103">
        <v>0.75</v>
      </c>
      <c r="F299" s="100">
        <v>0</v>
      </c>
      <c r="G299" s="100" t="s">
        <v>13</v>
      </c>
      <c r="H299" s="103">
        <v>0.59</v>
      </c>
      <c r="I299" s="101">
        <f t="shared" si="6"/>
        <v>-7.1428571428571494E-2</v>
      </c>
    </row>
    <row r="300" spans="1:9" x14ac:dyDescent="0.3">
      <c r="A300" s="100" t="s">
        <v>20</v>
      </c>
      <c r="B300" s="100" t="s">
        <v>28</v>
      </c>
      <c r="C300" s="100" t="s">
        <v>21</v>
      </c>
      <c r="D300" s="102">
        <v>45900</v>
      </c>
      <c r="E300" s="103">
        <v>0.62</v>
      </c>
      <c r="F300" s="100">
        <v>0</v>
      </c>
      <c r="G300" s="100" t="s">
        <v>13</v>
      </c>
      <c r="H300" s="103">
        <v>0.59</v>
      </c>
      <c r="I300" s="101">
        <f t="shared" si="6"/>
        <v>0.17333333333333334</v>
      </c>
    </row>
    <row r="301" spans="1:9" x14ac:dyDescent="0.3">
      <c r="A301" s="100" t="s">
        <v>20</v>
      </c>
      <c r="B301" s="100" t="s">
        <v>28</v>
      </c>
      <c r="C301" s="100" t="s">
        <v>21</v>
      </c>
      <c r="D301" s="102">
        <v>45930</v>
      </c>
      <c r="E301" s="103">
        <v>0.65</v>
      </c>
      <c r="F301" s="100">
        <v>0</v>
      </c>
      <c r="G301" s="100" t="s">
        <v>13</v>
      </c>
      <c r="H301" s="103">
        <v>0.59</v>
      </c>
      <c r="I301" s="101">
        <f t="shared" si="6"/>
        <v>-4.8387096774193589E-2</v>
      </c>
    </row>
    <row r="302" spans="1:9" x14ac:dyDescent="0.3">
      <c r="A302" s="100" t="s">
        <v>20</v>
      </c>
      <c r="B302" s="100" t="s">
        <v>28</v>
      </c>
      <c r="C302" s="100" t="s">
        <v>21</v>
      </c>
      <c r="D302" s="102">
        <v>45961</v>
      </c>
      <c r="E302" s="103">
        <v>0.61</v>
      </c>
      <c r="F302" s="100">
        <v>0</v>
      </c>
      <c r="G302" s="100" t="s">
        <v>13</v>
      </c>
      <c r="H302" s="103">
        <v>0.59</v>
      </c>
      <c r="I302" s="101">
        <f t="shared" si="6"/>
        <v>6.153846153846159E-2</v>
      </c>
    </row>
    <row r="303" spans="1:9" x14ac:dyDescent="0.3">
      <c r="A303" s="100" t="s">
        <v>20</v>
      </c>
      <c r="B303" s="100" t="s">
        <v>28</v>
      </c>
      <c r="C303" s="100" t="s">
        <v>22</v>
      </c>
      <c r="D303" s="102">
        <v>45535</v>
      </c>
      <c r="E303" s="103">
        <v>0.79300000000000004</v>
      </c>
      <c r="F303" s="100">
        <v>0</v>
      </c>
      <c r="G303" s="100" t="s">
        <v>13</v>
      </c>
      <c r="H303" s="103">
        <v>0.56999999999999995</v>
      </c>
      <c r="I303" s="101" t="str">
        <f t="shared" si="6"/>
        <v/>
      </c>
    </row>
    <row r="304" spans="1:9" x14ac:dyDescent="0.3">
      <c r="A304" s="100" t="s">
        <v>20</v>
      </c>
      <c r="B304" s="100" t="s">
        <v>28</v>
      </c>
      <c r="C304" s="100" t="s">
        <v>22</v>
      </c>
      <c r="D304" s="102">
        <v>45565</v>
      </c>
      <c r="E304" s="103">
        <v>0.79500000000000004</v>
      </c>
      <c r="F304" s="100">
        <v>0</v>
      </c>
      <c r="G304" s="100" t="s">
        <v>13</v>
      </c>
      <c r="H304" s="103">
        <v>0.56999999999999995</v>
      </c>
      <c r="I304" s="101">
        <f t="shared" si="6"/>
        <v>-2.5220680958385898E-3</v>
      </c>
    </row>
    <row r="305" spans="1:9" x14ac:dyDescent="0.3">
      <c r="A305" s="100" t="s">
        <v>20</v>
      </c>
      <c r="B305" s="100" t="s">
        <v>28</v>
      </c>
      <c r="C305" s="100" t="s">
        <v>22</v>
      </c>
      <c r="D305" s="102">
        <v>45596</v>
      </c>
      <c r="E305" s="103">
        <v>0.88500000000000001</v>
      </c>
      <c r="F305" s="100">
        <v>0</v>
      </c>
      <c r="G305" s="100" t="s">
        <v>13</v>
      </c>
      <c r="H305" s="103">
        <v>0.56999999999999995</v>
      </c>
      <c r="I305" s="101">
        <f t="shared" si="6"/>
        <v>-0.11320754716981128</v>
      </c>
    </row>
    <row r="306" spans="1:9" x14ac:dyDescent="0.3">
      <c r="A306" s="100" t="s">
        <v>20</v>
      </c>
      <c r="B306" s="100" t="s">
        <v>28</v>
      </c>
      <c r="C306" s="100" t="s">
        <v>22</v>
      </c>
      <c r="D306" s="102">
        <v>45626</v>
      </c>
      <c r="E306" s="103">
        <v>0.83799999999999997</v>
      </c>
      <c r="F306" s="100">
        <v>0</v>
      </c>
      <c r="G306" s="100" t="s">
        <v>13</v>
      </c>
      <c r="H306" s="103">
        <v>0.56999999999999995</v>
      </c>
      <c r="I306" s="101">
        <f t="shared" si="6"/>
        <v>5.3107344632768408E-2</v>
      </c>
    </row>
    <row r="307" spans="1:9" x14ac:dyDescent="0.3">
      <c r="A307" s="100" t="s">
        <v>20</v>
      </c>
      <c r="B307" s="100" t="s">
        <v>28</v>
      </c>
      <c r="C307" s="100" t="s">
        <v>22</v>
      </c>
      <c r="D307" s="102">
        <v>45657</v>
      </c>
      <c r="E307" s="103">
        <v>0.83199999999999996</v>
      </c>
      <c r="F307" s="100">
        <v>1</v>
      </c>
      <c r="G307" s="100" t="s">
        <v>13</v>
      </c>
      <c r="H307" s="103">
        <v>0.56999999999999995</v>
      </c>
      <c r="I307" s="101">
        <f t="shared" si="6"/>
        <v>7.1599045346062117E-3</v>
      </c>
    </row>
    <row r="308" spans="1:9" x14ac:dyDescent="0.3">
      <c r="A308" s="100" t="s">
        <v>20</v>
      </c>
      <c r="B308" s="100" t="s">
        <v>28</v>
      </c>
      <c r="C308" s="100" t="s">
        <v>22</v>
      </c>
      <c r="D308" s="102">
        <v>45688</v>
      </c>
      <c r="E308" s="103">
        <v>0.82099999999999995</v>
      </c>
      <c r="F308" s="100">
        <v>0</v>
      </c>
      <c r="G308" s="100" t="s">
        <v>13</v>
      </c>
      <c r="H308" s="103">
        <v>0.56999999999999995</v>
      </c>
      <c r="I308" s="101">
        <f t="shared" si="6"/>
        <v>1.3221153846153858E-2</v>
      </c>
    </row>
    <row r="309" spans="1:9" x14ac:dyDescent="0.3">
      <c r="A309" s="100" t="s">
        <v>20</v>
      </c>
      <c r="B309" s="100" t="s">
        <v>28</v>
      </c>
      <c r="C309" s="100" t="s">
        <v>22</v>
      </c>
      <c r="D309" s="102">
        <v>45716</v>
      </c>
      <c r="E309" s="103">
        <v>0.81399999999999995</v>
      </c>
      <c r="F309" s="100">
        <v>0</v>
      </c>
      <c r="G309" s="100" t="s">
        <v>13</v>
      </c>
      <c r="H309" s="103">
        <v>0.56999999999999995</v>
      </c>
      <c r="I309" s="101">
        <f t="shared" si="6"/>
        <v>8.5261875761266821E-3</v>
      </c>
    </row>
    <row r="310" spans="1:9" x14ac:dyDescent="0.3">
      <c r="A310" s="100" t="s">
        <v>20</v>
      </c>
      <c r="B310" s="100" t="s">
        <v>28</v>
      </c>
      <c r="C310" s="100" t="s">
        <v>22</v>
      </c>
      <c r="D310" s="102">
        <v>45747</v>
      </c>
      <c r="E310" s="103">
        <v>0.77600000000000002</v>
      </c>
      <c r="F310" s="100">
        <v>0</v>
      </c>
      <c r="G310" s="100" t="s">
        <v>13</v>
      </c>
      <c r="H310" s="103">
        <v>0.56999999999999995</v>
      </c>
      <c r="I310" s="101">
        <f t="shared" si="6"/>
        <v>4.668304668304659E-2</v>
      </c>
    </row>
    <row r="311" spans="1:9" x14ac:dyDescent="0.3">
      <c r="A311" s="100" t="s">
        <v>20</v>
      </c>
      <c r="B311" s="100" t="s">
        <v>28</v>
      </c>
      <c r="C311" s="100" t="s">
        <v>22</v>
      </c>
      <c r="D311" s="102">
        <v>45777</v>
      </c>
      <c r="E311" s="103">
        <v>0.81299999999999994</v>
      </c>
      <c r="F311" s="100">
        <v>0</v>
      </c>
      <c r="G311" s="100" t="s">
        <v>13</v>
      </c>
      <c r="H311" s="103">
        <v>0.56999999999999995</v>
      </c>
      <c r="I311" s="101">
        <f t="shared" si="6"/>
        <v>-4.7680412371133921E-2</v>
      </c>
    </row>
    <row r="312" spans="1:9" x14ac:dyDescent="0.3">
      <c r="A312" s="100" t="s">
        <v>20</v>
      </c>
      <c r="B312" s="100" t="s">
        <v>28</v>
      </c>
      <c r="C312" s="100" t="s">
        <v>22</v>
      </c>
      <c r="D312" s="102">
        <v>45808</v>
      </c>
      <c r="E312" s="103">
        <v>0.83899999999999997</v>
      </c>
      <c r="F312" s="100">
        <v>0</v>
      </c>
      <c r="G312" s="100" t="s">
        <v>13</v>
      </c>
      <c r="H312" s="103">
        <v>0.56999999999999995</v>
      </c>
      <c r="I312" s="101">
        <f t="shared" si="6"/>
        <v>-3.1980319803198064E-2</v>
      </c>
    </row>
    <row r="313" spans="1:9" x14ac:dyDescent="0.3">
      <c r="A313" s="100" t="s">
        <v>20</v>
      </c>
      <c r="B313" s="100" t="s">
        <v>28</v>
      </c>
      <c r="C313" s="100" t="s">
        <v>22</v>
      </c>
      <c r="D313" s="102">
        <v>45838</v>
      </c>
      <c r="E313" s="103">
        <v>0.79600000000000004</v>
      </c>
      <c r="F313" s="100">
        <v>0</v>
      </c>
      <c r="G313" s="100" t="s">
        <v>13</v>
      </c>
      <c r="H313" s="103">
        <v>0.56999999999999995</v>
      </c>
      <c r="I313" s="101">
        <f t="shared" si="6"/>
        <v>5.1251489868891456E-2</v>
      </c>
    </row>
    <row r="314" spans="1:9" x14ac:dyDescent="0.3">
      <c r="A314" s="100" t="s">
        <v>20</v>
      </c>
      <c r="B314" s="100" t="s">
        <v>28</v>
      </c>
      <c r="C314" s="100" t="s">
        <v>22</v>
      </c>
      <c r="D314" s="102">
        <v>45869</v>
      </c>
      <c r="E314" s="103">
        <v>0.65</v>
      </c>
      <c r="F314" s="100">
        <v>0</v>
      </c>
      <c r="G314" s="100" t="s">
        <v>13</v>
      </c>
      <c r="H314" s="103">
        <v>0.56999999999999995</v>
      </c>
      <c r="I314" s="101">
        <f t="shared" si="6"/>
        <v>0.1834170854271357</v>
      </c>
    </row>
    <row r="315" spans="1:9" x14ac:dyDescent="0.3">
      <c r="A315" s="100" t="s">
        <v>20</v>
      </c>
      <c r="B315" s="100" t="s">
        <v>28</v>
      </c>
      <c r="C315" s="100" t="s">
        <v>22</v>
      </c>
      <c r="D315" s="102">
        <v>45900</v>
      </c>
      <c r="E315" s="103">
        <v>0.7</v>
      </c>
      <c r="F315" s="100">
        <v>0</v>
      </c>
      <c r="G315" s="100" t="s">
        <v>13</v>
      </c>
      <c r="H315" s="103">
        <v>0.56999999999999995</v>
      </c>
      <c r="I315" s="101">
        <f t="shared" si="6"/>
        <v>-7.6923076923076816E-2</v>
      </c>
    </row>
    <row r="316" spans="1:9" x14ac:dyDescent="0.3">
      <c r="A316" s="100" t="s">
        <v>20</v>
      </c>
      <c r="B316" s="100" t="s">
        <v>28</v>
      </c>
      <c r="C316" s="100" t="s">
        <v>22</v>
      </c>
      <c r="D316" s="102">
        <v>45930</v>
      </c>
      <c r="E316" s="103">
        <v>0.57999999999999996</v>
      </c>
      <c r="F316" s="100">
        <v>0</v>
      </c>
      <c r="G316" s="100" t="s">
        <v>13</v>
      </c>
      <c r="H316" s="103">
        <v>0.56999999999999995</v>
      </c>
      <c r="I316" s="101">
        <f t="shared" si="6"/>
        <v>0.17142857142857143</v>
      </c>
    </row>
    <row r="317" spans="1:9" x14ac:dyDescent="0.3">
      <c r="A317" s="100" t="s">
        <v>20</v>
      </c>
      <c r="B317" s="100" t="s">
        <v>28</v>
      </c>
      <c r="C317" s="100" t="s">
        <v>22</v>
      </c>
      <c r="D317" s="102">
        <v>45961</v>
      </c>
      <c r="E317" s="103">
        <v>0.67</v>
      </c>
      <c r="F317" s="100">
        <v>0</v>
      </c>
      <c r="G317" s="100" t="s">
        <v>13</v>
      </c>
      <c r="H317" s="103">
        <v>0.56999999999999995</v>
      </c>
      <c r="I317" s="101">
        <f t="shared" si="6"/>
        <v>-0.15517241379310359</v>
      </c>
    </row>
    <row r="318" spans="1:9" x14ac:dyDescent="0.3">
      <c r="A318" s="100" t="s">
        <v>23</v>
      </c>
      <c r="B318" s="100" t="s">
        <v>28</v>
      </c>
      <c r="C318" s="100" t="s">
        <v>24</v>
      </c>
      <c r="D318" s="102">
        <v>45535</v>
      </c>
      <c r="E318" s="103">
        <v>0.81899999999999995</v>
      </c>
      <c r="F318" s="100">
        <v>1</v>
      </c>
      <c r="G318" s="100" t="s">
        <v>17</v>
      </c>
      <c r="H318" s="103">
        <v>0.85</v>
      </c>
      <c r="I318" s="101" t="str">
        <f t="shared" si="6"/>
        <v/>
      </c>
    </row>
    <row r="319" spans="1:9" x14ac:dyDescent="0.3">
      <c r="A319" s="100" t="s">
        <v>23</v>
      </c>
      <c r="B319" s="100" t="s">
        <v>28</v>
      </c>
      <c r="C319" s="100" t="s">
        <v>24</v>
      </c>
      <c r="D319" s="102">
        <v>45565</v>
      </c>
      <c r="E319" s="103">
        <v>0.74529999999999996</v>
      </c>
      <c r="F319" s="100">
        <v>1</v>
      </c>
      <c r="G319" s="100" t="s">
        <v>17</v>
      </c>
      <c r="H319" s="103">
        <v>0.85</v>
      </c>
      <c r="I319" s="101">
        <f t="shared" si="6"/>
        <v>-8.9987789987789973E-2</v>
      </c>
    </row>
    <row r="320" spans="1:9" x14ac:dyDescent="0.3">
      <c r="A320" s="100" t="s">
        <v>23</v>
      </c>
      <c r="B320" s="100" t="s">
        <v>28</v>
      </c>
      <c r="C320" s="100" t="s">
        <v>24</v>
      </c>
      <c r="D320" s="102">
        <v>45596</v>
      </c>
      <c r="E320" s="103">
        <v>0.876</v>
      </c>
      <c r="F320" s="100">
        <v>0</v>
      </c>
      <c r="G320" s="100" t="s">
        <v>17</v>
      </c>
      <c r="H320" s="103">
        <v>0.85</v>
      </c>
      <c r="I320" s="101">
        <f t="shared" si="6"/>
        <v>0.17536562458070581</v>
      </c>
    </row>
    <row r="321" spans="1:9" x14ac:dyDescent="0.3">
      <c r="A321" s="100" t="s">
        <v>23</v>
      </c>
      <c r="B321" s="100" t="s">
        <v>28</v>
      </c>
      <c r="C321" s="100" t="s">
        <v>24</v>
      </c>
      <c r="D321" s="102">
        <v>45626</v>
      </c>
      <c r="E321" s="103">
        <v>0.87780000000000002</v>
      </c>
      <c r="F321" s="100">
        <v>0</v>
      </c>
      <c r="G321" s="100" t="s">
        <v>17</v>
      </c>
      <c r="H321" s="103">
        <v>0.85</v>
      </c>
      <c r="I321" s="101">
        <f t="shared" si="6"/>
        <v>2.0547945205479723E-3</v>
      </c>
    </row>
    <row r="322" spans="1:9" x14ac:dyDescent="0.3">
      <c r="A322" s="100" t="s">
        <v>23</v>
      </c>
      <c r="B322" s="100" t="s">
        <v>28</v>
      </c>
      <c r="C322" s="100" t="s">
        <v>24</v>
      </c>
      <c r="D322" s="102">
        <v>45657</v>
      </c>
      <c r="E322" s="103">
        <v>0.87949999999999995</v>
      </c>
      <c r="F322" s="100">
        <v>0</v>
      </c>
      <c r="G322" s="100" t="s">
        <v>17</v>
      </c>
      <c r="H322" s="103">
        <v>0.85</v>
      </c>
      <c r="I322" s="101">
        <f t="shared" si="6"/>
        <v>1.9366598313965866E-3</v>
      </c>
    </row>
    <row r="323" spans="1:9" x14ac:dyDescent="0.3">
      <c r="A323" s="100" t="s">
        <v>23</v>
      </c>
      <c r="B323" s="100" t="s">
        <v>28</v>
      </c>
      <c r="C323" s="100" t="s">
        <v>24</v>
      </c>
      <c r="D323" s="102">
        <v>45688</v>
      </c>
      <c r="E323" s="103">
        <v>0.7903</v>
      </c>
      <c r="F323" s="100">
        <v>0</v>
      </c>
      <c r="G323" s="100" t="s">
        <v>17</v>
      </c>
      <c r="H323" s="103">
        <v>0.85</v>
      </c>
      <c r="I323" s="101">
        <f t="shared" ref="I323:I386" si="7">IF(OR(B323&lt;&gt;B322,C323&lt;&gt;C322),"",IF(E322=0,"",IF(G323="UP",(E323-E322)/E322,-((E323-E322)/E322))))</f>
        <v>-0.10142126208072763</v>
      </c>
    </row>
    <row r="324" spans="1:9" x14ac:dyDescent="0.3">
      <c r="A324" s="100" t="s">
        <v>23</v>
      </c>
      <c r="B324" s="100" t="s">
        <v>28</v>
      </c>
      <c r="C324" s="100" t="s">
        <v>24</v>
      </c>
      <c r="D324" s="102">
        <v>45716</v>
      </c>
      <c r="E324" s="103">
        <v>0.74590000000000001</v>
      </c>
      <c r="F324" s="100">
        <v>1</v>
      </c>
      <c r="G324" s="100" t="s">
        <v>17</v>
      </c>
      <c r="H324" s="103">
        <v>0.85</v>
      </c>
      <c r="I324" s="101">
        <f t="shared" si="7"/>
        <v>-5.6181197013792226E-2</v>
      </c>
    </row>
    <row r="325" spans="1:9" x14ac:dyDescent="0.3">
      <c r="A325" s="100" t="s">
        <v>23</v>
      </c>
      <c r="B325" s="100" t="s">
        <v>28</v>
      </c>
      <c r="C325" s="100" t="s">
        <v>24</v>
      </c>
      <c r="D325" s="102">
        <v>45747</v>
      </c>
      <c r="E325" s="103">
        <v>0.79459999999999997</v>
      </c>
      <c r="F325" s="100">
        <v>0</v>
      </c>
      <c r="G325" s="100" t="s">
        <v>17</v>
      </c>
      <c r="H325" s="103">
        <v>0.85</v>
      </c>
      <c r="I325" s="101">
        <f t="shared" si="7"/>
        <v>6.5290253385172234E-2</v>
      </c>
    </row>
    <row r="326" spans="1:9" x14ac:dyDescent="0.3">
      <c r="A326" s="100" t="s">
        <v>23</v>
      </c>
      <c r="B326" s="100" t="s">
        <v>28</v>
      </c>
      <c r="C326" s="100" t="s">
        <v>24</v>
      </c>
      <c r="D326" s="102">
        <v>45777</v>
      </c>
      <c r="E326" s="103">
        <v>0.83189999999999997</v>
      </c>
      <c r="F326" s="100">
        <v>0</v>
      </c>
      <c r="G326" s="100" t="s">
        <v>17</v>
      </c>
      <c r="H326" s="103">
        <v>0.85</v>
      </c>
      <c r="I326" s="101">
        <f t="shared" si="7"/>
        <v>4.6941857538384091E-2</v>
      </c>
    </row>
    <row r="327" spans="1:9" x14ac:dyDescent="0.3">
      <c r="A327" s="100" t="s">
        <v>23</v>
      </c>
      <c r="B327" s="100" t="s">
        <v>28</v>
      </c>
      <c r="C327" s="100" t="s">
        <v>24</v>
      </c>
      <c r="D327" s="102">
        <v>45808</v>
      </c>
      <c r="E327" s="103">
        <v>0.87780000000000002</v>
      </c>
      <c r="F327" s="100">
        <v>0</v>
      </c>
      <c r="G327" s="100" t="s">
        <v>17</v>
      </c>
      <c r="H327" s="103">
        <v>0.85</v>
      </c>
      <c r="I327" s="101">
        <f t="shared" si="7"/>
        <v>5.5174900829426679E-2</v>
      </c>
    </row>
    <row r="328" spans="1:9" x14ac:dyDescent="0.3">
      <c r="A328" s="100" t="s">
        <v>23</v>
      </c>
      <c r="B328" s="100" t="s">
        <v>28</v>
      </c>
      <c r="C328" s="100" t="s">
        <v>24</v>
      </c>
      <c r="D328" s="102">
        <v>45838</v>
      </c>
      <c r="E328" s="103">
        <v>0.82310000000000005</v>
      </c>
      <c r="F328" s="100">
        <v>0</v>
      </c>
      <c r="G328" s="100" t="s">
        <v>17</v>
      </c>
      <c r="H328" s="103">
        <v>0.85</v>
      </c>
      <c r="I328" s="101">
        <f t="shared" si="7"/>
        <v>-6.2314878104351754E-2</v>
      </c>
    </row>
    <row r="329" spans="1:9" x14ac:dyDescent="0.3">
      <c r="A329" s="100" t="s">
        <v>23</v>
      </c>
      <c r="B329" s="100" t="s">
        <v>28</v>
      </c>
      <c r="C329" s="100" t="s">
        <v>24</v>
      </c>
      <c r="D329" s="102">
        <v>45869</v>
      </c>
      <c r="E329" s="103">
        <v>0.84299999999999997</v>
      </c>
      <c r="F329" s="100">
        <v>0</v>
      </c>
      <c r="G329" s="100" t="s">
        <v>17</v>
      </c>
      <c r="H329" s="103">
        <v>0.85</v>
      </c>
      <c r="I329" s="101">
        <f t="shared" si="7"/>
        <v>2.4176892236666161E-2</v>
      </c>
    </row>
    <row r="330" spans="1:9" x14ac:dyDescent="0.3">
      <c r="A330" s="100" t="s">
        <v>23</v>
      </c>
      <c r="B330" s="100" t="s">
        <v>28</v>
      </c>
      <c r="C330" s="100" t="s">
        <v>24</v>
      </c>
      <c r="D330" s="102">
        <v>45900</v>
      </c>
      <c r="E330" s="103">
        <v>0.75</v>
      </c>
      <c r="F330" s="100">
        <v>0</v>
      </c>
      <c r="G330" s="100" t="s">
        <v>17</v>
      </c>
      <c r="H330" s="103">
        <v>0.85</v>
      </c>
      <c r="I330" s="101">
        <f t="shared" si="7"/>
        <v>-0.11032028469750886</v>
      </c>
    </row>
    <row r="331" spans="1:9" x14ac:dyDescent="0.3">
      <c r="A331" s="100" t="s">
        <v>23</v>
      </c>
      <c r="B331" s="100" t="s">
        <v>28</v>
      </c>
      <c r="C331" s="100" t="s">
        <v>24</v>
      </c>
      <c r="D331" s="102">
        <v>45930</v>
      </c>
      <c r="E331" s="103">
        <v>0.745</v>
      </c>
      <c r="F331" s="100">
        <v>0</v>
      </c>
      <c r="G331" s="100" t="s">
        <v>17</v>
      </c>
      <c r="H331" s="103">
        <v>0.85</v>
      </c>
      <c r="I331" s="101">
        <f t="shared" si="7"/>
        <v>-6.6666666666666723E-3</v>
      </c>
    </row>
    <row r="332" spans="1:9" x14ac:dyDescent="0.3">
      <c r="A332" s="100" t="s">
        <v>23</v>
      </c>
      <c r="B332" s="100" t="s">
        <v>28</v>
      </c>
      <c r="C332" s="100" t="s">
        <v>24</v>
      </c>
      <c r="D332" s="102">
        <v>45961</v>
      </c>
      <c r="E332" s="103">
        <v>0.82199999999999995</v>
      </c>
      <c r="F332" s="100">
        <v>0</v>
      </c>
      <c r="G332" s="100" t="s">
        <v>17</v>
      </c>
      <c r="H332" s="103">
        <v>0.85</v>
      </c>
      <c r="I332" s="101">
        <f t="shared" si="7"/>
        <v>0.10335570469798652</v>
      </c>
    </row>
    <row r="333" spans="1:9" x14ac:dyDescent="0.3">
      <c r="A333" s="100" t="s">
        <v>23</v>
      </c>
      <c r="B333" s="100" t="s">
        <v>28</v>
      </c>
      <c r="C333" s="100" t="s">
        <v>24</v>
      </c>
      <c r="D333" s="102">
        <v>45991</v>
      </c>
      <c r="E333" s="103">
        <v>0.79300000000000004</v>
      </c>
      <c r="F333" s="100">
        <v>0</v>
      </c>
      <c r="G333" s="100" t="s">
        <v>17</v>
      </c>
      <c r="H333" s="103">
        <v>0.85</v>
      </c>
      <c r="I333" s="101">
        <f t="shared" si="7"/>
        <v>-3.5279805352797955E-2</v>
      </c>
    </row>
    <row r="334" spans="1:9" x14ac:dyDescent="0.3">
      <c r="A334" s="100" t="s">
        <v>23</v>
      </c>
      <c r="B334" s="100" t="s">
        <v>28</v>
      </c>
      <c r="C334" s="100" t="s">
        <v>25</v>
      </c>
      <c r="D334" s="102">
        <v>45535</v>
      </c>
      <c r="E334" s="103">
        <v>0.66490000000000005</v>
      </c>
      <c r="F334" s="100">
        <v>0</v>
      </c>
      <c r="G334" s="100" t="s">
        <v>17</v>
      </c>
      <c r="H334" s="103">
        <v>0.65</v>
      </c>
      <c r="I334" s="101" t="str">
        <f t="shared" si="7"/>
        <v/>
      </c>
    </row>
    <row r="335" spans="1:9" x14ac:dyDescent="0.3">
      <c r="A335" s="100" t="s">
        <v>23</v>
      </c>
      <c r="B335" s="100" t="s">
        <v>28</v>
      </c>
      <c r="C335" s="100" t="s">
        <v>25</v>
      </c>
      <c r="D335" s="102">
        <v>45565</v>
      </c>
      <c r="E335" s="103">
        <v>0.65239999999999998</v>
      </c>
      <c r="F335" s="100">
        <v>0</v>
      </c>
      <c r="G335" s="100" t="s">
        <v>17</v>
      </c>
      <c r="H335" s="103">
        <v>0.65</v>
      </c>
      <c r="I335" s="101">
        <f t="shared" si="7"/>
        <v>-1.8799819521732691E-2</v>
      </c>
    </row>
    <row r="336" spans="1:9" x14ac:dyDescent="0.3">
      <c r="A336" s="100" t="s">
        <v>23</v>
      </c>
      <c r="B336" s="100" t="s">
        <v>28</v>
      </c>
      <c r="C336" s="100" t="s">
        <v>25</v>
      </c>
      <c r="D336" s="102">
        <v>45596</v>
      </c>
      <c r="E336" s="103">
        <v>0.64249999999999996</v>
      </c>
      <c r="F336" s="100">
        <v>0</v>
      </c>
      <c r="G336" s="100" t="s">
        <v>17</v>
      </c>
      <c r="H336" s="103">
        <v>0.65</v>
      </c>
      <c r="I336" s="101">
        <f t="shared" si="7"/>
        <v>-1.5174739423666494E-2</v>
      </c>
    </row>
    <row r="337" spans="1:9" x14ac:dyDescent="0.3">
      <c r="A337" s="100" t="s">
        <v>23</v>
      </c>
      <c r="B337" s="100" t="s">
        <v>28</v>
      </c>
      <c r="C337" s="100" t="s">
        <v>25</v>
      </c>
      <c r="D337" s="102">
        <v>45626</v>
      </c>
      <c r="E337" s="103">
        <v>0.60560000000000003</v>
      </c>
      <c r="F337" s="100">
        <v>1</v>
      </c>
      <c r="G337" s="100" t="s">
        <v>17</v>
      </c>
      <c r="H337" s="103">
        <v>0.65</v>
      </c>
      <c r="I337" s="101">
        <f t="shared" si="7"/>
        <v>-5.7431906614785894E-2</v>
      </c>
    </row>
    <row r="338" spans="1:9" x14ac:dyDescent="0.3">
      <c r="A338" s="100" t="s">
        <v>23</v>
      </c>
      <c r="B338" s="100" t="s">
        <v>28</v>
      </c>
      <c r="C338" s="100" t="s">
        <v>25</v>
      </c>
      <c r="D338" s="102">
        <v>45657</v>
      </c>
      <c r="E338" s="103">
        <v>0.65380000000000005</v>
      </c>
      <c r="F338" s="100">
        <v>0</v>
      </c>
      <c r="G338" s="100" t="s">
        <v>17</v>
      </c>
      <c r="H338" s="103">
        <v>0.65</v>
      </c>
      <c r="I338" s="101">
        <f t="shared" si="7"/>
        <v>7.959048877146635E-2</v>
      </c>
    </row>
    <row r="339" spans="1:9" x14ac:dyDescent="0.3">
      <c r="A339" s="100" t="s">
        <v>23</v>
      </c>
      <c r="B339" s="100" t="s">
        <v>28</v>
      </c>
      <c r="C339" s="100" t="s">
        <v>25</v>
      </c>
      <c r="D339" s="102">
        <v>45688</v>
      </c>
      <c r="E339" s="103">
        <v>0.6421</v>
      </c>
      <c r="F339" s="100">
        <v>0</v>
      </c>
      <c r="G339" s="100" t="s">
        <v>17</v>
      </c>
      <c r="H339" s="103">
        <v>0.65</v>
      </c>
      <c r="I339" s="101">
        <f t="shared" si="7"/>
        <v>-1.7895380850413038E-2</v>
      </c>
    </row>
    <row r="340" spans="1:9" x14ac:dyDescent="0.3">
      <c r="A340" s="100" t="s">
        <v>23</v>
      </c>
      <c r="B340" s="100" t="s">
        <v>28</v>
      </c>
      <c r="C340" s="100" t="s">
        <v>25</v>
      </c>
      <c r="D340" s="102">
        <v>45716</v>
      </c>
      <c r="E340" s="103">
        <v>0.62570000000000003</v>
      </c>
      <c r="F340" s="100">
        <v>1</v>
      </c>
      <c r="G340" s="100" t="s">
        <v>17</v>
      </c>
      <c r="H340" s="103">
        <v>0.65</v>
      </c>
      <c r="I340" s="101">
        <f t="shared" si="7"/>
        <v>-2.5541192960597991E-2</v>
      </c>
    </row>
    <row r="341" spans="1:9" x14ac:dyDescent="0.3">
      <c r="A341" s="100" t="s">
        <v>23</v>
      </c>
      <c r="B341" s="100" t="s">
        <v>28</v>
      </c>
      <c r="C341" s="100" t="s">
        <v>25</v>
      </c>
      <c r="D341" s="102">
        <v>45747</v>
      </c>
      <c r="E341" s="103">
        <v>0.63009999999999999</v>
      </c>
      <c r="F341" s="100">
        <v>1</v>
      </c>
      <c r="G341" s="100" t="s">
        <v>17</v>
      </c>
      <c r="H341" s="103">
        <v>0.65</v>
      </c>
      <c r="I341" s="101">
        <f t="shared" si="7"/>
        <v>7.0321240210963068E-3</v>
      </c>
    </row>
    <row r="342" spans="1:9" x14ac:dyDescent="0.3">
      <c r="A342" s="100" t="s">
        <v>23</v>
      </c>
      <c r="B342" s="100" t="s">
        <v>28</v>
      </c>
      <c r="C342" s="100" t="s">
        <v>25</v>
      </c>
      <c r="D342" s="102">
        <v>45777</v>
      </c>
      <c r="E342" s="103">
        <v>0.64710000000000001</v>
      </c>
      <c r="F342" s="100">
        <v>0</v>
      </c>
      <c r="G342" s="100" t="s">
        <v>17</v>
      </c>
      <c r="H342" s="103">
        <v>0.65</v>
      </c>
      <c r="I342" s="101">
        <f t="shared" si="7"/>
        <v>2.697984446913191E-2</v>
      </c>
    </row>
    <row r="343" spans="1:9" x14ac:dyDescent="0.3">
      <c r="A343" s="100" t="s">
        <v>23</v>
      </c>
      <c r="B343" s="100" t="s">
        <v>28</v>
      </c>
      <c r="C343" s="100" t="s">
        <v>25</v>
      </c>
      <c r="D343" s="102">
        <v>45808</v>
      </c>
      <c r="E343" s="103">
        <v>0.6875</v>
      </c>
      <c r="F343" s="100">
        <v>0</v>
      </c>
      <c r="G343" s="100" t="s">
        <v>17</v>
      </c>
      <c r="H343" s="103">
        <v>0.65</v>
      </c>
      <c r="I343" s="101">
        <f t="shared" si="7"/>
        <v>6.2432390666048512E-2</v>
      </c>
    </row>
    <row r="344" spans="1:9" x14ac:dyDescent="0.3">
      <c r="A344" s="100" t="s">
        <v>23</v>
      </c>
      <c r="B344" s="100" t="s">
        <v>28</v>
      </c>
      <c r="C344" s="100" t="s">
        <v>25</v>
      </c>
      <c r="D344" s="102">
        <v>45838</v>
      </c>
      <c r="E344" s="103">
        <v>0.62419999999999998</v>
      </c>
      <c r="F344" s="100">
        <v>0</v>
      </c>
      <c r="G344" s="100" t="s">
        <v>17</v>
      </c>
      <c r="H344" s="103">
        <v>0.65</v>
      </c>
      <c r="I344" s="101">
        <f t="shared" si="7"/>
        <v>-9.2072727272727306E-2</v>
      </c>
    </row>
    <row r="345" spans="1:9" x14ac:dyDescent="0.3">
      <c r="A345" s="100" t="s">
        <v>23</v>
      </c>
      <c r="B345" s="100" t="s">
        <v>28</v>
      </c>
      <c r="C345" s="100" t="s">
        <v>25</v>
      </c>
      <c r="D345" s="102">
        <v>45869</v>
      </c>
      <c r="E345" s="103">
        <v>0.67</v>
      </c>
      <c r="F345" s="100">
        <v>0</v>
      </c>
      <c r="G345" s="100" t="s">
        <v>17</v>
      </c>
      <c r="H345" s="103">
        <v>0.65</v>
      </c>
      <c r="I345" s="101">
        <f t="shared" si="7"/>
        <v>7.3373918615828357E-2</v>
      </c>
    </row>
    <row r="346" spans="1:9" x14ac:dyDescent="0.3">
      <c r="A346" s="100" t="s">
        <v>23</v>
      </c>
      <c r="B346" s="100" t="s">
        <v>28</v>
      </c>
      <c r="C346" s="100" t="s">
        <v>25</v>
      </c>
      <c r="D346" s="102">
        <v>45900</v>
      </c>
      <c r="E346" s="103">
        <v>0.72199999999999998</v>
      </c>
      <c r="F346" s="100">
        <v>0</v>
      </c>
      <c r="G346" s="100" t="s">
        <v>17</v>
      </c>
      <c r="H346" s="103">
        <v>0.65</v>
      </c>
      <c r="I346" s="101">
        <f t="shared" si="7"/>
        <v>7.7611940298507362E-2</v>
      </c>
    </row>
    <row r="347" spans="1:9" x14ac:dyDescent="0.3">
      <c r="A347" s="100" t="s">
        <v>23</v>
      </c>
      <c r="B347" s="100" t="s">
        <v>28</v>
      </c>
      <c r="C347" s="100" t="s">
        <v>25</v>
      </c>
      <c r="D347" s="102">
        <v>45930</v>
      </c>
      <c r="E347" s="103">
        <v>0.66800000000000004</v>
      </c>
      <c r="F347" s="100">
        <v>0</v>
      </c>
      <c r="G347" s="100" t="s">
        <v>17</v>
      </c>
      <c r="H347" s="103">
        <v>0.65</v>
      </c>
      <c r="I347" s="101">
        <f t="shared" si="7"/>
        <v>-7.479224376731293E-2</v>
      </c>
    </row>
    <row r="348" spans="1:9" x14ac:dyDescent="0.3">
      <c r="A348" s="100" t="s">
        <v>23</v>
      </c>
      <c r="B348" s="100" t="s">
        <v>28</v>
      </c>
      <c r="C348" s="100" t="s">
        <v>25</v>
      </c>
      <c r="D348" s="102">
        <v>45961</v>
      </c>
      <c r="E348" s="103">
        <v>0.70299999999999996</v>
      </c>
      <c r="F348" s="100">
        <v>0</v>
      </c>
      <c r="G348" s="100" t="s">
        <v>17</v>
      </c>
      <c r="H348" s="103">
        <v>0.65</v>
      </c>
      <c r="I348" s="101">
        <f t="shared" si="7"/>
        <v>5.2395209580838202E-2</v>
      </c>
    </row>
    <row r="349" spans="1:9" x14ac:dyDescent="0.3">
      <c r="A349" s="100" t="s">
        <v>23</v>
      </c>
      <c r="B349" s="100" t="s">
        <v>28</v>
      </c>
      <c r="C349" s="100" t="s">
        <v>25</v>
      </c>
      <c r="D349" s="102">
        <v>45991</v>
      </c>
      <c r="E349" s="103">
        <v>0.70499999999999996</v>
      </c>
      <c r="F349" s="100">
        <v>0</v>
      </c>
      <c r="G349" s="100" t="s">
        <v>17</v>
      </c>
      <c r="H349" s="103">
        <v>0.65</v>
      </c>
      <c r="I349" s="101">
        <f t="shared" si="7"/>
        <v>2.8449502133712687E-3</v>
      </c>
    </row>
    <row r="350" spans="1:9" x14ac:dyDescent="0.3">
      <c r="A350" s="100" t="s">
        <v>23</v>
      </c>
      <c r="B350" s="100" t="s">
        <v>28</v>
      </c>
      <c r="C350" s="100" t="s">
        <v>26</v>
      </c>
      <c r="D350" s="102">
        <v>45535</v>
      </c>
      <c r="E350" s="103">
        <v>0.80510000000000004</v>
      </c>
      <c r="F350" s="100">
        <v>0</v>
      </c>
      <c r="G350" s="100" t="s">
        <v>17</v>
      </c>
      <c r="H350" s="103">
        <v>0.85</v>
      </c>
      <c r="I350" s="101" t="str">
        <f t="shared" si="7"/>
        <v/>
      </c>
    </row>
    <row r="351" spans="1:9" x14ac:dyDescent="0.3">
      <c r="A351" s="100" t="s">
        <v>23</v>
      </c>
      <c r="B351" s="100" t="s">
        <v>28</v>
      </c>
      <c r="C351" s="100" t="s">
        <v>26</v>
      </c>
      <c r="D351" s="102">
        <v>45565</v>
      </c>
      <c r="E351" s="103">
        <v>0.79779999999999995</v>
      </c>
      <c r="F351" s="100">
        <v>1</v>
      </c>
      <c r="G351" s="100" t="s">
        <v>17</v>
      </c>
      <c r="H351" s="103">
        <v>0.85</v>
      </c>
      <c r="I351" s="101">
        <f t="shared" si="7"/>
        <v>-9.0671966215378017E-3</v>
      </c>
    </row>
    <row r="352" spans="1:9" x14ac:dyDescent="0.3">
      <c r="A352" s="100" t="s">
        <v>23</v>
      </c>
      <c r="B352" s="100" t="s">
        <v>28</v>
      </c>
      <c r="C352" s="100" t="s">
        <v>26</v>
      </c>
      <c r="D352" s="102">
        <v>45596</v>
      </c>
      <c r="E352" s="103">
        <v>0.76649999999999996</v>
      </c>
      <c r="F352" s="100">
        <v>1</v>
      </c>
      <c r="G352" s="100" t="s">
        <v>17</v>
      </c>
      <c r="H352" s="103">
        <v>0.85</v>
      </c>
      <c r="I352" s="101">
        <f t="shared" si="7"/>
        <v>-3.9232890448734015E-2</v>
      </c>
    </row>
    <row r="353" spans="1:9" x14ac:dyDescent="0.3">
      <c r="A353" s="100" t="s">
        <v>23</v>
      </c>
      <c r="B353" s="100" t="s">
        <v>28</v>
      </c>
      <c r="C353" s="100" t="s">
        <v>26</v>
      </c>
      <c r="D353" s="102">
        <v>45626</v>
      </c>
      <c r="E353" s="103">
        <v>0.78879999999999995</v>
      </c>
      <c r="F353" s="100">
        <v>1</v>
      </c>
      <c r="G353" s="100" t="s">
        <v>17</v>
      </c>
      <c r="H353" s="103">
        <v>0.85</v>
      </c>
      <c r="I353" s="101">
        <f t="shared" si="7"/>
        <v>2.9093281148075651E-2</v>
      </c>
    </row>
    <row r="354" spans="1:9" x14ac:dyDescent="0.3">
      <c r="A354" s="100" t="s">
        <v>23</v>
      </c>
      <c r="B354" s="100" t="s">
        <v>28</v>
      </c>
      <c r="C354" s="100" t="s">
        <v>26</v>
      </c>
      <c r="D354" s="102">
        <v>45657</v>
      </c>
      <c r="E354" s="103">
        <v>0.75980000000000003</v>
      </c>
      <c r="F354" s="100">
        <v>1</v>
      </c>
      <c r="G354" s="100" t="s">
        <v>17</v>
      </c>
      <c r="H354" s="103">
        <v>0.85</v>
      </c>
      <c r="I354" s="101">
        <f t="shared" si="7"/>
        <v>-3.6764705882352838E-2</v>
      </c>
    </row>
    <row r="355" spans="1:9" x14ac:dyDescent="0.3">
      <c r="A355" s="100" t="s">
        <v>23</v>
      </c>
      <c r="B355" s="100" t="s">
        <v>28</v>
      </c>
      <c r="C355" s="100" t="s">
        <v>26</v>
      </c>
      <c r="D355" s="102">
        <v>45688</v>
      </c>
      <c r="E355" s="103">
        <v>0.79479999999999995</v>
      </c>
      <c r="F355" s="100">
        <v>1</v>
      </c>
      <c r="G355" s="100" t="s">
        <v>17</v>
      </c>
      <c r="H355" s="103">
        <v>0.85</v>
      </c>
      <c r="I355" s="101">
        <f t="shared" si="7"/>
        <v>4.6064753882600576E-2</v>
      </c>
    </row>
    <row r="356" spans="1:9" x14ac:dyDescent="0.3">
      <c r="A356" s="100" t="s">
        <v>23</v>
      </c>
      <c r="B356" s="100" t="s">
        <v>28</v>
      </c>
      <c r="C356" s="100" t="s">
        <v>26</v>
      </c>
      <c r="D356" s="102">
        <v>45716</v>
      </c>
      <c r="E356" s="103">
        <v>0.79059999999999997</v>
      </c>
      <c r="F356" s="100">
        <v>1</v>
      </c>
      <c r="G356" s="100" t="s">
        <v>17</v>
      </c>
      <c r="H356" s="103">
        <v>0.85</v>
      </c>
      <c r="I356" s="101">
        <f t="shared" si="7"/>
        <v>-5.2843482637141186E-3</v>
      </c>
    </row>
    <row r="357" spans="1:9" x14ac:dyDescent="0.3">
      <c r="A357" s="100" t="s">
        <v>23</v>
      </c>
      <c r="B357" s="100" t="s">
        <v>28</v>
      </c>
      <c r="C357" s="100" t="s">
        <v>26</v>
      </c>
      <c r="D357" s="102">
        <v>45747</v>
      </c>
      <c r="E357" s="103">
        <v>0.8206</v>
      </c>
      <c r="F357" s="100">
        <v>1</v>
      </c>
      <c r="G357" s="100" t="s">
        <v>17</v>
      </c>
      <c r="H357" s="103">
        <v>0.85</v>
      </c>
      <c r="I357" s="101">
        <f t="shared" si="7"/>
        <v>3.7945863900834848E-2</v>
      </c>
    </row>
    <row r="358" spans="1:9" x14ac:dyDescent="0.3">
      <c r="A358" s="100" t="s">
        <v>23</v>
      </c>
      <c r="B358" s="100" t="s">
        <v>28</v>
      </c>
      <c r="C358" s="100" t="s">
        <v>26</v>
      </c>
      <c r="D358" s="102">
        <v>45777</v>
      </c>
      <c r="E358" s="103">
        <v>0.79310000000000003</v>
      </c>
      <c r="F358" s="100">
        <v>1</v>
      </c>
      <c r="G358" s="100" t="s">
        <v>17</v>
      </c>
      <c r="H358" s="103">
        <v>0.85</v>
      </c>
      <c r="I358" s="101">
        <f t="shared" si="7"/>
        <v>-3.3512064343163499E-2</v>
      </c>
    </row>
    <row r="359" spans="1:9" x14ac:dyDescent="0.3">
      <c r="A359" s="100" t="s">
        <v>23</v>
      </c>
      <c r="B359" s="100" t="s">
        <v>28</v>
      </c>
      <c r="C359" s="100" t="s">
        <v>26</v>
      </c>
      <c r="D359" s="102">
        <v>45808</v>
      </c>
      <c r="E359" s="103">
        <v>0.77929999999999999</v>
      </c>
      <c r="F359" s="100">
        <v>1</v>
      </c>
      <c r="G359" s="100" t="s">
        <v>17</v>
      </c>
      <c r="H359" s="103">
        <v>0.85</v>
      </c>
      <c r="I359" s="101">
        <f t="shared" si="7"/>
        <v>-1.7400075652502879E-2</v>
      </c>
    </row>
    <row r="360" spans="1:9" x14ac:dyDescent="0.3">
      <c r="A360" s="100" t="s">
        <v>23</v>
      </c>
      <c r="B360" s="100" t="s">
        <v>28</v>
      </c>
      <c r="C360" s="100" t="s">
        <v>26</v>
      </c>
      <c r="D360" s="102">
        <v>45838</v>
      </c>
      <c r="E360" s="103">
        <v>0.78439999999999999</v>
      </c>
      <c r="F360" s="100">
        <v>1</v>
      </c>
      <c r="G360" s="100" t="s">
        <v>17</v>
      </c>
      <c r="H360" s="103">
        <v>0.85</v>
      </c>
      <c r="I360" s="101">
        <f t="shared" si="7"/>
        <v>6.5443346593096283E-3</v>
      </c>
    </row>
    <row r="361" spans="1:9" x14ac:dyDescent="0.3">
      <c r="A361" s="100" t="s">
        <v>23</v>
      </c>
      <c r="B361" s="100" t="s">
        <v>28</v>
      </c>
      <c r="C361" s="100" t="s">
        <v>26</v>
      </c>
      <c r="D361" s="102">
        <v>45869</v>
      </c>
      <c r="E361" s="103">
        <v>0.78700000000000003</v>
      </c>
      <c r="F361" s="100">
        <v>1</v>
      </c>
      <c r="G361" s="100" t="s">
        <v>17</v>
      </c>
      <c r="H361" s="103">
        <v>0.85</v>
      </c>
      <c r="I361" s="101">
        <f t="shared" si="7"/>
        <v>3.3146353901071478E-3</v>
      </c>
    </row>
    <row r="362" spans="1:9" x14ac:dyDescent="0.3">
      <c r="A362" s="100" t="s">
        <v>23</v>
      </c>
      <c r="B362" s="100" t="s">
        <v>28</v>
      </c>
      <c r="C362" s="100" t="s">
        <v>26</v>
      </c>
      <c r="D362" s="102">
        <v>45900</v>
      </c>
      <c r="E362" s="103">
        <v>0.79300000000000004</v>
      </c>
      <c r="F362" s="100">
        <v>0</v>
      </c>
      <c r="G362" s="100" t="s">
        <v>17</v>
      </c>
      <c r="H362" s="103">
        <v>0.85</v>
      </c>
      <c r="I362" s="101">
        <f t="shared" si="7"/>
        <v>7.6238881829733228E-3</v>
      </c>
    </row>
    <row r="363" spans="1:9" x14ac:dyDescent="0.3">
      <c r="A363" s="100" t="s">
        <v>23</v>
      </c>
      <c r="B363" s="100" t="s">
        <v>28</v>
      </c>
      <c r="C363" s="100" t="s">
        <v>26</v>
      </c>
      <c r="D363" s="102">
        <v>45930</v>
      </c>
      <c r="E363" s="103">
        <v>0.76100000000000001</v>
      </c>
      <c r="F363" s="100">
        <v>1</v>
      </c>
      <c r="G363" s="100" t="s">
        <v>17</v>
      </c>
      <c r="H363" s="103">
        <v>0.85</v>
      </c>
      <c r="I363" s="101">
        <f t="shared" si="7"/>
        <v>-4.0353089533417437E-2</v>
      </c>
    </row>
    <row r="364" spans="1:9" x14ac:dyDescent="0.3">
      <c r="A364" s="100" t="s">
        <v>23</v>
      </c>
      <c r="B364" s="100" t="s">
        <v>28</v>
      </c>
      <c r="C364" s="100" t="s">
        <v>26</v>
      </c>
      <c r="D364" s="102">
        <v>45961</v>
      </c>
      <c r="E364" s="103">
        <v>0.80400000000000005</v>
      </c>
      <c r="F364" s="100">
        <v>1</v>
      </c>
      <c r="G364" s="100" t="s">
        <v>17</v>
      </c>
      <c r="H364" s="103">
        <v>0.85</v>
      </c>
      <c r="I364" s="101">
        <f t="shared" si="7"/>
        <v>5.6504599211563783E-2</v>
      </c>
    </row>
    <row r="365" spans="1:9" x14ac:dyDescent="0.3">
      <c r="A365" s="100" t="s">
        <v>23</v>
      </c>
      <c r="B365" s="100" t="s">
        <v>28</v>
      </c>
      <c r="C365" s="100" t="s">
        <v>26</v>
      </c>
      <c r="D365" s="102">
        <v>45991</v>
      </c>
      <c r="E365" s="103">
        <v>0.79400000000000004</v>
      </c>
      <c r="F365" s="100">
        <v>1</v>
      </c>
      <c r="G365" s="100" t="s">
        <v>17</v>
      </c>
      <c r="H365" s="103">
        <v>0.85</v>
      </c>
      <c r="I365" s="101">
        <f t="shared" si="7"/>
        <v>-1.2437810945273643E-2</v>
      </c>
    </row>
    <row r="366" spans="1:9" x14ac:dyDescent="0.3">
      <c r="A366" s="100" t="s">
        <v>23</v>
      </c>
      <c r="B366" s="100" t="s">
        <v>28</v>
      </c>
      <c r="C366" s="100" t="s">
        <v>27</v>
      </c>
      <c r="D366" s="102">
        <v>45535</v>
      </c>
      <c r="E366" s="103">
        <v>0.68389999999999995</v>
      </c>
      <c r="F366" s="100">
        <v>0</v>
      </c>
      <c r="G366" s="100" t="s">
        <v>17</v>
      </c>
      <c r="H366" s="103">
        <v>0.7</v>
      </c>
      <c r="I366" s="101" t="str">
        <f t="shared" si="7"/>
        <v/>
      </c>
    </row>
    <row r="367" spans="1:9" x14ac:dyDescent="0.3">
      <c r="A367" s="100" t="s">
        <v>23</v>
      </c>
      <c r="B367" s="100" t="s">
        <v>28</v>
      </c>
      <c r="C367" s="100" t="s">
        <v>27</v>
      </c>
      <c r="D367" s="102">
        <v>45565</v>
      </c>
      <c r="E367" s="103">
        <v>0.69440000000000002</v>
      </c>
      <c r="F367" s="100">
        <v>0</v>
      </c>
      <c r="G367" s="100" t="s">
        <v>17</v>
      </c>
      <c r="H367" s="103">
        <v>0.7</v>
      </c>
      <c r="I367" s="101">
        <f t="shared" si="7"/>
        <v>1.5353121801433054E-2</v>
      </c>
    </row>
    <row r="368" spans="1:9" x14ac:dyDescent="0.3">
      <c r="A368" s="100" t="s">
        <v>23</v>
      </c>
      <c r="B368" s="100" t="s">
        <v>28</v>
      </c>
      <c r="C368" s="100" t="s">
        <v>27</v>
      </c>
      <c r="D368" s="102">
        <v>45596</v>
      </c>
      <c r="E368" s="103">
        <v>0.65449999999999997</v>
      </c>
      <c r="F368" s="100">
        <v>1</v>
      </c>
      <c r="G368" s="100" t="s">
        <v>17</v>
      </c>
      <c r="H368" s="103">
        <v>0.7</v>
      </c>
      <c r="I368" s="101">
        <f t="shared" si="7"/>
        <v>-5.7459677419354906E-2</v>
      </c>
    </row>
    <row r="369" spans="1:9" x14ac:dyDescent="0.3">
      <c r="A369" s="100" t="s">
        <v>23</v>
      </c>
      <c r="B369" s="100" t="s">
        <v>28</v>
      </c>
      <c r="C369" s="100" t="s">
        <v>27</v>
      </c>
      <c r="D369" s="102">
        <v>45626</v>
      </c>
      <c r="E369" s="103">
        <v>0.6532</v>
      </c>
      <c r="F369" s="100">
        <v>1</v>
      </c>
      <c r="G369" s="100" t="s">
        <v>17</v>
      </c>
      <c r="H369" s="103">
        <v>0.7</v>
      </c>
      <c r="I369" s="101">
        <f t="shared" si="7"/>
        <v>-1.9862490450725254E-3</v>
      </c>
    </row>
    <row r="370" spans="1:9" x14ac:dyDescent="0.3">
      <c r="A370" s="100" t="s">
        <v>23</v>
      </c>
      <c r="B370" s="100" t="s">
        <v>28</v>
      </c>
      <c r="C370" s="100" t="s">
        <v>27</v>
      </c>
      <c r="D370" s="102">
        <v>45657</v>
      </c>
      <c r="E370" s="103">
        <v>0.70479999999999998</v>
      </c>
      <c r="F370" s="100">
        <v>0</v>
      </c>
      <c r="G370" s="100" t="s">
        <v>17</v>
      </c>
      <c r="H370" s="103">
        <v>0.7</v>
      </c>
      <c r="I370" s="101">
        <f t="shared" si="7"/>
        <v>7.8995713410900156E-2</v>
      </c>
    </row>
    <row r="371" spans="1:9" x14ac:dyDescent="0.3">
      <c r="A371" s="100" t="s">
        <v>23</v>
      </c>
      <c r="B371" s="100" t="s">
        <v>28</v>
      </c>
      <c r="C371" s="100" t="s">
        <v>27</v>
      </c>
      <c r="D371" s="102">
        <v>45688</v>
      </c>
      <c r="E371" s="103">
        <v>0.67030000000000001</v>
      </c>
      <c r="F371" s="100">
        <v>0</v>
      </c>
      <c r="G371" s="100" t="s">
        <v>17</v>
      </c>
      <c r="H371" s="103">
        <v>0.7</v>
      </c>
      <c r="I371" s="101">
        <f t="shared" si="7"/>
        <v>-4.8950056753688957E-2</v>
      </c>
    </row>
    <row r="372" spans="1:9" x14ac:dyDescent="0.3">
      <c r="A372" s="100" t="s">
        <v>23</v>
      </c>
      <c r="B372" s="100" t="s">
        <v>28</v>
      </c>
      <c r="C372" s="100" t="s">
        <v>27</v>
      </c>
      <c r="D372" s="102">
        <v>45716</v>
      </c>
      <c r="E372" s="103">
        <v>0.64119999999999999</v>
      </c>
      <c r="F372" s="100">
        <v>1</v>
      </c>
      <c r="G372" s="100" t="s">
        <v>17</v>
      </c>
      <c r="H372" s="103">
        <v>0.7</v>
      </c>
      <c r="I372" s="101">
        <f t="shared" si="7"/>
        <v>-4.3413396986424012E-2</v>
      </c>
    </row>
    <row r="373" spans="1:9" x14ac:dyDescent="0.3">
      <c r="A373" s="100" t="s">
        <v>23</v>
      </c>
      <c r="B373" s="100" t="s">
        <v>28</v>
      </c>
      <c r="C373" s="100" t="s">
        <v>27</v>
      </c>
      <c r="D373" s="102">
        <v>45747</v>
      </c>
      <c r="E373" s="103">
        <v>0.70509999999999995</v>
      </c>
      <c r="F373" s="100">
        <v>0</v>
      </c>
      <c r="G373" s="100" t="s">
        <v>17</v>
      </c>
      <c r="H373" s="103">
        <v>0.7</v>
      </c>
      <c r="I373" s="101">
        <f t="shared" si="7"/>
        <v>9.9656893325015525E-2</v>
      </c>
    </row>
    <row r="374" spans="1:9" x14ac:dyDescent="0.3">
      <c r="A374" s="100" t="s">
        <v>23</v>
      </c>
      <c r="B374" s="100" t="s">
        <v>28</v>
      </c>
      <c r="C374" s="100" t="s">
        <v>27</v>
      </c>
      <c r="D374" s="102">
        <v>45777</v>
      </c>
      <c r="E374" s="103">
        <v>0.63639999999999997</v>
      </c>
      <c r="F374" s="100">
        <v>0</v>
      </c>
      <c r="G374" s="100" t="s">
        <v>17</v>
      </c>
      <c r="H374" s="103">
        <v>0.7</v>
      </c>
      <c r="I374" s="101">
        <f t="shared" si="7"/>
        <v>-9.7432988228620038E-2</v>
      </c>
    </row>
    <row r="375" spans="1:9" x14ac:dyDescent="0.3">
      <c r="A375" s="100" t="s">
        <v>23</v>
      </c>
      <c r="B375" s="100" t="s">
        <v>28</v>
      </c>
      <c r="C375" s="100" t="s">
        <v>27</v>
      </c>
      <c r="D375" s="102">
        <v>45808</v>
      </c>
      <c r="E375" s="103">
        <v>0.66359999999999997</v>
      </c>
      <c r="F375" s="100">
        <v>0</v>
      </c>
      <c r="G375" s="100" t="s">
        <v>17</v>
      </c>
      <c r="H375" s="103">
        <v>0.7</v>
      </c>
      <c r="I375" s="101">
        <f t="shared" si="7"/>
        <v>4.2740414833438094E-2</v>
      </c>
    </row>
    <row r="376" spans="1:9" x14ac:dyDescent="0.3">
      <c r="A376" s="100" t="s">
        <v>23</v>
      </c>
      <c r="B376" s="100" t="s">
        <v>28</v>
      </c>
      <c r="C376" s="100" t="s">
        <v>27</v>
      </c>
      <c r="D376" s="102">
        <v>45838</v>
      </c>
      <c r="E376" s="103">
        <v>0.69940000000000002</v>
      </c>
      <c r="F376" s="100">
        <v>0</v>
      </c>
      <c r="G376" s="100" t="s">
        <v>17</v>
      </c>
      <c r="H376" s="103">
        <v>0.7</v>
      </c>
      <c r="I376" s="101">
        <f t="shared" si="7"/>
        <v>5.3948161543098339E-2</v>
      </c>
    </row>
    <row r="377" spans="1:9" x14ac:dyDescent="0.3">
      <c r="A377" s="100" t="s">
        <v>23</v>
      </c>
      <c r="B377" s="100" t="s">
        <v>28</v>
      </c>
      <c r="C377" s="100" t="s">
        <v>27</v>
      </c>
      <c r="D377" s="102">
        <v>45869</v>
      </c>
      <c r="E377" s="103">
        <v>0.71899999999999997</v>
      </c>
      <c r="F377" s="100">
        <v>0</v>
      </c>
      <c r="G377" s="100" t="s">
        <v>17</v>
      </c>
      <c r="H377" s="103">
        <v>0.7</v>
      </c>
      <c r="I377" s="101">
        <f t="shared" si="7"/>
        <v>2.8024020589076281E-2</v>
      </c>
    </row>
    <row r="378" spans="1:9" x14ac:dyDescent="0.3">
      <c r="A378" s="100" t="s">
        <v>23</v>
      </c>
      <c r="B378" s="100" t="s">
        <v>28</v>
      </c>
      <c r="C378" s="100" t="s">
        <v>27</v>
      </c>
      <c r="D378" s="102">
        <v>45900</v>
      </c>
      <c r="E378" s="103">
        <v>0.68200000000000005</v>
      </c>
      <c r="F378" s="100">
        <v>0</v>
      </c>
      <c r="G378" s="100" t="s">
        <v>17</v>
      </c>
      <c r="H378" s="103">
        <v>0.7</v>
      </c>
      <c r="I378" s="101">
        <f t="shared" si="7"/>
        <v>-5.1460361613351768E-2</v>
      </c>
    </row>
    <row r="379" spans="1:9" x14ac:dyDescent="0.3">
      <c r="A379" s="100" t="s">
        <v>23</v>
      </c>
      <c r="B379" s="100" t="s">
        <v>28</v>
      </c>
      <c r="C379" s="100" t="s">
        <v>27</v>
      </c>
      <c r="D379" s="102">
        <v>45930</v>
      </c>
      <c r="E379" s="103">
        <v>0.72099999999999997</v>
      </c>
      <c r="F379" s="100">
        <v>0</v>
      </c>
      <c r="G379" s="100" t="s">
        <v>17</v>
      </c>
      <c r="H379" s="103">
        <v>0.7</v>
      </c>
      <c r="I379" s="101">
        <f t="shared" si="7"/>
        <v>5.7184750733137717E-2</v>
      </c>
    </row>
    <row r="380" spans="1:9" x14ac:dyDescent="0.3">
      <c r="A380" s="100" t="s">
        <v>23</v>
      </c>
      <c r="B380" s="100" t="s">
        <v>28</v>
      </c>
      <c r="C380" s="100" t="s">
        <v>27</v>
      </c>
      <c r="D380" s="102">
        <v>45961</v>
      </c>
      <c r="E380" s="103">
        <v>0.74</v>
      </c>
      <c r="F380" s="100">
        <v>0</v>
      </c>
      <c r="G380" s="100" t="s">
        <v>17</v>
      </c>
      <c r="H380" s="103">
        <v>0.7</v>
      </c>
      <c r="I380" s="101">
        <f t="shared" si="7"/>
        <v>2.6352288488210841E-2</v>
      </c>
    </row>
    <row r="381" spans="1:9" x14ac:dyDescent="0.3">
      <c r="A381" s="100" t="s">
        <v>23</v>
      </c>
      <c r="B381" s="100" t="s">
        <v>28</v>
      </c>
      <c r="C381" s="100" t="s">
        <v>27</v>
      </c>
      <c r="D381" s="102">
        <v>45991</v>
      </c>
      <c r="E381" s="103">
        <v>0.69799999999999995</v>
      </c>
      <c r="F381" s="100">
        <v>0</v>
      </c>
      <c r="G381" s="100" t="s">
        <v>17</v>
      </c>
      <c r="H381" s="103">
        <v>0.7</v>
      </c>
      <c r="I381" s="101">
        <f t="shared" si="7"/>
        <v>-5.6756756756756808E-2</v>
      </c>
    </row>
    <row r="382" spans="1:9" x14ac:dyDescent="0.3">
      <c r="A382" s="100" t="s">
        <v>10</v>
      </c>
      <c r="B382" s="100" t="s">
        <v>29</v>
      </c>
      <c r="C382" s="100" t="s">
        <v>12</v>
      </c>
      <c r="D382" s="102">
        <v>45535</v>
      </c>
      <c r="E382" s="103">
        <v>0.29139072847682118</v>
      </c>
      <c r="F382" s="100">
        <v>1</v>
      </c>
      <c r="G382" s="100" t="s">
        <v>13</v>
      </c>
      <c r="H382" s="103">
        <v>0.27</v>
      </c>
      <c r="I382" s="101" t="str">
        <f t="shared" si="7"/>
        <v/>
      </c>
    </row>
    <row r="383" spans="1:9" x14ac:dyDescent="0.3">
      <c r="A383" s="100" t="s">
        <v>10</v>
      </c>
      <c r="B383" s="100" t="s">
        <v>29</v>
      </c>
      <c r="C383" s="100" t="s">
        <v>12</v>
      </c>
      <c r="D383" s="102">
        <v>45565</v>
      </c>
      <c r="E383" s="103">
        <v>0.28227571115973737</v>
      </c>
      <c r="F383" s="100">
        <v>0</v>
      </c>
      <c r="G383" s="100" t="s">
        <v>13</v>
      </c>
      <c r="H383" s="103">
        <v>0.27</v>
      </c>
      <c r="I383" s="101">
        <f t="shared" si="7"/>
        <v>3.1281082156355791E-2</v>
      </c>
    </row>
    <row r="384" spans="1:9" x14ac:dyDescent="0.3">
      <c r="A384" s="100" t="s">
        <v>10</v>
      </c>
      <c r="B384" s="100" t="s">
        <v>29</v>
      </c>
      <c r="C384" s="100" t="s">
        <v>12</v>
      </c>
      <c r="D384" s="102">
        <v>45596</v>
      </c>
      <c r="E384" s="103">
        <v>0.30246575342465748</v>
      </c>
      <c r="F384" s="100">
        <v>1</v>
      </c>
      <c r="G384" s="100" t="s">
        <v>13</v>
      </c>
      <c r="H384" s="103">
        <v>0.27</v>
      </c>
      <c r="I384" s="101">
        <f t="shared" si="7"/>
        <v>-7.1525963682701463E-2</v>
      </c>
    </row>
    <row r="385" spans="1:9" x14ac:dyDescent="0.3">
      <c r="A385" s="100" t="s">
        <v>10</v>
      </c>
      <c r="B385" s="100" t="s">
        <v>29</v>
      </c>
      <c r="C385" s="100" t="s">
        <v>12</v>
      </c>
      <c r="D385" s="102">
        <v>45626</v>
      </c>
      <c r="E385" s="103">
        <v>0.29347826100000002</v>
      </c>
      <c r="F385" s="100">
        <v>0</v>
      </c>
      <c r="G385" s="100" t="s">
        <v>13</v>
      </c>
      <c r="H385" s="103">
        <v>0.27</v>
      </c>
      <c r="I385" s="101">
        <f t="shared" si="7"/>
        <v>2.9714082744564982E-2</v>
      </c>
    </row>
    <row r="386" spans="1:9" x14ac:dyDescent="0.3">
      <c r="A386" s="100" t="s">
        <v>10</v>
      </c>
      <c r="B386" s="100" t="s">
        <v>29</v>
      </c>
      <c r="C386" s="100" t="s">
        <v>12</v>
      </c>
      <c r="D386" s="102">
        <v>45657</v>
      </c>
      <c r="E386" s="103">
        <v>0.29967426710097722</v>
      </c>
      <c r="F386" s="100">
        <v>1</v>
      </c>
      <c r="G386" s="100" t="s">
        <v>13</v>
      </c>
      <c r="H386" s="103">
        <v>0.27</v>
      </c>
      <c r="I386" s="101">
        <f t="shared" si="7"/>
        <v>-2.1112317075427958E-2</v>
      </c>
    </row>
    <row r="387" spans="1:9" x14ac:dyDescent="0.3">
      <c r="A387" s="100" t="s">
        <v>10</v>
      </c>
      <c r="B387" s="100" t="s">
        <v>29</v>
      </c>
      <c r="C387" s="100" t="s">
        <v>12</v>
      </c>
      <c r="D387" s="102">
        <v>45688</v>
      </c>
      <c r="E387" s="103">
        <v>0.32397408207343409</v>
      </c>
      <c r="F387" s="100">
        <v>1</v>
      </c>
      <c r="G387" s="100" t="s">
        <v>13</v>
      </c>
      <c r="H387" s="103">
        <v>0.27</v>
      </c>
      <c r="I387" s="101">
        <f t="shared" ref="I387:I450" si="8">IF(OR(B387&lt;&gt;B386,C387&lt;&gt;C386),"",IF(E386=0,"",IF(G387="UP",(E387-E386)/E386,-((E387-E386)/E386))))</f>
        <v>-8.1087426049394104E-2</v>
      </c>
    </row>
    <row r="388" spans="1:9" x14ac:dyDescent="0.3">
      <c r="A388" s="100" t="s">
        <v>10</v>
      </c>
      <c r="B388" s="100" t="s">
        <v>29</v>
      </c>
      <c r="C388" s="100" t="s">
        <v>12</v>
      </c>
      <c r="D388" s="102">
        <v>45716</v>
      </c>
      <c r="E388" s="103">
        <v>0.29837837837837838</v>
      </c>
      <c r="F388" s="100">
        <v>1</v>
      </c>
      <c r="G388" s="100" t="s">
        <v>13</v>
      </c>
      <c r="H388" s="103">
        <v>0.27</v>
      </c>
      <c r="I388" s="101">
        <f t="shared" si="8"/>
        <v>7.900540540540528E-2</v>
      </c>
    </row>
    <row r="389" spans="1:9" x14ac:dyDescent="0.3">
      <c r="A389" s="100" t="s">
        <v>10</v>
      </c>
      <c r="B389" s="100" t="s">
        <v>29</v>
      </c>
      <c r="C389" s="100" t="s">
        <v>12</v>
      </c>
      <c r="D389" s="102">
        <v>45747</v>
      </c>
      <c r="E389" s="103">
        <v>0.3043712898003238</v>
      </c>
      <c r="F389" s="100">
        <v>1</v>
      </c>
      <c r="G389" s="100" t="s">
        <v>13</v>
      </c>
      <c r="H389" s="103">
        <v>0.27</v>
      </c>
      <c r="I389" s="101">
        <f t="shared" si="8"/>
        <v>-2.0084938642389517E-2</v>
      </c>
    </row>
    <row r="390" spans="1:9" x14ac:dyDescent="0.3">
      <c r="A390" s="100" t="s">
        <v>10</v>
      </c>
      <c r="B390" s="100" t="s">
        <v>29</v>
      </c>
      <c r="C390" s="100" t="s">
        <v>12</v>
      </c>
      <c r="D390" s="102">
        <v>45777</v>
      </c>
      <c r="E390" s="103">
        <v>0.30585683297180039</v>
      </c>
      <c r="F390" s="100">
        <v>1</v>
      </c>
      <c r="G390" s="100" t="s">
        <v>13</v>
      </c>
      <c r="H390" s="103">
        <v>0.27</v>
      </c>
      <c r="I390" s="101">
        <f t="shared" si="8"/>
        <v>-4.8806941431668773E-3</v>
      </c>
    </row>
    <row r="391" spans="1:9" x14ac:dyDescent="0.3">
      <c r="A391" s="100" t="s">
        <v>10</v>
      </c>
      <c r="B391" s="100" t="s">
        <v>29</v>
      </c>
      <c r="C391" s="100" t="s">
        <v>12</v>
      </c>
      <c r="D391" s="102">
        <v>45808</v>
      </c>
      <c r="E391" s="103">
        <v>0.2816593886462882</v>
      </c>
      <c r="F391" s="100">
        <v>1</v>
      </c>
      <c r="G391" s="100" t="s">
        <v>13</v>
      </c>
      <c r="H391" s="103">
        <v>0.27</v>
      </c>
      <c r="I391" s="101">
        <f t="shared" si="8"/>
        <v>7.9113630028802256E-2</v>
      </c>
    </row>
    <row r="392" spans="1:9" x14ac:dyDescent="0.3">
      <c r="A392" s="100" t="s">
        <v>10</v>
      </c>
      <c r="B392" s="100" t="s">
        <v>29</v>
      </c>
      <c r="C392" s="100" t="s">
        <v>12</v>
      </c>
      <c r="D392" s="102">
        <v>45838</v>
      </c>
      <c r="E392" s="103">
        <v>0.29480737018425462</v>
      </c>
      <c r="F392" s="100">
        <v>0</v>
      </c>
      <c r="G392" s="100" t="s">
        <v>13</v>
      </c>
      <c r="H392" s="103">
        <v>0.27</v>
      </c>
      <c r="I392" s="101">
        <f t="shared" si="8"/>
        <v>-4.6680430576655989E-2</v>
      </c>
    </row>
    <row r="393" spans="1:9" x14ac:dyDescent="0.3">
      <c r="A393" s="100" t="s">
        <v>10</v>
      </c>
      <c r="B393" s="100" t="s">
        <v>29</v>
      </c>
      <c r="C393" s="100" t="s">
        <v>12</v>
      </c>
      <c r="D393" s="102">
        <v>45869</v>
      </c>
      <c r="E393" s="103">
        <v>0.287835522558538</v>
      </c>
      <c r="F393" s="100">
        <v>0</v>
      </c>
      <c r="G393" s="100" t="s">
        <v>13</v>
      </c>
      <c r="H393" s="103">
        <v>0.27</v>
      </c>
      <c r="I393" s="101">
        <f t="shared" si="8"/>
        <v>2.3648824048595581E-2</v>
      </c>
    </row>
    <row r="394" spans="1:9" x14ac:dyDescent="0.3">
      <c r="A394" s="100" t="s">
        <v>10</v>
      </c>
      <c r="B394" s="100" t="s">
        <v>29</v>
      </c>
      <c r="C394" s="100" t="s">
        <v>12</v>
      </c>
      <c r="D394" s="102">
        <v>45900</v>
      </c>
      <c r="E394" s="103">
        <v>0.25366999412800939</v>
      </c>
      <c r="F394" s="100">
        <v>0</v>
      </c>
      <c r="G394" s="100" t="s">
        <v>13</v>
      </c>
      <c r="H394" s="103">
        <v>0.27</v>
      </c>
      <c r="I394" s="101">
        <f t="shared" si="8"/>
        <v>0.11869809579733254</v>
      </c>
    </row>
    <row r="395" spans="1:9" x14ac:dyDescent="0.3">
      <c r="A395" s="100" t="s">
        <v>10</v>
      </c>
      <c r="B395" s="100" t="s">
        <v>29</v>
      </c>
      <c r="C395" s="100" t="s">
        <v>12</v>
      </c>
      <c r="D395" s="102">
        <v>45930</v>
      </c>
      <c r="E395" s="103">
        <v>0.24757281553398061</v>
      </c>
      <c r="F395" s="100">
        <v>0</v>
      </c>
      <c r="G395" s="100" t="s">
        <v>13</v>
      </c>
      <c r="H395" s="103">
        <v>0.27</v>
      </c>
      <c r="I395" s="101">
        <f t="shared" si="8"/>
        <v>2.4035868392664379E-2</v>
      </c>
    </row>
    <row r="396" spans="1:9" x14ac:dyDescent="0.3">
      <c r="A396" s="100" t="s">
        <v>10</v>
      </c>
      <c r="B396" s="100" t="s">
        <v>29</v>
      </c>
      <c r="C396" s="100" t="s">
        <v>12</v>
      </c>
      <c r="D396" s="102">
        <v>45961</v>
      </c>
      <c r="E396" s="103">
        <v>0.25579937304075229</v>
      </c>
      <c r="F396" s="100">
        <v>0</v>
      </c>
      <c r="G396" s="100" t="s">
        <v>13</v>
      </c>
      <c r="H396" s="103">
        <v>0.27</v>
      </c>
      <c r="I396" s="101">
        <f t="shared" si="8"/>
        <v>-3.3228840125391471E-2</v>
      </c>
    </row>
    <row r="397" spans="1:9" x14ac:dyDescent="0.3">
      <c r="A397" s="100" t="s">
        <v>10</v>
      </c>
      <c r="B397" s="100" t="s">
        <v>29</v>
      </c>
      <c r="C397" s="100" t="s">
        <v>12</v>
      </c>
      <c r="D397" s="102">
        <v>45991</v>
      </c>
      <c r="E397" s="103">
        <v>0.2574772431729519</v>
      </c>
      <c r="F397" s="100">
        <v>0</v>
      </c>
      <c r="G397" s="100" t="s">
        <v>13</v>
      </c>
      <c r="H397" s="103">
        <v>0.27</v>
      </c>
      <c r="I397" s="101">
        <f t="shared" si="8"/>
        <v>-6.5593207373979886E-3</v>
      </c>
    </row>
    <row r="398" spans="1:9" x14ac:dyDescent="0.3">
      <c r="A398" s="100" t="s">
        <v>10</v>
      </c>
      <c r="B398" s="100" t="s">
        <v>29</v>
      </c>
      <c r="C398" s="100" t="s">
        <v>14</v>
      </c>
      <c r="D398" s="102">
        <v>45535</v>
      </c>
      <c r="E398" s="103">
        <v>7.01468189233279E-2</v>
      </c>
      <c r="F398" s="100">
        <v>1</v>
      </c>
      <c r="G398" s="100" t="s">
        <v>13</v>
      </c>
      <c r="H398" s="103">
        <v>5.3999999999999999E-2</v>
      </c>
      <c r="I398" s="101" t="str">
        <f t="shared" si="8"/>
        <v/>
      </c>
    </row>
    <row r="399" spans="1:9" x14ac:dyDescent="0.3">
      <c r="A399" s="100" t="s">
        <v>10</v>
      </c>
      <c r="B399" s="100" t="s">
        <v>29</v>
      </c>
      <c r="C399" s="100" t="s">
        <v>14</v>
      </c>
      <c r="D399" s="102">
        <v>45565</v>
      </c>
      <c r="E399" s="103">
        <v>7.7046548956661312E-2</v>
      </c>
      <c r="F399" s="100">
        <v>1</v>
      </c>
      <c r="G399" s="100" t="s">
        <v>13</v>
      </c>
      <c r="H399" s="103">
        <v>5.3999999999999999E-2</v>
      </c>
      <c r="I399" s="101">
        <f t="shared" si="8"/>
        <v>-9.8361267684497239E-2</v>
      </c>
    </row>
    <row r="400" spans="1:9" x14ac:dyDescent="0.3">
      <c r="A400" s="100" t="s">
        <v>10</v>
      </c>
      <c r="B400" s="100" t="s">
        <v>29</v>
      </c>
      <c r="C400" s="100" t="s">
        <v>14</v>
      </c>
      <c r="D400" s="102">
        <v>45596</v>
      </c>
      <c r="E400" s="103">
        <v>6.354515050167224E-2</v>
      </c>
      <c r="F400" s="100">
        <v>1</v>
      </c>
      <c r="G400" s="100" t="s">
        <v>13</v>
      </c>
      <c r="H400" s="103">
        <v>5.3999999999999999E-2</v>
      </c>
      <c r="I400" s="101">
        <f t="shared" si="8"/>
        <v>0.17523690078037901</v>
      </c>
    </row>
    <row r="401" spans="1:9" x14ac:dyDescent="0.3">
      <c r="A401" s="100" t="s">
        <v>10</v>
      </c>
      <c r="B401" s="100" t="s">
        <v>29</v>
      </c>
      <c r="C401" s="100" t="s">
        <v>14</v>
      </c>
      <c r="D401" s="102">
        <v>45626</v>
      </c>
      <c r="E401" s="103">
        <v>6.3741722000000001E-2</v>
      </c>
      <c r="F401" s="100">
        <v>0</v>
      </c>
      <c r="G401" s="100" t="s">
        <v>13</v>
      </c>
      <c r="H401" s="103">
        <v>5.3999999999999999E-2</v>
      </c>
      <c r="I401" s="101">
        <f t="shared" si="8"/>
        <v>-3.0934146315789689E-3</v>
      </c>
    </row>
    <row r="402" spans="1:9" x14ac:dyDescent="0.3">
      <c r="A402" s="100" t="s">
        <v>10</v>
      </c>
      <c r="B402" s="100" t="s">
        <v>29</v>
      </c>
      <c r="C402" s="100" t="s">
        <v>14</v>
      </c>
      <c r="D402" s="102">
        <v>45657</v>
      </c>
      <c r="E402" s="103">
        <v>6.5560165975103737E-2</v>
      </c>
      <c r="F402" s="100">
        <v>1</v>
      </c>
      <c r="G402" s="100" t="s">
        <v>13</v>
      </c>
      <c r="H402" s="103">
        <v>5.3999999999999999E-2</v>
      </c>
      <c r="I402" s="101">
        <f t="shared" si="8"/>
        <v>-2.8528315803952344E-2</v>
      </c>
    </row>
    <row r="403" spans="1:9" x14ac:dyDescent="0.3">
      <c r="A403" s="100" t="s">
        <v>10</v>
      </c>
      <c r="B403" s="100" t="s">
        <v>29</v>
      </c>
      <c r="C403" s="100" t="s">
        <v>14</v>
      </c>
      <c r="D403" s="102">
        <v>45688</v>
      </c>
      <c r="E403" s="103">
        <v>6.7880794701986755E-2</v>
      </c>
      <c r="F403" s="100">
        <v>0</v>
      </c>
      <c r="G403" s="100" t="s">
        <v>13</v>
      </c>
      <c r="H403" s="103">
        <v>5.3999999999999999E-2</v>
      </c>
      <c r="I403" s="101">
        <f t="shared" si="8"/>
        <v>-3.5396931846759946E-2</v>
      </c>
    </row>
    <row r="404" spans="1:9" x14ac:dyDescent="0.3">
      <c r="A404" s="100" t="s">
        <v>10</v>
      </c>
      <c r="B404" s="100" t="s">
        <v>29</v>
      </c>
      <c r="C404" s="100" t="s">
        <v>14</v>
      </c>
      <c r="D404" s="102">
        <v>45716</v>
      </c>
      <c r="E404" s="103">
        <v>6.4489112227805692E-2</v>
      </c>
      <c r="F404" s="100">
        <v>0</v>
      </c>
      <c r="G404" s="100" t="s">
        <v>13</v>
      </c>
      <c r="H404" s="103">
        <v>5.3999999999999999E-2</v>
      </c>
      <c r="I404" s="101">
        <f t="shared" si="8"/>
        <v>4.9965273522081993E-2</v>
      </c>
    </row>
    <row r="405" spans="1:9" x14ac:dyDescent="0.3">
      <c r="A405" s="100" t="s">
        <v>10</v>
      </c>
      <c r="B405" s="100" t="s">
        <v>29</v>
      </c>
      <c r="C405" s="100" t="s">
        <v>14</v>
      </c>
      <c r="D405" s="102">
        <v>45747</v>
      </c>
      <c r="E405" s="103">
        <v>6.9051580698835269E-2</v>
      </c>
      <c r="F405" s="100">
        <v>1</v>
      </c>
      <c r="G405" s="100" t="s">
        <v>13</v>
      </c>
      <c r="H405" s="103">
        <v>5.3999999999999999E-2</v>
      </c>
      <c r="I405" s="101">
        <f t="shared" si="8"/>
        <v>-7.0747887719601485E-2</v>
      </c>
    </row>
    <row r="406" spans="1:9" x14ac:dyDescent="0.3">
      <c r="A406" s="100" t="s">
        <v>10</v>
      </c>
      <c r="B406" s="100" t="s">
        <v>29</v>
      </c>
      <c r="C406" s="100" t="s">
        <v>14</v>
      </c>
      <c r="D406" s="102">
        <v>45777</v>
      </c>
      <c r="E406" s="103">
        <v>6.7612687813021696E-2</v>
      </c>
      <c r="F406" s="100">
        <v>1</v>
      </c>
      <c r="G406" s="100" t="s">
        <v>13</v>
      </c>
      <c r="H406" s="103">
        <v>5.3999999999999999E-2</v>
      </c>
      <c r="I406" s="101">
        <f t="shared" si="8"/>
        <v>2.0837942755998966E-2</v>
      </c>
    </row>
    <row r="407" spans="1:9" x14ac:dyDescent="0.3">
      <c r="A407" s="100" t="s">
        <v>10</v>
      </c>
      <c r="B407" s="100" t="s">
        <v>29</v>
      </c>
      <c r="C407" s="100" t="s">
        <v>14</v>
      </c>
      <c r="D407" s="102">
        <v>45808</v>
      </c>
      <c r="E407" s="103">
        <v>6.4080944350758853E-2</v>
      </c>
      <c r="F407" s="100">
        <v>1</v>
      </c>
      <c r="G407" s="100" t="s">
        <v>13</v>
      </c>
      <c r="H407" s="103">
        <v>5.3999999999999999E-2</v>
      </c>
      <c r="I407" s="101">
        <f t="shared" si="8"/>
        <v>5.2234921824578846E-2</v>
      </c>
    </row>
    <row r="408" spans="1:9" x14ac:dyDescent="0.3">
      <c r="A408" s="100" t="s">
        <v>10</v>
      </c>
      <c r="B408" s="100" t="s">
        <v>29</v>
      </c>
      <c r="C408" s="100" t="s">
        <v>14</v>
      </c>
      <c r="D408" s="102">
        <v>45838</v>
      </c>
      <c r="E408" s="103">
        <v>5.2003410059676042E-2</v>
      </c>
      <c r="F408" s="100">
        <v>0</v>
      </c>
      <c r="G408" s="100" t="s">
        <v>13</v>
      </c>
      <c r="H408" s="103">
        <v>5.3999999999999999E-2</v>
      </c>
      <c r="I408" s="101">
        <f t="shared" si="8"/>
        <v>0.18847310091084493</v>
      </c>
    </row>
    <row r="409" spans="1:9" x14ac:dyDescent="0.3">
      <c r="A409" s="100" t="s">
        <v>10</v>
      </c>
      <c r="B409" s="100" t="s">
        <v>29</v>
      </c>
      <c r="C409" s="100" t="s">
        <v>14</v>
      </c>
      <c r="D409" s="102">
        <v>45869</v>
      </c>
      <c r="E409" s="103">
        <v>4.5376712328767117E-2</v>
      </c>
      <c r="F409" s="100">
        <v>0</v>
      </c>
      <c r="G409" s="100" t="s">
        <v>13</v>
      </c>
      <c r="H409" s="103">
        <v>5.3999999999999999E-2</v>
      </c>
      <c r="I409" s="101">
        <f t="shared" si="8"/>
        <v>0.1274281383337077</v>
      </c>
    </row>
    <row r="410" spans="1:9" x14ac:dyDescent="0.3">
      <c r="A410" s="100" t="s">
        <v>10</v>
      </c>
      <c r="B410" s="100" t="s">
        <v>29</v>
      </c>
      <c r="C410" s="100" t="s">
        <v>14</v>
      </c>
      <c r="D410" s="102">
        <v>45900</v>
      </c>
      <c r="E410" s="103">
        <v>3.8826574633304571E-2</v>
      </c>
      <c r="F410" s="100">
        <v>0</v>
      </c>
      <c r="G410" s="100" t="s">
        <v>13</v>
      </c>
      <c r="H410" s="103">
        <v>5.3999999999999999E-2</v>
      </c>
      <c r="I410" s="101">
        <f t="shared" si="8"/>
        <v>0.14435020430755199</v>
      </c>
    </row>
    <row r="411" spans="1:9" x14ac:dyDescent="0.3">
      <c r="A411" s="100" t="s">
        <v>10</v>
      </c>
      <c r="B411" s="100" t="s">
        <v>29</v>
      </c>
      <c r="C411" s="100" t="s">
        <v>14</v>
      </c>
      <c r="D411" s="102">
        <v>45930</v>
      </c>
      <c r="E411" s="103">
        <v>5.1020408163265307E-2</v>
      </c>
      <c r="F411" s="100">
        <v>0</v>
      </c>
      <c r="G411" s="100" t="s">
        <v>13</v>
      </c>
      <c r="H411" s="103">
        <v>5.3999999999999999E-2</v>
      </c>
      <c r="I411" s="101">
        <f t="shared" si="8"/>
        <v>-0.31405895691609986</v>
      </c>
    </row>
    <row r="412" spans="1:9" x14ac:dyDescent="0.3">
      <c r="A412" s="100" t="s">
        <v>10</v>
      </c>
      <c r="B412" s="100" t="s">
        <v>29</v>
      </c>
      <c r="C412" s="100" t="s">
        <v>14</v>
      </c>
      <c r="D412" s="102">
        <v>45961</v>
      </c>
      <c r="E412" s="103">
        <v>5.0818260120585712E-2</v>
      </c>
      <c r="F412" s="100">
        <v>0</v>
      </c>
      <c r="G412" s="100" t="s">
        <v>13</v>
      </c>
      <c r="H412" s="103">
        <v>5.3999999999999999E-2</v>
      </c>
      <c r="I412" s="101">
        <f t="shared" si="8"/>
        <v>3.9621016365200658E-3</v>
      </c>
    </row>
    <row r="413" spans="1:9" x14ac:dyDescent="0.3">
      <c r="A413" s="100" t="s">
        <v>10</v>
      </c>
      <c r="B413" s="100" t="s">
        <v>29</v>
      </c>
      <c r="C413" s="100" t="s">
        <v>14</v>
      </c>
      <c r="D413" s="102">
        <v>45991</v>
      </c>
      <c r="E413" s="103">
        <v>4.6511627906976737E-2</v>
      </c>
      <c r="F413" s="100">
        <v>0</v>
      </c>
      <c r="G413" s="100" t="s">
        <v>13</v>
      </c>
      <c r="H413" s="103">
        <v>5.3999999999999999E-2</v>
      </c>
      <c r="I413" s="101">
        <f t="shared" si="8"/>
        <v>8.4745762711864736E-2</v>
      </c>
    </row>
    <row r="414" spans="1:9" x14ac:dyDescent="0.3">
      <c r="A414" s="100" t="s">
        <v>10</v>
      </c>
      <c r="B414" s="100" t="s">
        <v>29</v>
      </c>
      <c r="C414" s="100" t="s">
        <v>15</v>
      </c>
      <c r="D414" s="102">
        <v>45535</v>
      </c>
      <c r="E414" s="103">
        <v>7.7134986225895319E-2</v>
      </c>
      <c r="F414" s="100">
        <v>0</v>
      </c>
      <c r="G414" s="100" t="s">
        <v>13</v>
      </c>
      <c r="H414" s="103">
        <v>6.6000000000000003E-2</v>
      </c>
      <c r="I414" s="101" t="str">
        <f t="shared" si="8"/>
        <v/>
      </c>
    </row>
    <row r="415" spans="1:9" x14ac:dyDescent="0.3">
      <c r="A415" s="100" t="s">
        <v>10</v>
      </c>
      <c r="B415" s="100" t="s">
        <v>29</v>
      </c>
      <c r="C415" s="100" t="s">
        <v>15</v>
      </c>
      <c r="D415" s="102">
        <v>45565</v>
      </c>
      <c r="E415" s="103">
        <v>9.1644204851752023E-2</v>
      </c>
      <c r="F415" s="100">
        <v>0</v>
      </c>
      <c r="G415" s="100" t="s">
        <v>13</v>
      </c>
      <c r="H415" s="103">
        <v>6.6000000000000003E-2</v>
      </c>
      <c r="I415" s="101">
        <f t="shared" si="8"/>
        <v>-0.18810165575664226</v>
      </c>
    </row>
    <row r="416" spans="1:9" x14ac:dyDescent="0.3">
      <c r="A416" s="100" t="s">
        <v>10</v>
      </c>
      <c r="B416" s="100" t="s">
        <v>29</v>
      </c>
      <c r="C416" s="100" t="s">
        <v>15</v>
      </c>
      <c r="D416" s="102">
        <v>45596</v>
      </c>
      <c r="E416" s="103">
        <v>7.7994428969359333E-2</v>
      </c>
      <c r="F416" s="100">
        <v>0</v>
      </c>
      <c r="G416" s="100" t="s">
        <v>13</v>
      </c>
      <c r="H416" s="103">
        <v>6.6000000000000003E-2</v>
      </c>
      <c r="I416" s="101">
        <f t="shared" si="8"/>
        <v>0.1489431427166967</v>
      </c>
    </row>
    <row r="417" spans="1:9" x14ac:dyDescent="0.3">
      <c r="A417" s="100" t="s">
        <v>10</v>
      </c>
      <c r="B417" s="100" t="s">
        <v>29</v>
      </c>
      <c r="C417" s="100" t="s">
        <v>15</v>
      </c>
      <c r="D417" s="102">
        <v>45626</v>
      </c>
      <c r="E417" s="103">
        <v>7.3239437000000004E-2</v>
      </c>
      <c r="F417" s="100">
        <v>0</v>
      </c>
      <c r="G417" s="100" t="s">
        <v>13</v>
      </c>
      <c r="H417" s="103">
        <v>6.6000000000000003E-2</v>
      </c>
      <c r="I417" s="101">
        <f t="shared" si="8"/>
        <v>6.0965789892857107E-2</v>
      </c>
    </row>
    <row r="418" spans="1:9" x14ac:dyDescent="0.3">
      <c r="A418" s="100" t="s">
        <v>10</v>
      </c>
      <c r="B418" s="100" t="s">
        <v>29</v>
      </c>
      <c r="C418" s="100" t="s">
        <v>15</v>
      </c>
      <c r="D418" s="102">
        <v>45657</v>
      </c>
      <c r="E418" s="103">
        <v>6.8181818181818177E-2</v>
      </c>
      <c r="F418" s="100">
        <v>0</v>
      </c>
      <c r="G418" s="100" t="s">
        <v>13</v>
      </c>
      <c r="H418" s="103">
        <v>6.6000000000000003E-2</v>
      </c>
      <c r="I418" s="101">
        <f t="shared" si="8"/>
        <v>6.9055948889692145E-2</v>
      </c>
    </row>
    <row r="419" spans="1:9" x14ac:dyDescent="0.3">
      <c r="A419" s="100" t="s">
        <v>10</v>
      </c>
      <c r="B419" s="100" t="s">
        <v>29</v>
      </c>
      <c r="C419" s="100" t="s">
        <v>15</v>
      </c>
      <c r="D419" s="102">
        <v>45688</v>
      </c>
      <c r="E419" s="103">
        <v>5.8495821727019497E-2</v>
      </c>
      <c r="F419" s="100">
        <v>0</v>
      </c>
      <c r="G419" s="100" t="s">
        <v>13</v>
      </c>
      <c r="H419" s="103">
        <v>6.6000000000000003E-2</v>
      </c>
      <c r="I419" s="101">
        <f t="shared" si="8"/>
        <v>0.14206128133704732</v>
      </c>
    </row>
    <row r="420" spans="1:9" x14ac:dyDescent="0.3">
      <c r="A420" s="100" t="s">
        <v>10</v>
      </c>
      <c r="B420" s="100" t="s">
        <v>29</v>
      </c>
      <c r="C420" s="100" t="s">
        <v>15</v>
      </c>
      <c r="D420" s="102">
        <v>45716</v>
      </c>
      <c r="E420" s="103">
        <v>5.8988764044943819E-2</v>
      </c>
      <c r="F420" s="100">
        <v>0</v>
      </c>
      <c r="G420" s="100" t="s">
        <v>13</v>
      </c>
      <c r="H420" s="103">
        <v>6.6000000000000003E-2</v>
      </c>
      <c r="I420" s="101">
        <f t="shared" si="8"/>
        <v>-8.4269662921348382E-3</v>
      </c>
    </row>
    <row r="421" spans="1:9" x14ac:dyDescent="0.3">
      <c r="A421" s="100" t="s">
        <v>10</v>
      </c>
      <c r="B421" s="100" t="s">
        <v>29</v>
      </c>
      <c r="C421" s="100" t="s">
        <v>15</v>
      </c>
      <c r="D421" s="102">
        <v>45747</v>
      </c>
      <c r="E421" s="103">
        <v>4.8022598870056499E-2</v>
      </c>
      <c r="F421" s="100">
        <v>0</v>
      </c>
      <c r="G421" s="100" t="s">
        <v>13</v>
      </c>
      <c r="H421" s="103">
        <v>6.6000000000000003E-2</v>
      </c>
      <c r="I421" s="101">
        <f t="shared" si="8"/>
        <v>0.18590260963142313</v>
      </c>
    </row>
    <row r="422" spans="1:9" x14ac:dyDescent="0.3">
      <c r="A422" s="100" t="s">
        <v>10</v>
      </c>
      <c r="B422" s="100" t="s">
        <v>29</v>
      </c>
      <c r="C422" s="100" t="s">
        <v>15</v>
      </c>
      <c r="D422" s="102">
        <v>45777</v>
      </c>
      <c r="E422" s="103">
        <v>5.4285714285714277E-2</v>
      </c>
      <c r="F422" s="100">
        <v>0</v>
      </c>
      <c r="G422" s="100" t="s">
        <v>13</v>
      </c>
      <c r="H422" s="103">
        <v>6.6000000000000003E-2</v>
      </c>
      <c r="I422" s="101">
        <f t="shared" si="8"/>
        <v>-0.13042016806722667</v>
      </c>
    </row>
    <row r="423" spans="1:9" x14ac:dyDescent="0.3">
      <c r="A423" s="100" t="s">
        <v>10</v>
      </c>
      <c r="B423" s="100" t="s">
        <v>29</v>
      </c>
      <c r="C423" s="100" t="s">
        <v>15</v>
      </c>
      <c r="D423" s="102">
        <v>45808</v>
      </c>
      <c r="E423" s="103">
        <v>6.8965517241379309E-2</v>
      </c>
      <c r="F423" s="100">
        <v>0</v>
      </c>
      <c r="G423" s="100" t="s">
        <v>13</v>
      </c>
      <c r="H423" s="103">
        <v>6.6000000000000003E-2</v>
      </c>
      <c r="I423" s="101">
        <f t="shared" si="8"/>
        <v>-0.2704174228675138</v>
      </c>
    </row>
    <row r="424" spans="1:9" x14ac:dyDescent="0.3">
      <c r="A424" s="100" t="s">
        <v>10</v>
      </c>
      <c r="B424" s="100" t="s">
        <v>29</v>
      </c>
      <c r="C424" s="100" t="s">
        <v>15</v>
      </c>
      <c r="D424" s="102">
        <v>45838</v>
      </c>
      <c r="E424" s="103">
        <v>4.6511627906976737E-2</v>
      </c>
      <c r="F424" s="100">
        <v>0</v>
      </c>
      <c r="G424" s="100" t="s">
        <v>13</v>
      </c>
      <c r="H424" s="103">
        <v>6.6000000000000003E-2</v>
      </c>
      <c r="I424" s="101">
        <f t="shared" si="8"/>
        <v>0.32558139534883729</v>
      </c>
    </row>
    <row r="425" spans="1:9" x14ac:dyDescent="0.3">
      <c r="A425" s="100" t="s">
        <v>10</v>
      </c>
      <c r="B425" s="100" t="s">
        <v>29</v>
      </c>
      <c r="C425" s="100" t="s">
        <v>15</v>
      </c>
      <c r="D425" s="102">
        <v>45869</v>
      </c>
      <c r="E425" s="103">
        <v>4.4817927170868348E-2</v>
      </c>
      <c r="F425" s="100">
        <v>0</v>
      </c>
      <c r="G425" s="100" t="s">
        <v>13</v>
      </c>
      <c r="H425" s="103">
        <v>6.6000000000000003E-2</v>
      </c>
      <c r="I425" s="101">
        <f t="shared" si="8"/>
        <v>3.6414565826330368E-2</v>
      </c>
    </row>
    <row r="426" spans="1:9" x14ac:dyDescent="0.3">
      <c r="A426" s="100" t="s">
        <v>10</v>
      </c>
      <c r="B426" s="100" t="s">
        <v>29</v>
      </c>
      <c r="C426" s="100" t="s">
        <v>15</v>
      </c>
      <c r="D426" s="102">
        <v>45900</v>
      </c>
      <c r="E426" s="103">
        <v>3.6827195467422087E-2</v>
      </c>
      <c r="F426" s="100">
        <v>0</v>
      </c>
      <c r="G426" s="100" t="s">
        <v>13</v>
      </c>
      <c r="H426" s="103">
        <v>6.6000000000000003E-2</v>
      </c>
      <c r="I426" s="101">
        <f t="shared" si="8"/>
        <v>0.17829320113314467</v>
      </c>
    </row>
    <row r="427" spans="1:9" x14ac:dyDescent="0.3">
      <c r="A427" s="100" t="s">
        <v>10</v>
      </c>
      <c r="B427" s="100" t="s">
        <v>29</v>
      </c>
      <c r="C427" s="100" t="s">
        <v>15</v>
      </c>
      <c r="D427" s="102">
        <v>45930</v>
      </c>
      <c r="E427" s="103">
        <v>6.5934065934065936E-2</v>
      </c>
      <c r="F427" s="100">
        <v>0</v>
      </c>
      <c r="G427" s="100" t="s">
        <v>13</v>
      </c>
      <c r="H427" s="103">
        <v>6.6000000000000003E-2</v>
      </c>
      <c r="I427" s="101">
        <f t="shared" si="8"/>
        <v>-0.79036348267117551</v>
      </c>
    </row>
    <row r="428" spans="1:9" x14ac:dyDescent="0.3">
      <c r="A428" s="100" t="s">
        <v>10</v>
      </c>
      <c r="B428" s="100" t="s">
        <v>29</v>
      </c>
      <c r="C428" s="100" t="s">
        <v>15</v>
      </c>
      <c r="D428" s="102">
        <v>45961</v>
      </c>
      <c r="E428" s="103">
        <v>5.8495821727019497E-2</v>
      </c>
      <c r="F428" s="100">
        <v>0</v>
      </c>
      <c r="G428" s="100" t="s">
        <v>13</v>
      </c>
      <c r="H428" s="103">
        <v>6.6000000000000003E-2</v>
      </c>
      <c r="I428" s="101">
        <f t="shared" si="8"/>
        <v>0.11281337047353766</v>
      </c>
    </row>
    <row r="429" spans="1:9" x14ac:dyDescent="0.3">
      <c r="A429" s="100" t="s">
        <v>10</v>
      </c>
      <c r="B429" s="100" t="s">
        <v>29</v>
      </c>
      <c r="C429" s="100" t="s">
        <v>15</v>
      </c>
      <c r="D429" s="102">
        <v>45991</v>
      </c>
      <c r="E429" s="103">
        <v>6.1281337047353758E-2</v>
      </c>
      <c r="F429" s="100">
        <v>0</v>
      </c>
      <c r="G429" s="100" t="s">
        <v>13</v>
      </c>
      <c r="H429" s="103">
        <v>6.6000000000000003E-2</v>
      </c>
      <c r="I429" s="101">
        <f t="shared" si="8"/>
        <v>-4.7619047619047616E-2</v>
      </c>
    </row>
    <row r="430" spans="1:9" x14ac:dyDescent="0.3">
      <c r="A430" s="100" t="s">
        <v>10</v>
      </c>
      <c r="B430" s="100" t="s">
        <v>29</v>
      </c>
      <c r="C430" s="100" t="s">
        <v>16</v>
      </c>
      <c r="D430" s="102">
        <v>45535</v>
      </c>
      <c r="E430" s="103">
        <v>4.1666666666666657E-2</v>
      </c>
      <c r="F430" s="100">
        <v>0</v>
      </c>
      <c r="G430" s="100" t="s">
        <v>17</v>
      </c>
      <c r="H430" s="103">
        <v>0.16400000000000001</v>
      </c>
      <c r="I430" s="101" t="str">
        <f t="shared" si="8"/>
        <v/>
      </c>
    </row>
    <row r="431" spans="1:9" x14ac:dyDescent="0.3">
      <c r="A431" s="100" t="s">
        <v>10</v>
      </c>
      <c r="B431" s="100" t="s">
        <v>29</v>
      </c>
      <c r="C431" s="100" t="s">
        <v>16</v>
      </c>
      <c r="D431" s="102">
        <v>45565</v>
      </c>
      <c r="E431" s="103">
        <v>4.1666666666666657E-2</v>
      </c>
      <c r="F431" s="100">
        <v>0</v>
      </c>
      <c r="G431" s="100" t="s">
        <v>17</v>
      </c>
      <c r="H431" s="103">
        <v>0.16400000000000001</v>
      </c>
      <c r="I431" s="101">
        <f t="shared" si="8"/>
        <v>0</v>
      </c>
    </row>
    <row r="432" spans="1:9" x14ac:dyDescent="0.3">
      <c r="A432" s="100" t="s">
        <v>10</v>
      </c>
      <c r="B432" s="100" t="s">
        <v>29</v>
      </c>
      <c r="C432" s="100" t="s">
        <v>16</v>
      </c>
      <c r="D432" s="102">
        <v>45596</v>
      </c>
      <c r="E432" s="103">
        <v>4.2553191489361701E-2</v>
      </c>
      <c r="F432" s="100">
        <v>0</v>
      </c>
      <c r="G432" s="100" t="s">
        <v>17</v>
      </c>
      <c r="H432" s="103">
        <v>0.16400000000000001</v>
      </c>
      <c r="I432" s="101">
        <f t="shared" si="8"/>
        <v>2.1276595744681052E-2</v>
      </c>
    </row>
    <row r="433" spans="1:9" x14ac:dyDescent="0.3">
      <c r="A433" s="100" t="s">
        <v>10</v>
      </c>
      <c r="B433" s="100" t="s">
        <v>29</v>
      </c>
      <c r="C433" s="100" t="s">
        <v>16</v>
      </c>
      <c r="D433" s="102">
        <v>45626</v>
      </c>
      <c r="E433" s="103">
        <v>6.25E-2</v>
      </c>
      <c r="F433" s="100">
        <v>0</v>
      </c>
      <c r="G433" s="100" t="s">
        <v>17</v>
      </c>
      <c r="H433" s="103">
        <v>0.16400000000000001</v>
      </c>
      <c r="I433" s="101">
        <f t="shared" si="8"/>
        <v>0.46875000000000006</v>
      </c>
    </row>
    <row r="434" spans="1:9" x14ac:dyDescent="0.3">
      <c r="A434" s="100" t="s">
        <v>10</v>
      </c>
      <c r="B434" s="100" t="s">
        <v>29</v>
      </c>
      <c r="C434" s="100" t="s">
        <v>16</v>
      </c>
      <c r="D434" s="102">
        <v>45657</v>
      </c>
      <c r="E434" s="103">
        <v>6.1224489795918373E-2</v>
      </c>
      <c r="F434" s="100">
        <v>0</v>
      </c>
      <c r="G434" s="100" t="s">
        <v>17</v>
      </c>
      <c r="H434" s="103">
        <v>0.16400000000000001</v>
      </c>
      <c r="I434" s="101">
        <f t="shared" si="8"/>
        <v>-2.0408163265306034E-2</v>
      </c>
    </row>
    <row r="435" spans="1:9" x14ac:dyDescent="0.3">
      <c r="A435" s="100" t="s">
        <v>10</v>
      </c>
      <c r="B435" s="100" t="s">
        <v>29</v>
      </c>
      <c r="C435" s="100" t="s">
        <v>16</v>
      </c>
      <c r="D435" s="102">
        <v>45688</v>
      </c>
      <c r="E435" s="103">
        <v>4.0816326530612242E-2</v>
      </c>
      <c r="F435" s="100">
        <v>0</v>
      </c>
      <c r="G435" s="100" t="s">
        <v>17</v>
      </c>
      <c r="H435" s="103">
        <v>0.16400000000000001</v>
      </c>
      <c r="I435" s="101">
        <f t="shared" si="8"/>
        <v>-0.33333333333333343</v>
      </c>
    </row>
    <row r="436" spans="1:9" x14ac:dyDescent="0.3">
      <c r="A436" s="100" t="s">
        <v>10</v>
      </c>
      <c r="B436" s="100" t="s">
        <v>29</v>
      </c>
      <c r="C436" s="100" t="s">
        <v>16</v>
      </c>
      <c r="D436" s="102">
        <v>45716</v>
      </c>
      <c r="E436" s="103">
        <v>5.8823529411764712E-2</v>
      </c>
      <c r="F436" s="100">
        <v>0</v>
      </c>
      <c r="G436" s="100" t="s">
        <v>17</v>
      </c>
      <c r="H436" s="103">
        <v>0.16400000000000001</v>
      </c>
      <c r="I436" s="101">
        <f t="shared" si="8"/>
        <v>0.44117647058823556</v>
      </c>
    </row>
    <row r="437" spans="1:9" x14ac:dyDescent="0.3">
      <c r="A437" s="100" t="s">
        <v>10</v>
      </c>
      <c r="B437" s="100" t="s">
        <v>29</v>
      </c>
      <c r="C437" s="100" t="s">
        <v>16</v>
      </c>
      <c r="D437" s="102">
        <v>45747</v>
      </c>
      <c r="E437" s="103">
        <v>5.7692307692307702E-2</v>
      </c>
      <c r="F437" s="100">
        <v>0</v>
      </c>
      <c r="G437" s="100" t="s">
        <v>17</v>
      </c>
      <c r="H437" s="103">
        <v>0.16400000000000001</v>
      </c>
      <c r="I437" s="101">
        <f t="shared" si="8"/>
        <v>-1.9230769230769159E-2</v>
      </c>
    </row>
    <row r="438" spans="1:9" x14ac:dyDescent="0.3">
      <c r="A438" s="100" t="s">
        <v>10</v>
      </c>
      <c r="B438" s="100" t="s">
        <v>29</v>
      </c>
      <c r="C438" s="100" t="s">
        <v>16</v>
      </c>
      <c r="D438" s="102">
        <v>45777</v>
      </c>
      <c r="E438" s="103">
        <v>5.8823529411764712E-2</v>
      </c>
      <c r="F438" s="100">
        <v>0</v>
      </c>
      <c r="G438" s="100" t="s">
        <v>17</v>
      </c>
      <c r="H438" s="103">
        <v>0.16400000000000001</v>
      </c>
      <c r="I438" s="101">
        <f t="shared" si="8"/>
        <v>1.9607843137254829E-2</v>
      </c>
    </row>
    <row r="439" spans="1:9" x14ac:dyDescent="0.3">
      <c r="A439" s="100" t="s">
        <v>10</v>
      </c>
      <c r="B439" s="100" t="s">
        <v>29</v>
      </c>
      <c r="C439" s="100" t="s">
        <v>16</v>
      </c>
      <c r="D439" s="102">
        <v>45808</v>
      </c>
      <c r="E439" s="103">
        <v>0.06</v>
      </c>
      <c r="F439" s="100">
        <v>0</v>
      </c>
      <c r="G439" s="100" t="s">
        <v>17</v>
      </c>
      <c r="H439" s="103">
        <v>0.16400000000000001</v>
      </c>
      <c r="I439" s="101">
        <f t="shared" si="8"/>
        <v>1.9999999999999855E-2</v>
      </c>
    </row>
    <row r="440" spans="1:9" x14ac:dyDescent="0.3">
      <c r="A440" s="100" t="s">
        <v>10</v>
      </c>
      <c r="B440" s="100" t="s">
        <v>29</v>
      </c>
      <c r="C440" s="100" t="s">
        <v>16</v>
      </c>
      <c r="D440" s="102">
        <v>45838</v>
      </c>
      <c r="E440" s="103">
        <v>5.8823529411764712E-2</v>
      </c>
      <c r="F440" s="100">
        <v>0</v>
      </c>
      <c r="G440" s="100" t="s">
        <v>17</v>
      </c>
      <c r="H440" s="103">
        <v>0.16400000000000001</v>
      </c>
      <c r="I440" s="101">
        <f t="shared" si="8"/>
        <v>-1.9607843137254763E-2</v>
      </c>
    </row>
    <row r="441" spans="1:9" x14ac:dyDescent="0.3">
      <c r="A441" s="100" t="s">
        <v>10</v>
      </c>
      <c r="B441" s="100" t="s">
        <v>29</v>
      </c>
      <c r="C441" s="100" t="s">
        <v>16</v>
      </c>
      <c r="D441" s="102">
        <v>45869</v>
      </c>
      <c r="E441" s="103">
        <v>5.7692307692307702E-2</v>
      </c>
      <c r="F441" s="100">
        <v>0</v>
      </c>
      <c r="G441" s="100" t="s">
        <v>17</v>
      </c>
      <c r="H441" s="103">
        <v>0.16400000000000001</v>
      </c>
      <c r="I441" s="101">
        <f t="shared" si="8"/>
        <v>-1.9230769230769159E-2</v>
      </c>
    </row>
    <row r="442" spans="1:9" x14ac:dyDescent="0.3">
      <c r="A442" s="100" t="s">
        <v>10</v>
      </c>
      <c r="B442" s="100" t="s">
        <v>29</v>
      </c>
      <c r="C442" s="100" t="s">
        <v>16</v>
      </c>
      <c r="D442" s="102">
        <v>45900</v>
      </c>
      <c r="E442" s="103">
        <v>5.7692307692307702E-2</v>
      </c>
      <c r="F442" s="100">
        <v>0</v>
      </c>
      <c r="G442" s="100" t="s">
        <v>17</v>
      </c>
      <c r="H442" s="103">
        <v>0.16400000000000001</v>
      </c>
      <c r="I442" s="101">
        <f t="shared" si="8"/>
        <v>0</v>
      </c>
    </row>
    <row r="443" spans="1:9" x14ac:dyDescent="0.3">
      <c r="A443" s="100" t="s">
        <v>10</v>
      </c>
      <c r="B443" s="100" t="s">
        <v>29</v>
      </c>
      <c r="C443" s="100" t="s">
        <v>16</v>
      </c>
      <c r="D443" s="102">
        <v>45930</v>
      </c>
      <c r="E443" s="103">
        <v>5.5555555555555552E-2</v>
      </c>
      <c r="F443" s="100">
        <v>0</v>
      </c>
      <c r="G443" s="100" t="s">
        <v>17</v>
      </c>
      <c r="H443" s="103">
        <v>0.16400000000000001</v>
      </c>
      <c r="I443" s="101">
        <f t="shared" si="8"/>
        <v>-3.7037037037037257E-2</v>
      </c>
    </row>
    <row r="444" spans="1:9" x14ac:dyDescent="0.3">
      <c r="A444" s="100" t="s">
        <v>10</v>
      </c>
      <c r="B444" s="100" t="s">
        <v>29</v>
      </c>
      <c r="C444" s="100" t="s">
        <v>16</v>
      </c>
      <c r="D444" s="102">
        <v>45961</v>
      </c>
      <c r="E444" s="103">
        <v>5.5555555555555552E-2</v>
      </c>
      <c r="F444" s="100">
        <v>0</v>
      </c>
      <c r="G444" s="100" t="s">
        <v>17</v>
      </c>
      <c r="H444" s="103">
        <v>0.16400000000000001</v>
      </c>
      <c r="I444" s="101">
        <f t="shared" si="8"/>
        <v>0</v>
      </c>
    </row>
    <row r="445" spans="1:9" x14ac:dyDescent="0.3">
      <c r="A445" s="100" t="s">
        <v>10</v>
      </c>
      <c r="B445" s="100" t="s">
        <v>29</v>
      </c>
      <c r="C445" s="100" t="s">
        <v>16</v>
      </c>
      <c r="D445" s="102">
        <v>45991</v>
      </c>
      <c r="E445" s="103">
        <v>5.5555555555555552E-2</v>
      </c>
      <c r="F445" s="100">
        <v>0</v>
      </c>
      <c r="G445" s="100" t="s">
        <v>17</v>
      </c>
      <c r="H445" s="103">
        <v>0.16400000000000001</v>
      </c>
      <c r="I445" s="101">
        <f t="shared" si="8"/>
        <v>0</v>
      </c>
    </row>
    <row r="446" spans="1:9" x14ac:dyDescent="0.3">
      <c r="A446" s="100" t="s">
        <v>10</v>
      </c>
      <c r="B446" s="100" t="s">
        <v>29</v>
      </c>
      <c r="C446" s="100" t="s">
        <v>18</v>
      </c>
      <c r="D446" s="102">
        <v>45535</v>
      </c>
      <c r="E446" s="103">
        <v>8.4315503173164094E-2</v>
      </c>
      <c r="F446" s="100">
        <v>0</v>
      </c>
      <c r="G446" s="100" t="s">
        <v>13</v>
      </c>
      <c r="H446" s="103">
        <v>0.104</v>
      </c>
      <c r="I446" s="101" t="str">
        <f t="shared" si="8"/>
        <v/>
      </c>
    </row>
    <row r="447" spans="1:9" x14ac:dyDescent="0.3">
      <c r="A447" s="100" t="s">
        <v>10</v>
      </c>
      <c r="B447" s="100" t="s">
        <v>29</v>
      </c>
      <c r="C447" s="100" t="s">
        <v>18</v>
      </c>
      <c r="D447" s="102">
        <v>45565</v>
      </c>
      <c r="E447" s="103">
        <v>8.3859332732191164E-2</v>
      </c>
      <c r="F447" s="100">
        <v>0</v>
      </c>
      <c r="G447" s="100" t="s">
        <v>13</v>
      </c>
      <c r="H447" s="103">
        <v>0.104</v>
      </c>
      <c r="I447" s="101">
        <f t="shared" si="8"/>
        <v>5.4102795311090583E-3</v>
      </c>
    </row>
    <row r="448" spans="1:9" x14ac:dyDescent="0.3">
      <c r="A448" s="100" t="s">
        <v>10</v>
      </c>
      <c r="B448" s="100" t="s">
        <v>29</v>
      </c>
      <c r="C448" s="100" t="s">
        <v>18</v>
      </c>
      <c r="D448" s="102">
        <v>45596</v>
      </c>
      <c r="E448" s="103">
        <v>8.6363295599370268E-2</v>
      </c>
      <c r="F448" s="100">
        <v>0</v>
      </c>
      <c r="G448" s="100" t="s">
        <v>13</v>
      </c>
      <c r="H448" s="103">
        <v>0.104</v>
      </c>
      <c r="I448" s="101">
        <f t="shared" si="8"/>
        <v>-2.9859084082813195E-2</v>
      </c>
    </row>
    <row r="449" spans="1:9" x14ac:dyDescent="0.3">
      <c r="A449" s="100" t="s">
        <v>10</v>
      </c>
      <c r="B449" s="100" t="s">
        <v>29</v>
      </c>
      <c r="C449" s="100" t="s">
        <v>18</v>
      </c>
      <c r="D449" s="102">
        <v>45626</v>
      </c>
      <c r="E449" s="103">
        <v>8.6989014000000003E-2</v>
      </c>
      <c r="F449" s="100">
        <v>0</v>
      </c>
      <c r="G449" s="100" t="s">
        <v>13</v>
      </c>
      <c r="H449" s="103">
        <v>0.104</v>
      </c>
      <c r="I449" s="101">
        <f t="shared" si="8"/>
        <v>-7.2451890156250308E-3</v>
      </c>
    </row>
    <row r="450" spans="1:9" x14ac:dyDescent="0.3">
      <c r="A450" s="100" t="s">
        <v>10</v>
      </c>
      <c r="B450" s="100" t="s">
        <v>29</v>
      </c>
      <c r="C450" s="100" t="s">
        <v>18</v>
      </c>
      <c r="D450" s="102">
        <v>45657</v>
      </c>
      <c r="E450" s="103">
        <v>9.3945720250521919E-2</v>
      </c>
      <c r="F450" s="100">
        <v>0</v>
      </c>
      <c r="G450" s="100" t="s">
        <v>13</v>
      </c>
      <c r="H450" s="103">
        <v>0.104</v>
      </c>
      <c r="I450" s="101">
        <f t="shared" si="8"/>
        <v>-7.9972239374065279E-2</v>
      </c>
    </row>
    <row r="451" spans="1:9" x14ac:dyDescent="0.3">
      <c r="A451" s="100" t="s">
        <v>10</v>
      </c>
      <c r="B451" s="100" t="s">
        <v>29</v>
      </c>
      <c r="C451" s="100" t="s">
        <v>18</v>
      </c>
      <c r="D451" s="102">
        <v>45688</v>
      </c>
      <c r="E451" s="103">
        <v>9.7299709886186123E-2</v>
      </c>
      <c r="F451" s="100">
        <v>0</v>
      </c>
      <c r="G451" s="100" t="s">
        <v>13</v>
      </c>
      <c r="H451" s="103">
        <v>0.104</v>
      </c>
      <c r="I451" s="101">
        <f t="shared" ref="I451:I514" si="9">IF(OR(B451&lt;&gt;B450,C451&lt;&gt;C450),"",IF(E450=0,"",IF(G451="UP",(E451-E450)/E450,-((E451-E450)/E450))))</f>
        <v>-3.5701356344070075E-2</v>
      </c>
    </row>
    <row r="452" spans="1:9" x14ac:dyDescent="0.3">
      <c r="A452" s="100" t="s">
        <v>10</v>
      </c>
      <c r="B452" s="100" t="s">
        <v>29</v>
      </c>
      <c r="C452" s="100" t="s">
        <v>18</v>
      </c>
      <c r="D452" s="102">
        <v>45716</v>
      </c>
      <c r="E452" s="103">
        <v>9.5365418894830661E-2</v>
      </c>
      <c r="F452" s="100">
        <v>0</v>
      </c>
      <c r="G452" s="100" t="s">
        <v>13</v>
      </c>
      <c r="H452" s="103">
        <v>0.104</v>
      </c>
      <c r="I452" s="101">
        <f t="shared" si="9"/>
        <v>1.9879720028128031E-2</v>
      </c>
    </row>
    <row r="453" spans="1:9" x14ac:dyDescent="0.3">
      <c r="A453" s="100" t="s">
        <v>10</v>
      </c>
      <c r="B453" s="100" t="s">
        <v>29</v>
      </c>
      <c r="C453" s="100" t="s">
        <v>18</v>
      </c>
      <c r="D453" s="102">
        <v>45747</v>
      </c>
      <c r="E453" s="103">
        <v>9.5153401511783017E-2</v>
      </c>
      <c r="F453" s="100">
        <v>0</v>
      </c>
      <c r="G453" s="100" t="s">
        <v>13</v>
      </c>
      <c r="H453" s="103">
        <v>0.104</v>
      </c>
      <c r="I453" s="101">
        <f t="shared" si="9"/>
        <v>2.2232103156958564E-3</v>
      </c>
    </row>
    <row r="454" spans="1:9" x14ac:dyDescent="0.3">
      <c r="A454" s="100" t="s">
        <v>10</v>
      </c>
      <c r="B454" s="100" t="s">
        <v>29</v>
      </c>
      <c r="C454" s="100" t="s">
        <v>18</v>
      </c>
      <c r="D454" s="102">
        <v>45777</v>
      </c>
      <c r="E454" s="103">
        <v>9.8586337058692908E-2</v>
      </c>
      <c r="F454" s="100">
        <v>0</v>
      </c>
      <c r="G454" s="100" t="s">
        <v>13</v>
      </c>
      <c r="H454" s="103">
        <v>0.104</v>
      </c>
      <c r="I454" s="101">
        <f t="shared" si="9"/>
        <v>-3.6077906752338053E-2</v>
      </c>
    </row>
    <row r="455" spans="1:9" x14ac:dyDescent="0.3">
      <c r="A455" s="100" t="s">
        <v>10</v>
      </c>
      <c r="B455" s="100" t="s">
        <v>29</v>
      </c>
      <c r="C455" s="100" t="s">
        <v>18</v>
      </c>
      <c r="D455" s="102">
        <v>45808</v>
      </c>
      <c r="E455" s="103">
        <v>9.8542576015388017E-2</v>
      </c>
      <c r="F455" s="100">
        <v>0</v>
      </c>
      <c r="G455" s="100" t="s">
        <v>13</v>
      </c>
      <c r="H455" s="103">
        <v>0.104</v>
      </c>
      <c r="I455" s="101">
        <f t="shared" si="9"/>
        <v>4.4388547754683078E-4</v>
      </c>
    </row>
    <row r="456" spans="1:9" x14ac:dyDescent="0.3">
      <c r="A456" s="100" t="s">
        <v>10</v>
      </c>
      <c r="B456" s="100" t="s">
        <v>29</v>
      </c>
      <c r="C456" s="100" t="s">
        <v>18</v>
      </c>
      <c r="D456" s="102">
        <v>45838</v>
      </c>
      <c r="E456" s="103">
        <v>0.1003998223011995</v>
      </c>
      <c r="F456" s="100">
        <v>0</v>
      </c>
      <c r="G456" s="100" t="s">
        <v>13</v>
      </c>
      <c r="H456" s="103">
        <v>0.104</v>
      </c>
      <c r="I456" s="101">
        <f t="shared" si="9"/>
        <v>-1.8847145679664983E-2</v>
      </c>
    </row>
    <row r="457" spans="1:9" x14ac:dyDescent="0.3">
      <c r="A457" s="100" t="s">
        <v>10</v>
      </c>
      <c r="B457" s="100" t="s">
        <v>29</v>
      </c>
      <c r="C457" s="100" t="s">
        <v>18</v>
      </c>
      <c r="D457" s="102">
        <v>45869</v>
      </c>
      <c r="E457" s="103">
        <v>0.10237388724035611</v>
      </c>
      <c r="F457" s="100">
        <v>0</v>
      </c>
      <c r="G457" s="100" t="s">
        <v>13</v>
      </c>
      <c r="H457" s="103">
        <v>0.104</v>
      </c>
      <c r="I457" s="101">
        <f t="shared" si="9"/>
        <v>-1.9662036186024471E-2</v>
      </c>
    </row>
    <row r="458" spans="1:9" x14ac:dyDescent="0.3">
      <c r="A458" s="100" t="s">
        <v>10</v>
      </c>
      <c r="B458" s="100" t="s">
        <v>29</v>
      </c>
      <c r="C458" s="100" t="s">
        <v>18</v>
      </c>
      <c r="D458" s="102">
        <v>45900</v>
      </c>
      <c r="E458" s="103">
        <v>9.3666369313113299E-2</v>
      </c>
      <c r="F458" s="100">
        <v>0</v>
      </c>
      <c r="G458" s="100" t="s">
        <v>13</v>
      </c>
      <c r="H458" s="103">
        <v>0.104</v>
      </c>
      <c r="I458" s="101">
        <f t="shared" si="9"/>
        <v>8.505604468060364E-2</v>
      </c>
    </row>
    <row r="459" spans="1:9" x14ac:dyDescent="0.3">
      <c r="A459" s="100" t="s">
        <v>10</v>
      </c>
      <c r="B459" s="100" t="s">
        <v>29</v>
      </c>
      <c r="C459" s="100" t="s">
        <v>18</v>
      </c>
      <c r="D459" s="102">
        <v>45930</v>
      </c>
      <c r="E459" s="103">
        <v>9.3016322575836627E-2</v>
      </c>
      <c r="F459" s="100">
        <v>0</v>
      </c>
      <c r="G459" s="100" t="s">
        <v>13</v>
      </c>
      <c r="H459" s="103">
        <v>0.104</v>
      </c>
      <c r="I459" s="101">
        <f t="shared" si="9"/>
        <v>6.9400227855918933E-3</v>
      </c>
    </row>
    <row r="460" spans="1:9" x14ac:dyDescent="0.3">
      <c r="A460" s="100" t="s">
        <v>10</v>
      </c>
      <c r="B460" s="100" t="s">
        <v>29</v>
      </c>
      <c r="C460" s="100" t="s">
        <v>18</v>
      </c>
      <c r="D460" s="102">
        <v>45961</v>
      </c>
      <c r="E460" s="103">
        <v>9.6759743168582935E-2</v>
      </c>
      <c r="F460" s="100">
        <v>0</v>
      </c>
      <c r="G460" s="100" t="s">
        <v>13</v>
      </c>
      <c r="H460" s="103">
        <v>0.104</v>
      </c>
      <c r="I460" s="101">
        <f t="shared" si="9"/>
        <v>-4.0244770907754177E-2</v>
      </c>
    </row>
    <row r="461" spans="1:9" x14ac:dyDescent="0.3">
      <c r="A461" s="100" t="s">
        <v>10</v>
      </c>
      <c r="B461" s="100" t="s">
        <v>29</v>
      </c>
      <c r="C461" s="100" t="s">
        <v>18</v>
      </c>
      <c r="D461" s="102">
        <v>45991</v>
      </c>
      <c r="E461" s="103">
        <v>9.7889537494387072E-2</v>
      </c>
      <c r="F461" s="100">
        <v>0</v>
      </c>
      <c r="G461" s="100" t="s">
        <v>13</v>
      </c>
      <c r="H461" s="103">
        <v>0.104</v>
      </c>
      <c r="I461" s="101">
        <f t="shared" si="9"/>
        <v>-1.1676284876404795E-2</v>
      </c>
    </row>
    <row r="462" spans="1:9" x14ac:dyDescent="0.3">
      <c r="A462" s="100" t="s">
        <v>10</v>
      </c>
      <c r="B462" s="100" t="s">
        <v>29</v>
      </c>
      <c r="C462" s="100" t="s">
        <v>19</v>
      </c>
      <c r="D462" s="102">
        <v>45535</v>
      </c>
      <c r="E462" s="103">
        <v>0.1100196463654224</v>
      </c>
      <c r="F462" s="100">
        <v>1</v>
      </c>
      <c r="G462" s="100" t="s">
        <v>13</v>
      </c>
      <c r="H462" s="103">
        <v>0.1</v>
      </c>
      <c r="I462" s="101" t="str">
        <f t="shared" si="9"/>
        <v/>
      </c>
    </row>
    <row r="463" spans="1:9" x14ac:dyDescent="0.3">
      <c r="A463" s="100" t="s">
        <v>10</v>
      </c>
      <c r="B463" s="100" t="s">
        <v>29</v>
      </c>
      <c r="C463" s="100" t="s">
        <v>19</v>
      </c>
      <c r="D463" s="102">
        <v>45565</v>
      </c>
      <c r="E463" s="103">
        <v>0.1078998073217726</v>
      </c>
      <c r="F463" s="100">
        <v>1</v>
      </c>
      <c r="G463" s="100" t="s">
        <v>13</v>
      </c>
      <c r="H463" s="103">
        <v>0.1</v>
      </c>
      <c r="I463" s="101">
        <f t="shared" si="9"/>
        <v>1.9267822736031257E-2</v>
      </c>
    </row>
    <row r="464" spans="1:9" x14ac:dyDescent="0.3">
      <c r="A464" s="100" t="s">
        <v>10</v>
      </c>
      <c r="B464" s="100" t="s">
        <v>29</v>
      </c>
      <c r="C464" s="100" t="s">
        <v>19</v>
      </c>
      <c r="D464" s="102">
        <v>45596</v>
      </c>
      <c r="E464" s="103">
        <v>0.105993690851735</v>
      </c>
      <c r="F464" s="100">
        <v>1</v>
      </c>
      <c r="G464" s="100" t="s">
        <v>13</v>
      </c>
      <c r="H464" s="103">
        <v>0.1</v>
      </c>
      <c r="I464" s="101">
        <f t="shared" si="9"/>
        <v>1.7665615141955544E-2</v>
      </c>
    </row>
    <row r="465" spans="1:9" x14ac:dyDescent="0.3">
      <c r="A465" s="100" t="s">
        <v>10</v>
      </c>
      <c r="B465" s="100" t="s">
        <v>29</v>
      </c>
      <c r="C465" s="100" t="s">
        <v>19</v>
      </c>
      <c r="D465" s="102">
        <v>45626</v>
      </c>
      <c r="E465" s="103">
        <v>0.104347826</v>
      </c>
      <c r="F465" s="100">
        <v>0</v>
      </c>
      <c r="G465" s="100" t="s">
        <v>13</v>
      </c>
      <c r="H465" s="103">
        <v>0.1</v>
      </c>
      <c r="I465" s="101">
        <f t="shared" si="9"/>
        <v>1.5527951130952223E-2</v>
      </c>
    </row>
    <row r="466" spans="1:9" x14ac:dyDescent="0.3">
      <c r="A466" s="100" t="s">
        <v>10</v>
      </c>
      <c r="B466" s="100" t="s">
        <v>29</v>
      </c>
      <c r="C466" s="100" t="s">
        <v>19</v>
      </c>
      <c r="D466" s="102">
        <v>45657</v>
      </c>
      <c r="E466" s="103">
        <v>0.1175750153092468</v>
      </c>
      <c r="F466" s="100">
        <v>1</v>
      </c>
      <c r="G466" s="100" t="s">
        <v>13</v>
      </c>
      <c r="H466" s="103">
        <v>0.1</v>
      </c>
      <c r="I466" s="101">
        <f t="shared" si="9"/>
        <v>-0.12676056431924893</v>
      </c>
    </row>
    <row r="467" spans="1:9" x14ac:dyDescent="0.3">
      <c r="A467" s="100" t="s">
        <v>10</v>
      </c>
      <c r="B467" s="100" t="s">
        <v>29</v>
      </c>
      <c r="C467" s="100" t="s">
        <v>19</v>
      </c>
      <c r="D467" s="102">
        <v>45688</v>
      </c>
      <c r="E467" s="103">
        <v>0.12311406155703079</v>
      </c>
      <c r="F467" s="100">
        <v>1</v>
      </c>
      <c r="G467" s="100" t="s">
        <v>13</v>
      </c>
      <c r="H467" s="103">
        <v>0.1</v>
      </c>
      <c r="I467" s="101">
        <f t="shared" si="9"/>
        <v>-4.7110742305371149E-2</v>
      </c>
    </row>
    <row r="468" spans="1:9" x14ac:dyDescent="0.3">
      <c r="A468" s="100" t="s">
        <v>10</v>
      </c>
      <c r="B468" s="100" t="s">
        <v>29</v>
      </c>
      <c r="C468" s="100" t="s">
        <v>19</v>
      </c>
      <c r="D468" s="102">
        <v>45716</v>
      </c>
      <c r="E468" s="103">
        <v>0.1</v>
      </c>
      <c r="F468" s="100">
        <v>0</v>
      </c>
      <c r="G468" s="100" t="s">
        <v>13</v>
      </c>
      <c r="H468" s="103">
        <v>0.1</v>
      </c>
      <c r="I468" s="101">
        <f t="shared" si="9"/>
        <v>0.18774509803921574</v>
      </c>
    </row>
    <row r="469" spans="1:9" x14ac:dyDescent="0.3">
      <c r="A469" s="100" t="s">
        <v>10</v>
      </c>
      <c r="B469" s="100" t="s">
        <v>29</v>
      </c>
      <c r="C469" s="100" t="s">
        <v>19</v>
      </c>
      <c r="D469" s="102">
        <v>45747</v>
      </c>
      <c r="E469" s="103">
        <v>9.8823529411764713E-2</v>
      </c>
      <c r="F469" s="100">
        <v>0</v>
      </c>
      <c r="G469" s="100" t="s">
        <v>13</v>
      </c>
      <c r="H469" s="103">
        <v>0.1</v>
      </c>
      <c r="I469" s="101">
        <f t="shared" si="9"/>
        <v>1.1764705882352927E-2</v>
      </c>
    </row>
    <row r="470" spans="1:9" x14ac:dyDescent="0.3">
      <c r="A470" s="100" t="s">
        <v>10</v>
      </c>
      <c r="B470" s="100" t="s">
        <v>29</v>
      </c>
      <c r="C470" s="100" t="s">
        <v>19</v>
      </c>
      <c r="D470" s="102">
        <v>45777</v>
      </c>
      <c r="E470" s="103">
        <v>0.1050788091068301</v>
      </c>
      <c r="F470" s="100">
        <v>0</v>
      </c>
      <c r="G470" s="100" t="s">
        <v>13</v>
      </c>
      <c r="H470" s="103">
        <v>0.1</v>
      </c>
      <c r="I470" s="101">
        <f t="shared" si="9"/>
        <v>-6.3297473104828278E-2</v>
      </c>
    </row>
    <row r="471" spans="1:9" x14ac:dyDescent="0.3">
      <c r="A471" s="100" t="s">
        <v>10</v>
      </c>
      <c r="B471" s="100" t="s">
        <v>29</v>
      </c>
      <c r="C471" s="100" t="s">
        <v>19</v>
      </c>
      <c r="D471" s="102">
        <v>45808</v>
      </c>
      <c r="E471" s="103">
        <v>0.11175785797438879</v>
      </c>
      <c r="F471" s="100">
        <v>1</v>
      </c>
      <c r="G471" s="100" t="s">
        <v>13</v>
      </c>
      <c r="H471" s="103">
        <v>0.1</v>
      </c>
      <c r="I471" s="101">
        <f t="shared" si="9"/>
        <v>-6.3562281722933628E-2</v>
      </c>
    </row>
    <row r="472" spans="1:9" x14ac:dyDescent="0.3">
      <c r="A472" s="100" t="s">
        <v>10</v>
      </c>
      <c r="B472" s="100" t="s">
        <v>29</v>
      </c>
      <c r="C472" s="100" t="s">
        <v>19</v>
      </c>
      <c r="D472" s="102">
        <v>45838</v>
      </c>
      <c r="E472" s="103">
        <v>9.1553133514986382E-2</v>
      </c>
      <c r="F472" s="100">
        <v>0</v>
      </c>
      <c r="G472" s="100" t="s">
        <v>13</v>
      </c>
      <c r="H472" s="103">
        <v>0.1</v>
      </c>
      <c r="I472" s="101">
        <f t="shared" si="9"/>
        <v>0.18079019073569455</v>
      </c>
    </row>
    <row r="473" spans="1:9" x14ac:dyDescent="0.3">
      <c r="A473" s="100" t="s">
        <v>10</v>
      </c>
      <c r="B473" s="100" t="s">
        <v>29</v>
      </c>
      <c r="C473" s="100" t="s">
        <v>19</v>
      </c>
      <c r="D473" s="102">
        <v>45869</v>
      </c>
      <c r="E473" s="103">
        <v>9.5238095238095233E-2</v>
      </c>
      <c r="F473" s="100">
        <v>0</v>
      </c>
      <c r="G473" s="100" t="s">
        <v>13</v>
      </c>
      <c r="H473" s="103">
        <v>0.1</v>
      </c>
      <c r="I473" s="101">
        <f t="shared" si="9"/>
        <v>-4.024943310657584E-2</v>
      </c>
    </row>
    <row r="474" spans="1:9" x14ac:dyDescent="0.3">
      <c r="A474" s="100" t="s">
        <v>10</v>
      </c>
      <c r="B474" s="100" t="s">
        <v>29</v>
      </c>
      <c r="C474" s="100" t="s">
        <v>19</v>
      </c>
      <c r="D474" s="102">
        <v>45900</v>
      </c>
      <c r="E474" s="103">
        <v>8.3931947069943294E-2</v>
      </c>
      <c r="F474" s="100">
        <v>0</v>
      </c>
      <c r="G474" s="100" t="s">
        <v>13</v>
      </c>
      <c r="H474" s="103">
        <v>0.1</v>
      </c>
      <c r="I474" s="101">
        <f t="shared" si="9"/>
        <v>0.11871455576559536</v>
      </c>
    </row>
    <row r="475" spans="1:9" x14ac:dyDescent="0.3">
      <c r="A475" s="100" t="s">
        <v>10</v>
      </c>
      <c r="B475" s="100" t="s">
        <v>29</v>
      </c>
      <c r="C475" s="100" t="s">
        <v>19</v>
      </c>
      <c r="D475" s="102">
        <v>45930</v>
      </c>
      <c r="E475" s="103">
        <v>9.0943539219401293E-2</v>
      </c>
      <c r="F475" s="100">
        <v>0</v>
      </c>
      <c r="G475" s="100" t="s">
        <v>13</v>
      </c>
      <c r="H475" s="103">
        <v>0.1</v>
      </c>
      <c r="I475" s="101">
        <f t="shared" si="9"/>
        <v>-8.3539014573497314E-2</v>
      </c>
    </row>
    <row r="476" spans="1:9" x14ac:dyDescent="0.3">
      <c r="A476" s="100" t="s">
        <v>10</v>
      </c>
      <c r="B476" s="100" t="s">
        <v>29</v>
      </c>
      <c r="C476" s="100" t="s">
        <v>19</v>
      </c>
      <c r="D476" s="102">
        <v>45961</v>
      </c>
      <c r="E476" s="103">
        <v>8.6461888509670085E-2</v>
      </c>
      <c r="F476" s="100">
        <v>0</v>
      </c>
      <c r="G476" s="100" t="s">
        <v>13</v>
      </c>
      <c r="H476" s="103">
        <v>0.1</v>
      </c>
      <c r="I476" s="101">
        <f t="shared" si="9"/>
        <v>4.9279484262419404E-2</v>
      </c>
    </row>
    <row r="477" spans="1:9" x14ac:dyDescent="0.3">
      <c r="A477" s="100" t="s">
        <v>10</v>
      </c>
      <c r="B477" s="100" t="s">
        <v>29</v>
      </c>
      <c r="C477" s="100" t="s">
        <v>19</v>
      </c>
      <c r="D477" s="102">
        <v>45991</v>
      </c>
      <c r="E477" s="103">
        <v>8.9689536220774246E-2</v>
      </c>
      <c r="F477" s="100">
        <v>0</v>
      </c>
      <c r="G477" s="100" t="s">
        <v>13</v>
      </c>
      <c r="H477" s="103">
        <v>0.1</v>
      </c>
      <c r="I477" s="101">
        <f t="shared" si="9"/>
        <v>-3.7330293921849451E-2</v>
      </c>
    </row>
    <row r="478" spans="1:9" x14ac:dyDescent="0.3">
      <c r="A478" s="100" t="s">
        <v>20</v>
      </c>
      <c r="B478" s="100" t="s">
        <v>29</v>
      </c>
      <c r="C478" s="100" t="s">
        <v>21</v>
      </c>
      <c r="D478" s="102">
        <v>45535</v>
      </c>
      <c r="E478" s="103">
        <v>0.77400000000000002</v>
      </c>
      <c r="F478" s="100">
        <v>0</v>
      </c>
      <c r="G478" s="100" t="s">
        <v>13</v>
      </c>
      <c r="H478" s="103">
        <v>0.59</v>
      </c>
      <c r="I478" s="101" t="str">
        <f t="shared" si="9"/>
        <v/>
      </c>
    </row>
    <row r="479" spans="1:9" x14ac:dyDescent="0.3">
      <c r="A479" s="100" t="s">
        <v>20</v>
      </c>
      <c r="B479" s="100" t="s">
        <v>29</v>
      </c>
      <c r="C479" s="100" t="s">
        <v>21</v>
      </c>
      <c r="D479" s="102">
        <v>45565</v>
      </c>
      <c r="E479" s="103">
        <v>0.755</v>
      </c>
      <c r="F479" s="100">
        <v>0</v>
      </c>
      <c r="G479" s="100" t="s">
        <v>13</v>
      </c>
      <c r="H479" s="103">
        <v>0.59</v>
      </c>
      <c r="I479" s="101">
        <f t="shared" si="9"/>
        <v>2.4547803617571081E-2</v>
      </c>
    </row>
    <row r="480" spans="1:9" x14ac:dyDescent="0.3">
      <c r="A480" s="100" t="s">
        <v>20</v>
      </c>
      <c r="B480" s="100" t="s">
        <v>29</v>
      </c>
      <c r="C480" s="100" t="s">
        <v>21</v>
      </c>
      <c r="D480" s="102">
        <v>45596</v>
      </c>
      <c r="E480" s="103">
        <v>0.74</v>
      </c>
      <c r="F480" s="100">
        <v>0</v>
      </c>
      <c r="G480" s="100" t="s">
        <v>13</v>
      </c>
      <c r="H480" s="103">
        <v>0.59</v>
      </c>
      <c r="I480" s="101">
        <f t="shared" si="9"/>
        <v>1.986754966887419E-2</v>
      </c>
    </row>
    <row r="481" spans="1:9" x14ac:dyDescent="0.3">
      <c r="A481" s="100" t="s">
        <v>20</v>
      </c>
      <c r="B481" s="100" t="s">
        <v>29</v>
      </c>
      <c r="C481" s="100" t="s">
        <v>21</v>
      </c>
      <c r="D481" s="102">
        <v>45626</v>
      </c>
      <c r="E481" s="103">
        <v>0.63</v>
      </c>
      <c r="F481" s="100">
        <v>0</v>
      </c>
      <c r="G481" s="100" t="s">
        <v>13</v>
      </c>
      <c r="H481" s="103">
        <v>0.59</v>
      </c>
      <c r="I481" s="101">
        <f t="shared" si="9"/>
        <v>0.14864864864864863</v>
      </c>
    </row>
    <row r="482" spans="1:9" x14ac:dyDescent="0.3">
      <c r="A482" s="100" t="s">
        <v>20</v>
      </c>
      <c r="B482" s="100" t="s">
        <v>29</v>
      </c>
      <c r="C482" s="100" t="s">
        <v>21</v>
      </c>
      <c r="D482" s="102">
        <v>45657</v>
      </c>
      <c r="E482" s="103">
        <v>0.69</v>
      </c>
      <c r="F482" s="100">
        <v>0</v>
      </c>
      <c r="G482" s="100" t="s">
        <v>13</v>
      </c>
      <c r="H482" s="103">
        <v>0.59</v>
      </c>
      <c r="I482" s="101">
        <f t="shared" si="9"/>
        <v>-9.523809523809515E-2</v>
      </c>
    </row>
    <row r="483" spans="1:9" x14ac:dyDescent="0.3">
      <c r="A483" s="100" t="s">
        <v>20</v>
      </c>
      <c r="B483" s="100" t="s">
        <v>29</v>
      </c>
      <c r="C483" s="100" t="s">
        <v>21</v>
      </c>
      <c r="D483" s="102">
        <v>45688</v>
      </c>
      <c r="E483" s="103">
        <v>0.71</v>
      </c>
      <c r="F483" s="100">
        <v>0</v>
      </c>
      <c r="G483" s="100" t="s">
        <v>13</v>
      </c>
      <c r="H483" s="103">
        <v>0.59</v>
      </c>
      <c r="I483" s="101">
        <f t="shared" si="9"/>
        <v>-2.898550724637684E-2</v>
      </c>
    </row>
    <row r="484" spans="1:9" x14ac:dyDescent="0.3">
      <c r="A484" s="100" t="s">
        <v>20</v>
      </c>
      <c r="B484" s="100" t="s">
        <v>29</v>
      </c>
      <c r="C484" s="100" t="s">
        <v>21</v>
      </c>
      <c r="D484" s="102">
        <v>45716</v>
      </c>
      <c r="E484" s="103">
        <v>0.68</v>
      </c>
      <c r="F484" s="100">
        <v>0</v>
      </c>
      <c r="G484" s="100" t="s">
        <v>13</v>
      </c>
      <c r="H484" s="103">
        <v>0.59</v>
      </c>
      <c r="I484" s="101">
        <f t="shared" si="9"/>
        <v>4.2253521126760445E-2</v>
      </c>
    </row>
    <row r="485" spans="1:9" x14ac:dyDescent="0.3">
      <c r="A485" s="100" t="s">
        <v>20</v>
      </c>
      <c r="B485" s="100" t="s">
        <v>29</v>
      </c>
      <c r="C485" s="100" t="s">
        <v>21</v>
      </c>
      <c r="D485" s="102">
        <v>45747</v>
      </c>
      <c r="E485" s="103">
        <v>0.69</v>
      </c>
      <c r="F485" s="100">
        <v>0</v>
      </c>
      <c r="G485" s="100" t="s">
        <v>13</v>
      </c>
      <c r="H485" s="103">
        <v>0.59</v>
      </c>
      <c r="I485" s="101">
        <f t="shared" si="9"/>
        <v>-1.4705882352941025E-2</v>
      </c>
    </row>
    <row r="486" spans="1:9" x14ac:dyDescent="0.3">
      <c r="A486" s="100" t="s">
        <v>20</v>
      </c>
      <c r="B486" s="100" t="s">
        <v>29</v>
      </c>
      <c r="C486" s="100" t="s">
        <v>21</v>
      </c>
      <c r="D486" s="102">
        <v>45777</v>
      </c>
      <c r="E486" s="103">
        <v>0.57999999999999996</v>
      </c>
      <c r="F486" s="100">
        <v>0</v>
      </c>
      <c r="G486" s="100" t="s">
        <v>13</v>
      </c>
      <c r="H486" s="103">
        <v>0.59</v>
      </c>
      <c r="I486" s="101">
        <f t="shared" si="9"/>
        <v>0.15942028985507245</v>
      </c>
    </row>
    <row r="487" spans="1:9" x14ac:dyDescent="0.3">
      <c r="A487" s="100" t="s">
        <v>20</v>
      </c>
      <c r="B487" s="100" t="s">
        <v>29</v>
      </c>
      <c r="C487" s="100" t="s">
        <v>21</v>
      </c>
      <c r="D487" s="102">
        <v>45808</v>
      </c>
      <c r="E487" s="103">
        <v>0.57999999999999996</v>
      </c>
      <c r="F487" s="100">
        <v>0</v>
      </c>
      <c r="G487" s="100" t="s">
        <v>13</v>
      </c>
      <c r="H487" s="103">
        <v>0.59</v>
      </c>
      <c r="I487" s="101">
        <f t="shared" si="9"/>
        <v>0</v>
      </c>
    </row>
    <row r="488" spans="1:9" x14ac:dyDescent="0.3">
      <c r="A488" s="100" t="s">
        <v>20</v>
      </c>
      <c r="B488" s="100" t="s">
        <v>29</v>
      </c>
      <c r="C488" s="100" t="s">
        <v>21</v>
      </c>
      <c r="D488" s="102">
        <v>45838</v>
      </c>
      <c r="E488" s="103">
        <v>0.67</v>
      </c>
      <c r="F488" s="100">
        <v>0</v>
      </c>
      <c r="G488" s="100" t="s">
        <v>13</v>
      </c>
      <c r="H488" s="103">
        <v>0.59</v>
      </c>
      <c r="I488" s="101">
        <f t="shared" si="9"/>
        <v>-0.15517241379310359</v>
      </c>
    </row>
    <row r="489" spans="1:9" x14ac:dyDescent="0.3">
      <c r="A489" s="100" t="s">
        <v>20</v>
      </c>
      <c r="B489" s="100" t="s">
        <v>29</v>
      </c>
      <c r="C489" s="100" t="s">
        <v>21</v>
      </c>
      <c r="D489" s="102">
        <v>45869</v>
      </c>
      <c r="E489" s="103">
        <v>0.59</v>
      </c>
      <c r="F489" s="100">
        <v>0</v>
      </c>
      <c r="G489" s="100" t="s">
        <v>13</v>
      </c>
      <c r="H489" s="103">
        <v>0.59</v>
      </c>
      <c r="I489" s="101">
        <f t="shared" si="9"/>
        <v>0.11940298507462696</v>
      </c>
    </row>
    <row r="490" spans="1:9" x14ac:dyDescent="0.3">
      <c r="A490" s="100" t="s">
        <v>20</v>
      </c>
      <c r="B490" s="100" t="s">
        <v>29</v>
      </c>
      <c r="C490" s="100" t="s">
        <v>21</v>
      </c>
      <c r="D490" s="102">
        <v>45900</v>
      </c>
      <c r="E490" s="103">
        <v>0.52</v>
      </c>
      <c r="F490" s="100">
        <v>0</v>
      </c>
      <c r="G490" s="100" t="s">
        <v>13</v>
      </c>
      <c r="H490" s="103">
        <v>0.59</v>
      </c>
      <c r="I490" s="101">
        <f t="shared" si="9"/>
        <v>0.11864406779661009</v>
      </c>
    </row>
    <row r="491" spans="1:9" x14ac:dyDescent="0.3">
      <c r="A491" s="100" t="s">
        <v>20</v>
      </c>
      <c r="B491" s="100" t="s">
        <v>29</v>
      </c>
      <c r="C491" s="100" t="s">
        <v>21</v>
      </c>
      <c r="D491" s="102">
        <v>45930</v>
      </c>
      <c r="E491" s="103">
        <v>0.49</v>
      </c>
      <c r="F491" s="100">
        <v>0</v>
      </c>
      <c r="G491" s="100" t="s">
        <v>13</v>
      </c>
      <c r="H491" s="103">
        <v>0.59</v>
      </c>
      <c r="I491" s="101">
        <f t="shared" si="9"/>
        <v>5.7692307692307744E-2</v>
      </c>
    </row>
    <row r="492" spans="1:9" x14ac:dyDescent="0.3">
      <c r="A492" s="100" t="s">
        <v>20</v>
      </c>
      <c r="B492" s="100" t="s">
        <v>29</v>
      </c>
      <c r="C492" s="100" t="s">
        <v>21</v>
      </c>
      <c r="D492" s="102">
        <v>45961</v>
      </c>
      <c r="E492" s="103">
        <v>0.73</v>
      </c>
      <c r="F492" s="100">
        <v>0</v>
      </c>
      <c r="G492" s="100" t="s">
        <v>13</v>
      </c>
      <c r="H492" s="103">
        <v>0.59</v>
      </c>
      <c r="I492" s="101">
        <f t="shared" si="9"/>
        <v>-0.48979591836734693</v>
      </c>
    </row>
    <row r="493" spans="1:9" x14ac:dyDescent="0.3">
      <c r="A493" s="100" t="s">
        <v>20</v>
      </c>
      <c r="B493" s="100" t="s">
        <v>29</v>
      </c>
      <c r="C493" s="100" t="s">
        <v>22</v>
      </c>
      <c r="D493" s="102">
        <v>45535</v>
      </c>
      <c r="E493" s="103">
        <v>0.73899999999999999</v>
      </c>
      <c r="F493" s="100">
        <v>1</v>
      </c>
      <c r="G493" s="100" t="s">
        <v>13</v>
      </c>
      <c r="H493" s="103">
        <v>0.56999999999999995</v>
      </c>
      <c r="I493" s="101" t="str">
        <f t="shared" si="9"/>
        <v/>
      </c>
    </row>
    <row r="494" spans="1:9" x14ac:dyDescent="0.3">
      <c r="A494" s="100" t="s">
        <v>20</v>
      </c>
      <c r="B494" s="100" t="s">
        <v>29</v>
      </c>
      <c r="C494" s="100" t="s">
        <v>22</v>
      </c>
      <c r="D494" s="102">
        <v>45565</v>
      </c>
      <c r="E494" s="103">
        <v>0.73</v>
      </c>
      <c r="F494" s="100">
        <v>0</v>
      </c>
      <c r="G494" s="100" t="s">
        <v>13</v>
      </c>
      <c r="H494" s="103">
        <v>0.56999999999999995</v>
      </c>
      <c r="I494" s="101">
        <f t="shared" si="9"/>
        <v>1.2178619756427617E-2</v>
      </c>
    </row>
    <row r="495" spans="1:9" x14ac:dyDescent="0.3">
      <c r="A495" s="100" t="s">
        <v>20</v>
      </c>
      <c r="B495" s="100" t="s">
        <v>29</v>
      </c>
      <c r="C495" s="100" t="s">
        <v>22</v>
      </c>
      <c r="D495" s="102">
        <v>45596</v>
      </c>
      <c r="E495" s="103">
        <v>0.74399999999999999</v>
      </c>
      <c r="F495" s="100">
        <v>1</v>
      </c>
      <c r="G495" s="100" t="s">
        <v>13</v>
      </c>
      <c r="H495" s="103">
        <v>0.56999999999999995</v>
      </c>
      <c r="I495" s="101">
        <f t="shared" si="9"/>
        <v>-1.917808219178084E-2</v>
      </c>
    </row>
    <row r="496" spans="1:9" x14ac:dyDescent="0.3">
      <c r="A496" s="100" t="s">
        <v>20</v>
      </c>
      <c r="B496" s="100" t="s">
        <v>29</v>
      </c>
      <c r="C496" s="100" t="s">
        <v>22</v>
      </c>
      <c r="D496" s="102">
        <v>45626</v>
      </c>
      <c r="E496" s="103">
        <v>0.85699999999999998</v>
      </c>
      <c r="F496" s="100">
        <v>1</v>
      </c>
      <c r="G496" s="100" t="s">
        <v>13</v>
      </c>
      <c r="H496" s="103">
        <v>0.56999999999999995</v>
      </c>
      <c r="I496" s="101">
        <f t="shared" si="9"/>
        <v>-0.1518817204301075</v>
      </c>
    </row>
    <row r="497" spans="1:9" x14ac:dyDescent="0.3">
      <c r="A497" s="100" t="s">
        <v>20</v>
      </c>
      <c r="B497" s="100" t="s">
        <v>29</v>
      </c>
      <c r="C497" s="100" t="s">
        <v>22</v>
      </c>
      <c r="D497" s="102">
        <v>45657</v>
      </c>
      <c r="E497" s="103">
        <v>0.74399999999999999</v>
      </c>
      <c r="F497" s="100">
        <v>1</v>
      </c>
      <c r="G497" s="100" t="s">
        <v>13</v>
      </c>
      <c r="H497" s="103">
        <v>0.56999999999999995</v>
      </c>
      <c r="I497" s="101">
        <f t="shared" si="9"/>
        <v>0.13185530921820302</v>
      </c>
    </row>
    <row r="498" spans="1:9" x14ac:dyDescent="0.3">
      <c r="A498" s="100" t="s">
        <v>20</v>
      </c>
      <c r="B498" s="100" t="s">
        <v>29</v>
      </c>
      <c r="C498" s="100" t="s">
        <v>22</v>
      </c>
      <c r="D498" s="102">
        <v>45688</v>
      </c>
      <c r="E498" s="103">
        <v>0.82099999999999995</v>
      </c>
      <c r="F498" s="100">
        <v>0</v>
      </c>
      <c r="G498" s="100" t="s">
        <v>13</v>
      </c>
      <c r="H498" s="103">
        <v>0.56999999999999995</v>
      </c>
      <c r="I498" s="101">
        <f t="shared" si="9"/>
        <v>-0.10349462365591393</v>
      </c>
    </row>
    <row r="499" spans="1:9" x14ac:dyDescent="0.3">
      <c r="A499" s="100" t="s">
        <v>20</v>
      </c>
      <c r="B499" s="100" t="s">
        <v>29</v>
      </c>
      <c r="C499" s="100" t="s">
        <v>22</v>
      </c>
      <c r="D499" s="102">
        <v>45716</v>
      </c>
      <c r="E499" s="103">
        <v>0.76</v>
      </c>
      <c r="F499" s="100">
        <v>0</v>
      </c>
      <c r="G499" s="100" t="s">
        <v>13</v>
      </c>
      <c r="H499" s="103">
        <v>0.56999999999999995</v>
      </c>
      <c r="I499" s="101">
        <f t="shared" si="9"/>
        <v>7.4299634591960956E-2</v>
      </c>
    </row>
    <row r="500" spans="1:9" x14ac:dyDescent="0.3">
      <c r="A500" s="100" t="s">
        <v>20</v>
      </c>
      <c r="B500" s="100" t="s">
        <v>29</v>
      </c>
      <c r="C500" s="100" t="s">
        <v>22</v>
      </c>
      <c r="D500" s="102">
        <v>45747</v>
      </c>
      <c r="E500" s="103">
        <v>0.79400000000000004</v>
      </c>
      <c r="F500" s="100">
        <v>1</v>
      </c>
      <c r="G500" s="100" t="s">
        <v>13</v>
      </c>
      <c r="H500" s="103">
        <v>0.56999999999999995</v>
      </c>
      <c r="I500" s="101">
        <f t="shared" si="9"/>
        <v>-4.47368421052632E-2</v>
      </c>
    </row>
    <row r="501" spans="1:9" x14ac:dyDescent="0.3">
      <c r="A501" s="100" t="s">
        <v>20</v>
      </c>
      <c r="B501" s="100" t="s">
        <v>29</v>
      </c>
      <c r="C501" s="100" t="s">
        <v>22</v>
      </c>
      <c r="D501" s="102">
        <v>45777</v>
      </c>
      <c r="E501" s="103">
        <v>0.76900000000000002</v>
      </c>
      <c r="F501" s="100">
        <v>0</v>
      </c>
      <c r="G501" s="100" t="s">
        <v>13</v>
      </c>
      <c r="H501" s="103">
        <v>0.56999999999999995</v>
      </c>
      <c r="I501" s="101">
        <f t="shared" si="9"/>
        <v>3.1486146095717912E-2</v>
      </c>
    </row>
    <row r="502" spans="1:9" x14ac:dyDescent="0.3">
      <c r="A502" s="100" t="s">
        <v>20</v>
      </c>
      <c r="B502" s="100" t="s">
        <v>29</v>
      </c>
      <c r="C502" s="100" t="s">
        <v>22</v>
      </c>
      <c r="D502" s="102">
        <v>45808</v>
      </c>
      <c r="E502" s="103">
        <v>0.621</v>
      </c>
      <c r="F502" s="100">
        <v>1</v>
      </c>
      <c r="G502" s="100" t="s">
        <v>13</v>
      </c>
      <c r="H502" s="103">
        <v>0.56999999999999995</v>
      </c>
      <c r="I502" s="101">
        <f t="shared" si="9"/>
        <v>0.19245773732119639</v>
      </c>
    </row>
    <row r="503" spans="1:9" x14ac:dyDescent="0.3">
      <c r="A503" s="100" t="s">
        <v>20</v>
      </c>
      <c r="B503" s="100" t="s">
        <v>29</v>
      </c>
      <c r="C503" s="100" t="s">
        <v>22</v>
      </c>
      <c r="D503" s="102">
        <v>45838</v>
      </c>
      <c r="E503" s="103">
        <v>0.78900000000000003</v>
      </c>
      <c r="F503" s="100">
        <v>1</v>
      </c>
      <c r="G503" s="100" t="s">
        <v>13</v>
      </c>
      <c r="H503" s="103">
        <v>0.56999999999999995</v>
      </c>
      <c r="I503" s="101">
        <f t="shared" si="9"/>
        <v>-0.27053140096618361</v>
      </c>
    </row>
    <row r="504" spans="1:9" x14ac:dyDescent="0.3">
      <c r="A504" s="100" t="s">
        <v>20</v>
      </c>
      <c r="B504" s="100" t="s">
        <v>29</v>
      </c>
      <c r="C504" s="100" t="s">
        <v>22</v>
      </c>
      <c r="D504" s="102">
        <v>45869</v>
      </c>
      <c r="E504" s="103">
        <v>0.8</v>
      </c>
      <c r="F504" s="100">
        <v>0</v>
      </c>
      <c r="G504" s="100" t="s">
        <v>13</v>
      </c>
      <c r="H504" s="103">
        <v>0.56999999999999995</v>
      </c>
      <c r="I504" s="101">
        <f t="shared" si="9"/>
        <v>-1.3941698352344751E-2</v>
      </c>
    </row>
    <row r="505" spans="1:9" x14ac:dyDescent="0.3">
      <c r="A505" s="100" t="s">
        <v>20</v>
      </c>
      <c r="B505" s="100" t="s">
        <v>29</v>
      </c>
      <c r="C505" s="100" t="s">
        <v>22</v>
      </c>
      <c r="D505" s="102">
        <v>45900</v>
      </c>
      <c r="E505" s="103">
        <v>0.85</v>
      </c>
      <c r="F505" s="100">
        <v>1</v>
      </c>
      <c r="G505" s="100" t="s">
        <v>13</v>
      </c>
      <c r="H505" s="103">
        <v>0.56999999999999995</v>
      </c>
      <c r="I505" s="101">
        <f t="shared" si="9"/>
        <v>-6.2499999999999917E-2</v>
      </c>
    </row>
    <row r="506" spans="1:9" x14ac:dyDescent="0.3">
      <c r="A506" s="100" t="s">
        <v>20</v>
      </c>
      <c r="B506" s="100" t="s">
        <v>29</v>
      </c>
      <c r="C506" s="100" t="s">
        <v>22</v>
      </c>
      <c r="D506" s="102">
        <v>45930</v>
      </c>
      <c r="E506" s="103">
        <v>0.66</v>
      </c>
      <c r="F506" s="100">
        <v>1</v>
      </c>
      <c r="G506" s="100" t="s">
        <v>13</v>
      </c>
      <c r="H506" s="103">
        <v>0.56999999999999995</v>
      </c>
      <c r="I506" s="101">
        <f t="shared" si="9"/>
        <v>0.22352941176470584</v>
      </c>
    </row>
    <row r="507" spans="1:9" x14ac:dyDescent="0.3">
      <c r="A507" s="100" t="s">
        <v>20</v>
      </c>
      <c r="B507" s="100" t="s">
        <v>29</v>
      </c>
      <c r="C507" s="100" t="s">
        <v>22</v>
      </c>
      <c r="D507" s="102">
        <v>45961</v>
      </c>
      <c r="E507" s="103">
        <v>0.66</v>
      </c>
      <c r="F507" s="100">
        <v>1</v>
      </c>
      <c r="G507" s="100" t="s">
        <v>13</v>
      </c>
      <c r="H507" s="103">
        <v>0.56999999999999995</v>
      </c>
      <c r="I507" s="101">
        <f t="shared" si="9"/>
        <v>0</v>
      </c>
    </row>
    <row r="508" spans="1:9" x14ac:dyDescent="0.3">
      <c r="A508" s="100" t="s">
        <v>23</v>
      </c>
      <c r="B508" s="100" t="s">
        <v>29</v>
      </c>
      <c r="C508" s="100" t="s">
        <v>24</v>
      </c>
      <c r="D508" s="102">
        <v>45535</v>
      </c>
      <c r="E508" s="103">
        <v>0.66669999999999996</v>
      </c>
      <c r="F508" s="100">
        <v>1</v>
      </c>
      <c r="G508" s="100" t="s">
        <v>17</v>
      </c>
      <c r="H508" s="103">
        <v>0.85</v>
      </c>
      <c r="I508" s="101" t="str">
        <f t="shared" si="9"/>
        <v/>
      </c>
    </row>
    <row r="509" spans="1:9" x14ac:dyDescent="0.3">
      <c r="A509" s="100" t="s">
        <v>23</v>
      </c>
      <c r="B509" s="100" t="s">
        <v>29</v>
      </c>
      <c r="C509" s="100" t="s">
        <v>24</v>
      </c>
      <c r="D509" s="102">
        <v>45565</v>
      </c>
      <c r="E509" s="103">
        <v>0.74439999999999995</v>
      </c>
      <c r="F509" s="100">
        <v>1</v>
      </c>
      <c r="G509" s="100" t="s">
        <v>17</v>
      </c>
      <c r="H509" s="103">
        <v>0.85</v>
      </c>
      <c r="I509" s="101">
        <f t="shared" si="9"/>
        <v>0.11654417279136042</v>
      </c>
    </row>
    <row r="510" spans="1:9" x14ac:dyDescent="0.3">
      <c r="A510" s="100" t="s">
        <v>23</v>
      </c>
      <c r="B510" s="100" t="s">
        <v>29</v>
      </c>
      <c r="C510" s="100" t="s">
        <v>24</v>
      </c>
      <c r="D510" s="102">
        <v>45596</v>
      </c>
      <c r="E510" s="103">
        <v>0.8478</v>
      </c>
      <c r="F510" s="100">
        <v>1</v>
      </c>
      <c r="G510" s="100" t="s">
        <v>17</v>
      </c>
      <c r="H510" s="103">
        <v>0.85</v>
      </c>
      <c r="I510" s="101">
        <f t="shared" si="9"/>
        <v>0.13890381515314354</v>
      </c>
    </row>
    <row r="511" spans="1:9" x14ac:dyDescent="0.3">
      <c r="A511" s="100" t="s">
        <v>23</v>
      </c>
      <c r="B511" s="100" t="s">
        <v>29</v>
      </c>
      <c r="C511" s="100" t="s">
        <v>24</v>
      </c>
      <c r="D511" s="102">
        <v>45626</v>
      </c>
      <c r="E511" s="103">
        <v>0.85709999999999997</v>
      </c>
      <c r="F511" s="100">
        <v>0</v>
      </c>
      <c r="G511" s="100" t="s">
        <v>17</v>
      </c>
      <c r="H511" s="103">
        <v>0.85</v>
      </c>
      <c r="I511" s="101">
        <f t="shared" si="9"/>
        <v>1.0969568294409029E-2</v>
      </c>
    </row>
    <row r="512" spans="1:9" x14ac:dyDescent="0.3">
      <c r="A512" s="100" t="s">
        <v>23</v>
      </c>
      <c r="B512" s="100" t="s">
        <v>29</v>
      </c>
      <c r="C512" s="100" t="s">
        <v>24</v>
      </c>
      <c r="D512" s="102">
        <v>45657</v>
      </c>
      <c r="E512" s="103">
        <v>0.80810000000000004</v>
      </c>
      <c r="F512" s="100">
        <v>1</v>
      </c>
      <c r="G512" s="100" t="s">
        <v>17</v>
      </c>
      <c r="H512" s="103">
        <v>0.85</v>
      </c>
      <c r="I512" s="101">
        <f t="shared" si="9"/>
        <v>-5.7169525142923734E-2</v>
      </c>
    </row>
    <row r="513" spans="1:9" x14ac:dyDescent="0.3">
      <c r="A513" s="100" t="s">
        <v>23</v>
      </c>
      <c r="B513" s="100" t="s">
        <v>29</v>
      </c>
      <c r="C513" s="100" t="s">
        <v>24</v>
      </c>
      <c r="D513" s="102">
        <v>45688</v>
      </c>
      <c r="E513" s="103">
        <v>0.74729999999999996</v>
      </c>
      <c r="F513" s="100">
        <v>1</v>
      </c>
      <c r="G513" s="100" t="s">
        <v>17</v>
      </c>
      <c r="H513" s="103">
        <v>0.85</v>
      </c>
      <c r="I513" s="101">
        <f t="shared" si="9"/>
        <v>-7.5238213092439152E-2</v>
      </c>
    </row>
    <row r="514" spans="1:9" x14ac:dyDescent="0.3">
      <c r="A514" s="100" t="s">
        <v>23</v>
      </c>
      <c r="B514" s="100" t="s">
        <v>29</v>
      </c>
      <c r="C514" s="100" t="s">
        <v>24</v>
      </c>
      <c r="D514" s="102">
        <v>45716</v>
      </c>
      <c r="E514" s="103">
        <v>0.65480000000000005</v>
      </c>
      <c r="F514" s="100">
        <v>1</v>
      </c>
      <c r="G514" s="100" t="s">
        <v>17</v>
      </c>
      <c r="H514" s="103">
        <v>0.85</v>
      </c>
      <c r="I514" s="101">
        <f t="shared" si="9"/>
        <v>-0.12377893750836333</v>
      </c>
    </row>
    <row r="515" spans="1:9" x14ac:dyDescent="0.3">
      <c r="A515" s="100" t="s">
        <v>23</v>
      </c>
      <c r="B515" s="100" t="s">
        <v>29</v>
      </c>
      <c r="C515" s="100" t="s">
        <v>24</v>
      </c>
      <c r="D515" s="102">
        <v>45747</v>
      </c>
      <c r="E515" s="103">
        <v>0.78949999999999998</v>
      </c>
      <c r="F515" s="100">
        <v>1</v>
      </c>
      <c r="G515" s="100" t="s">
        <v>17</v>
      </c>
      <c r="H515" s="103">
        <v>0.85</v>
      </c>
      <c r="I515" s="101">
        <f t="shared" ref="I515:I578" si="10">IF(OR(B515&lt;&gt;B514,C515&lt;&gt;C514),"",IF(E514=0,"",IF(G515="UP",(E515-E514)/E514,-((E515-E514)/E514))))</f>
        <v>0.20571166768478913</v>
      </c>
    </row>
    <row r="516" spans="1:9" x14ac:dyDescent="0.3">
      <c r="A516" s="100" t="s">
        <v>23</v>
      </c>
      <c r="B516" s="100" t="s">
        <v>29</v>
      </c>
      <c r="C516" s="100" t="s">
        <v>24</v>
      </c>
      <c r="D516" s="102">
        <v>45777</v>
      </c>
      <c r="E516" s="103">
        <v>0.76249999999999996</v>
      </c>
      <c r="F516" s="100">
        <v>1</v>
      </c>
      <c r="G516" s="100" t="s">
        <v>17</v>
      </c>
      <c r="H516" s="103">
        <v>0.85</v>
      </c>
      <c r="I516" s="101">
        <f t="shared" si="10"/>
        <v>-3.4198860037998761E-2</v>
      </c>
    </row>
    <row r="517" spans="1:9" x14ac:dyDescent="0.3">
      <c r="A517" s="100" t="s">
        <v>23</v>
      </c>
      <c r="B517" s="100" t="s">
        <v>29</v>
      </c>
      <c r="C517" s="100" t="s">
        <v>24</v>
      </c>
      <c r="D517" s="102">
        <v>45808</v>
      </c>
      <c r="E517" s="103">
        <v>0.85</v>
      </c>
      <c r="F517" s="100">
        <v>0</v>
      </c>
      <c r="G517" s="100" t="s">
        <v>17</v>
      </c>
      <c r="H517" s="103">
        <v>0.85</v>
      </c>
      <c r="I517" s="101">
        <f t="shared" si="10"/>
        <v>0.11475409836065577</v>
      </c>
    </row>
    <row r="518" spans="1:9" x14ac:dyDescent="0.3">
      <c r="A518" s="100" t="s">
        <v>23</v>
      </c>
      <c r="B518" s="100" t="s">
        <v>29</v>
      </c>
      <c r="C518" s="100" t="s">
        <v>24</v>
      </c>
      <c r="D518" s="102">
        <v>45838</v>
      </c>
      <c r="E518" s="103">
        <v>0.76</v>
      </c>
      <c r="F518" s="100">
        <v>0</v>
      </c>
      <c r="G518" s="100" t="s">
        <v>17</v>
      </c>
      <c r="H518" s="103">
        <v>0.85</v>
      </c>
      <c r="I518" s="101">
        <f t="shared" si="10"/>
        <v>-0.10588235294117644</v>
      </c>
    </row>
    <row r="519" spans="1:9" x14ac:dyDescent="0.3">
      <c r="A519" s="100" t="s">
        <v>23</v>
      </c>
      <c r="B519" s="100" t="s">
        <v>29</v>
      </c>
      <c r="C519" s="100" t="s">
        <v>24</v>
      </c>
      <c r="D519" s="102">
        <v>45869</v>
      </c>
      <c r="E519" s="103">
        <v>0.83899999999999997</v>
      </c>
      <c r="F519" s="100">
        <v>1</v>
      </c>
      <c r="G519" s="100" t="s">
        <v>17</v>
      </c>
      <c r="H519" s="103">
        <v>0.85</v>
      </c>
      <c r="I519" s="101">
        <f t="shared" si="10"/>
        <v>0.10394736842105258</v>
      </c>
    </row>
    <row r="520" spans="1:9" x14ac:dyDescent="0.3">
      <c r="A520" s="100" t="s">
        <v>23</v>
      </c>
      <c r="B520" s="100" t="s">
        <v>29</v>
      </c>
      <c r="C520" s="100" t="s">
        <v>24</v>
      </c>
      <c r="D520" s="102">
        <v>45900</v>
      </c>
      <c r="E520" s="103">
        <v>0.81699999999999995</v>
      </c>
      <c r="F520" s="100">
        <v>1</v>
      </c>
      <c r="G520" s="100" t="s">
        <v>17</v>
      </c>
      <c r="H520" s="103">
        <v>0.85</v>
      </c>
      <c r="I520" s="101">
        <f t="shared" si="10"/>
        <v>-2.6221692491060811E-2</v>
      </c>
    </row>
    <row r="521" spans="1:9" x14ac:dyDescent="0.3">
      <c r="A521" s="100" t="s">
        <v>23</v>
      </c>
      <c r="B521" s="100" t="s">
        <v>29</v>
      </c>
      <c r="C521" s="100" t="s">
        <v>24</v>
      </c>
      <c r="D521" s="102">
        <v>45930</v>
      </c>
      <c r="E521" s="103">
        <v>0.76100000000000001</v>
      </c>
      <c r="F521" s="100">
        <v>1</v>
      </c>
      <c r="G521" s="100" t="s">
        <v>17</v>
      </c>
      <c r="H521" s="103">
        <v>0.85</v>
      </c>
      <c r="I521" s="101">
        <f t="shared" si="10"/>
        <v>-6.8543451652386705E-2</v>
      </c>
    </row>
    <row r="522" spans="1:9" x14ac:dyDescent="0.3">
      <c r="A522" s="100" t="s">
        <v>23</v>
      </c>
      <c r="B522" s="100" t="s">
        <v>29</v>
      </c>
      <c r="C522" s="100" t="s">
        <v>24</v>
      </c>
      <c r="D522" s="102">
        <v>45961</v>
      </c>
      <c r="E522" s="103">
        <v>0.79600000000000004</v>
      </c>
      <c r="F522" s="100">
        <v>1</v>
      </c>
      <c r="G522" s="100" t="s">
        <v>17</v>
      </c>
      <c r="H522" s="103">
        <v>0.85</v>
      </c>
      <c r="I522" s="101">
        <f t="shared" si="10"/>
        <v>4.5992115637319357E-2</v>
      </c>
    </row>
    <row r="523" spans="1:9" x14ac:dyDescent="0.3">
      <c r="A523" s="100" t="s">
        <v>23</v>
      </c>
      <c r="B523" s="100" t="s">
        <v>29</v>
      </c>
      <c r="C523" s="100" t="s">
        <v>24</v>
      </c>
      <c r="D523" s="102">
        <v>45991</v>
      </c>
      <c r="E523" s="103">
        <v>0.79500000000000004</v>
      </c>
      <c r="F523" s="100">
        <v>1</v>
      </c>
      <c r="G523" s="100" t="s">
        <v>17</v>
      </c>
      <c r="H523" s="103">
        <v>0.85</v>
      </c>
      <c r="I523" s="101">
        <f t="shared" si="10"/>
        <v>-1.256281407035177E-3</v>
      </c>
    </row>
    <row r="524" spans="1:9" x14ac:dyDescent="0.3">
      <c r="A524" s="100" t="s">
        <v>23</v>
      </c>
      <c r="B524" s="100" t="s">
        <v>29</v>
      </c>
      <c r="C524" s="100" t="s">
        <v>25</v>
      </c>
      <c r="D524" s="102">
        <v>45535</v>
      </c>
      <c r="E524" s="103">
        <v>0.75229999999999997</v>
      </c>
      <c r="F524" s="100">
        <v>0</v>
      </c>
      <c r="G524" s="100" t="s">
        <v>17</v>
      </c>
      <c r="H524" s="103">
        <v>0.65</v>
      </c>
      <c r="I524" s="101" t="str">
        <f t="shared" si="10"/>
        <v/>
      </c>
    </row>
    <row r="525" spans="1:9" x14ac:dyDescent="0.3">
      <c r="A525" s="100" t="s">
        <v>23</v>
      </c>
      <c r="B525" s="100" t="s">
        <v>29</v>
      </c>
      <c r="C525" s="100" t="s">
        <v>25</v>
      </c>
      <c r="D525" s="102">
        <v>45565</v>
      </c>
      <c r="E525" s="103">
        <v>0.73029999999999995</v>
      </c>
      <c r="F525" s="100">
        <v>0</v>
      </c>
      <c r="G525" s="100" t="s">
        <v>17</v>
      </c>
      <c r="H525" s="103">
        <v>0.65</v>
      </c>
      <c r="I525" s="101">
        <f t="shared" si="10"/>
        <v>-2.9243652798085898E-2</v>
      </c>
    </row>
    <row r="526" spans="1:9" x14ac:dyDescent="0.3">
      <c r="A526" s="100" t="s">
        <v>23</v>
      </c>
      <c r="B526" s="100" t="s">
        <v>29</v>
      </c>
      <c r="C526" s="100" t="s">
        <v>25</v>
      </c>
      <c r="D526" s="102">
        <v>45596</v>
      </c>
      <c r="E526" s="103">
        <v>0.74</v>
      </c>
      <c r="F526" s="100">
        <v>0</v>
      </c>
      <c r="G526" s="100" t="s">
        <v>17</v>
      </c>
      <c r="H526" s="103">
        <v>0.65</v>
      </c>
      <c r="I526" s="101">
        <f t="shared" si="10"/>
        <v>1.3282212789264744E-2</v>
      </c>
    </row>
    <row r="527" spans="1:9" x14ac:dyDescent="0.3">
      <c r="A527" s="100" t="s">
        <v>23</v>
      </c>
      <c r="B527" s="100" t="s">
        <v>29</v>
      </c>
      <c r="C527" s="100" t="s">
        <v>25</v>
      </c>
      <c r="D527" s="102">
        <v>45626</v>
      </c>
      <c r="E527" s="103">
        <v>0.8085</v>
      </c>
      <c r="F527" s="100">
        <v>0</v>
      </c>
      <c r="G527" s="100" t="s">
        <v>17</v>
      </c>
      <c r="H527" s="103">
        <v>0.65</v>
      </c>
      <c r="I527" s="101">
        <f t="shared" si="10"/>
        <v>9.256756756756758E-2</v>
      </c>
    </row>
    <row r="528" spans="1:9" x14ac:dyDescent="0.3">
      <c r="A528" s="100" t="s">
        <v>23</v>
      </c>
      <c r="B528" s="100" t="s">
        <v>29</v>
      </c>
      <c r="C528" s="100" t="s">
        <v>25</v>
      </c>
      <c r="D528" s="102">
        <v>45657</v>
      </c>
      <c r="E528" s="103">
        <v>0.78790000000000004</v>
      </c>
      <c r="F528" s="100">
        <v>0</v>
      </c>
      <c r="G528" s="100" t="s">
        <v>17</v>
      </c>
      <c r="H528" s="103">
        <v>0.65</v>
      </c>
      <c r="I528" s="101">
        <f t="shared" si="10"/>
        <v>-2.5479282622139707E-2</v>
      </c>
    </row>
    <row r="529" spans="1:9" x14ac:dyDescent="0.3">
      <c r="A529" s="100" t="s">
        <v>23</v>
      </c>
      <c r="B529" s="100" t="s">
        <v>29</v>
      </c>
      <c r="C529" s="100" t="s">
        <v>25</v>
      </c>
      <c r="D529" s="102">
        <v>45688</v>
      </c>
      <c r="E529" s="103">
        <v>0.79820000000000002</v>
      </c>
      <c r="F529" s="100">
        <v>0</v>
      </c>
      <c r="G529" s="100" t="s">
        <v>17</v>
      </c>
      <c r="H529" s="103">
        <v>0.65</v>
      </c>
      <c r="I529" s="101">
        <f t="shared" si="10"/>
        <v>1.3072724965097062E-2</v>
      </c>
    </row>
    <row r="530" spans="1:9" x14ac:dyDescent="0.3">
      <c r="A530" s="100" t="s">
        <v>23</v>
      </c>
      <c r="B530" s="100" t="s">
        <v>29</v>
      </c>
      <c r="C530" s="100" t="s">
        <v>25</v>
      </c>
      <c r="D530" s="102">
        <v>45716</v>
      </c>
      <c r="E530" s="103">
        <v>0.75529999999999997</v>
      </c>
      <c r="F530" s="100">
        <v>0</v>
      </c>
      <c r="G530" s="100" t="s">
        <v>17</v>
      </c>
      <c r="H530" s="103">
        <v>0.65</v>
      </c>
      <c r="I530" s="101">
        <f t="shared" si="10"/>
        <v>-5.3745928338762274E-2</v>
      </c>
    </row>
    <row r="531" spans="1:9" x14ac:dyDescent="0.3">
      <c r="A531" s="100" t="s">
        <v>23</v>
      </c>
      <c r="B531" s="100" t="s">
        <v>29</v>
      </c>
      <c r="C531" s="100" t="s">
        <v>25</v>
      </c>
      <c r="D531" s="102">
        <v>45747</v>
      </c>
      <c r="E531" s="103">
        <v>0.6522</v>
      </c>
      <c r="F531" s="100">
        <v>0</v>
      </c>
      <c r="G531" s="100" t="s">
        <v>17</v>
      </c>
      <c r="H531" s="103">
        <v>0.65</v>
      </c>
      <c r="I531" s="101">
        <f t="shared" si="10"/>
        <v>-0.13650205216470274</v>
      </c>
    </row>
    <row r="532" spans="1:9" x14ac:dyDescent="0.3">
      <c r="A532" s="100" t="s">
        <v>23</v>
      </c>
      <c r="B532" s="100" t="s">
        <v>29</v>
      </c>
      <c r="C532" s="100" t="s">
        <v>25</v>
      </c>
      <c r="D532" s="102">
        <v>45777</v>
      </c>
      <c r="E532" s="103">
        <v>0.75</v>
      </c>
      <c r="F532" s="100">
        <v>0</v>
      </c>
      <c r="G532" s="100" t="s">
        <v>17</v>
      </c>
      <c r="H532" s="103">
        <v>0.65</v>
      </c>
      <c r="I532" s="101">
        <f t="shared" si="10"/>
        <v>0.14995400183992641</v>
      </c>
    </row>
    <row r="533" spans="1:9" x14ac:dyDescent="0.3">
      <c r="A533" s="100" t="s">
        <v>23</v>
      </c>
      <c r="B533" s="100" t="s">
        <v>29</v>
      </c>
      <c r="C533" s="100" t="s">
        <v>25</v>
      </c>
      <c r="D533" s="102">
        <v>45808</v>
      </c>
      <c r="E533" s="103">
        <v>0.72409999999999997</v>
      </c>
      <c r="F533" s="100">
        <v>0</v>
      </c>
      <c r="G533" s="100" t="s">
        <v>17</v>
      </c>
      <c r="H533" s="103">
        <v>0.65</v>
      </c>
      <c r="I533" s="101">
        <f t="shared" si="10"/>
        <v>-3.4533333333333381E-2</v>
      </c>
    </row>
    <row r="534" spans="1:9" x14ac:dyDescent="0.3">
      <c r="A534" s="100" t="s">
        <v>23</v>
      </c>
      <c r="B534" s="100" t="s">
        <v>29</v>
      </c>
      <c r="C534" s="100" t="s">
        <v>25</v>
      </c>
      <c r="D534" s="102">
        <v>45838</v>
      </c>
      <c r="E534" s="103">
        <v>0.81820000000000004</v>
      </c>
      <c r="F534" s="100">
        <v>0</v>
      </c>
      <c r="G534" s="100" t="s">
        <v>17</v>
      </c>
      <c r="H534" s="103">
        <v>0.65</v>
      </c>
      <c r="I534" s="101">
        <f t="shared" si="10"/>
        <v>0.12995442618422881</v>
      </c>
    </row>
    <row r="535" spans="1:9" x14ac:dyDescent="0.3">
      <c r="A535" s="100" t="s">
        <v>23</v>
      </c>
      <c r="B535" s="100" t="s">
        <v>29</v>
      </c>
      <c r="C535" s="100" t="s">
        <v>25</v>
      </c>
      <c r="D535" s="102">
        <v>45869</v>
      </c>
      <c r="E535" s="103">
        <v>0.76300000000000001</v>
      </c>
      <c r="F535" s="100">
        <v>0</v>
      </c>
      <c r="G535" s="100" t="s">
        <v>17</v>
      </c>
      <c r="H535" s="103">
        <v>0.65</v>
      </c>
      <c r="I535" s="101">
        <f t="shared" si="10"/>
        <v>-6.7465167440723575E-2</v>
      </c>
    </row>
    <row r="536" spans="1:9" x14ac:dyDescent="0.3">
      <c r="A536" s="100" t="s">
        <v>23</v>
      </c>
      <c r="B536" s="100" t="s">
        <v>29</v>
      </c>
      <c r="C536" s="100" t="s">
        <v>25</v>
      </c>
      <c r="D536" s="102">
        <v>45900</v>
      </c>
      <c r="E536" s="103">
        <v>0.76500000000000001</v>
      </c>
      <c r="F536" s="100">
        <v>0</v>
      </c>
      <c r="G536" s="100" t="s">
        <v>17</v>
      </c>
      <c r="H536" s="103">
        <v>0.65</v>
      </c>
      <c r="I536" s="101">
        <f t="shared" si="10"/>
        <v>2.6212319790301464E-3</v>
      </c>
    </row>
    <row r="537" spans="1:9" x14ac:dyDescent="0.3">
      <c r="A537" s="100" t="s">
        <v>23</v>
      </c>
      <c r="B537" s="100" t="s">
        <v>29</v>
      </c>
      <c r="C537" s="100" t="s">
        <v>25</v>
      </c>
      <c r="D537" s="102">
        <v>45930</v>
      </c>
      <c r="E537" s="103">
        <v>0.74299999999999999</v>
      </c>
      <c r="F537" s="100">
        <v>0</v>
      </c>
      <c r="G537" s="100" t="s">
        <v>17</v>
      </c>
      <c r="H537" s="103">
        <v>0.65</v>
      </c>
      <c r="I537" s="101">
        <f t="shared" si="10"/>
        <v>-2.8758169934640549E-2</v>
      </c>
    </row>
    <row r="538" spans="1:9" x14ac:dyDescent="0.3">
      <c r="A538" s="100" t="s">
        <v>23</v>
      </c>
      <c r="B538" s="100" t="s">
        <v>29</v>
      </c>
      <c r="C538" s="100" t="s">
        <v>25</v>
      </c>
      <c r="D538" s="102">
        <v>45961</v>
      </c>
      <c r="E538" s="103">
        <v>0.81</v>
      </c>
      <c r="F538" s="100">
        <v>0</v>
      </c>
      <c r="G538" s="100" t="s">
        <v>17</v>
      </c>
      <c r="H538" s="103">
        <v>0.65</v>
      </c>
      <c r="I538" s="101">
        <f t="shared" si="10"/>
        <v>9.0174966352624578E-2</v>
      </c>
    </row>
    <row r="539" spans="1:9" x14ac:dyDescent="0.3">
      <c r="A539" s="100" t="s">
        <v>23</v>
      </c>
      <c r="B539" s="100" t="s">
        <v>29</v>
      </c>
      <c r="C539" s="100" t="s">
        <v>25</v>
      </c>
      <c r="D539" s="102">
        <v>45991</v>
      </c>
      <c r="E539" s="103">
        <v>0.79</v>
      </c>
      <c r="F539" s="100">
        <v>0</v>
      </c>
      <c r="G539" s="100" t="s">
        <v>17</v>
      </c>
      <c r="H539" s="103">
        <v>0.65</v>
      </c>
      <c r="I539" s="101">
        <f t="shared" si="10"/>
        <v>-2.4691358024691377E-2</v>
      </c>
    </row>
    <row r="540" spans="1:9" x14ac:dyDescent="0.3">
      <c r="A540" s="100" t="s">
        <v>23</v>
      </c>
      <c r="B540" s="100" t="s">
        <v>29</v>
      </c>
      <c r="C540" s="100" t="s">
        <v>26</v>
      </c>
      <c r="D540" s="102">
        <v>45535</v>
      </c>
      <c r="E540" s="103">
        <v>0.875</v>
      </c>
      <c r="F540" s="100">
        <v>0</v>
      </c>
      <c r="G540" s="100" t="s">
        <v>17</v>
      </c>
      <c r="H540" s="103">
        <v>0.85</v>
      </c>
      <c r="I540" s="101" t="str">
        <f t="shared" si="10"/>
        <v/>
      </c>
    </row>
    <row r="541" spans="1:9" x14ac:dyDescent="0.3">
      <c r="A541" s="100" t="s">
        <v>23</v>
      </c>
      <c r="B541" s="100" t="s">
        <v>29</v>
      </c>
      <c r="C541" s="100" t="s">
        <v>26</v>
      </c>
      <c r="D541" s="102">
        <v>45565</v>
      </c>
      <c r="E541" s="103">
        <v>0.82350000000000001</v>
      </c>
      <c r="F541" s="100">
        <v>0</v>
      </c>
      <c r="G541" s="100" t="s">
        <v>17</v>
      </c>
      <c r="H541" s="103">
        <v>0.85</v>
      </c>
      <c r="I541" s="101">
        <f t="shared" si="10"/>
        <v>-5.8857142857142844E-2</v>
      </c>
    </row>
    <row r="542" spans="1:9" x14ac:dyDescent="0.3">
      <c r="A542" s="100" t="s">
        <v>23</v>
      </c>
      <c r="B542" s="100" t="s">
        <v>29</v>
      </c>
      <c r="C542" s="100" t="s">
        <v>26</v>
      </c>
      <c r="D542" s="102">
        <v>45596</v>
      </c>
      <c r="E542" s="103">
        <v>0.84</v>
      </c>
      <c r="F542" s="100">
        <v>0</v>
      </c>
      <c r="G542" s="100" t="s">
        <v>17</v>
      </c>
      <c r="H542" s="103">
        <v>0.85</v>
      </c>
      <c r="I542" s="101">
        <f t="shared" si="10"/>
        <v>2.0036429872495397E-2</v>
      </c>
    </row>
    <row r="543" spans="1:9" x14ac:dyDescent="0.3">
      <c r="A543" s="100" t="s">
        <v>23</v>
      </c>
      <c r="B543" s="100" t="s">
        <v>29</v>
      </c>
      <c r="C543" s="100" t="s">
        <v>26</v>
      </c>
      <c r="D543" s="102">
        <v>45626</v>
      </c>
      <c r="E543" s="103">
        <v>0.88370000000000004</v>
      </c>
      <c r="F543" s="100">
        <v>0</v>
      </c>
      <c r="G543" s="100" t="s">
        <v>17</v>
      </c>
      <c r="H543" s="103">
        <v>0.85</v>
      </c>
      <c r="I543" s="101">
        <f t="shared" si="10"/>
        <v>5.2023809523809611E-2</v>
      </c>
    </row>
    <row r="544" spans="1:9" x14ac:dyDescent="0.3">
      <c r="A544" s="100" t="s">
        <v>23</v>
      </c>
      <c r="B544" s="100" t="s">
        <v>29</v>
      </c>
      <c r="C544" s="100" t="s">
        <v>26</v>
      </c>
      <c r="D544" s="102">
        <v>45657</v>
      </c>
      <c r="E544" s="103">
        <v>0.86739999999999995</v>
      </c>
      <c r="F544" s="100">
        <v>0</v>
      </c>
      <c r="G544" s="100" t="s">
        <v>17</v>
      </c>
      <c r="H544" s="103">
        <v>0.85</v>
      </c>
      <c r="I544" s="101">
        <f t="shared" si="10"/>
        <v>-1.8445173701482506E-2</v>
      </c>
    </row>
    <row r="545" spans="1:9" x14ac:dyDescent="0.3">
      <c r="A545" s="100" t="s">
        <v>23</v>
      </c>
      <c r="B545" s="100" t="s">
        <v>29</v>
      </c>
      <c r="C545" s="100" t="s">
        <v>26</v>
      </c>
      <c r="D545" s="102">
        <v>45688</v>
      </c>
      <c r="E545" s="103">
        <v>0.85589999999999999</v>
      </c>
      <c r="F545" s="100">
        <v>0</v>
      </c>
      <c r="G545" s="100" t="s">
        <v>17</v>
      </c>
      <c r="H545" s="103">
        <v>0.85</v>
      </c>
      <c r="I545" s="101">
        <f t="shared" si="10"/>
        <v>-1.3258012451002946E-2</v>
      </c>
    </row>
    <row r="546" spans="1:9" x14ac:dyDescent="0.3">
      <c r="A546" s="100" t="s">
        <v>23</v>
      </c>
      <c r="B546" s="100" t="s">
        <v>29</v>
      </c>
      <c r="C546" s="100" t="s">
        <v>26</v>
      </c>
      <c r="D546" s="102">
        <v>45716</v>
      </c>
      <c r="E546" s="103">
        <v>0.86019999999999996</v>
      </c>
      <c r="F546" s="100">
        <v>0</v>
      </c>
      <c r="G546" s="100" t="s">
        <v>17</v>
      </c>
      <c r="H546" s="103">
        <v>0.85</v>
      </c>
      <c r="I546" s="101">
        <f t="shared" si="10"/>
        <v>5.023951396191109E-3</v>
      </c>
    </row>
    <row r="547" spans="1:9" x14ac:dyDescent="0.3">
      <c r="A547" s="100" t="s">
        <v>23</v>
      </c>
      <c r="B547" s="100" t="s">
        <v>29</v>
      </c>
      <c r="C547" s="100" t="s">
        <v>26</v>
      </c>
      <c r="D547" s="102">
        <v>45747</v>
      </c>
      <c r="E547" s="103">
        <v>0.87270000000000003</v>
      </c>
      <c r="F547" s="100">
        <v>0</v>
      </c>
      <c r="G547" s="100" t="s">
        <v>17</v>
      </c>
      <c r="H547" s="103">
        <v>0.85</v>
      </c>
      <c r="I547" s="101">
        <f t="shared" si="10"/>
        <v>1.4531504301325351E-2</v>
      </c>
    </row>
    <row r="548" spans="1:9" x14ac:dyDescent="0.3">
      <c r="A548" s="100" t="s">
        <v>23</v>
      </c>
      <c r="B548" s="100" t="s">
        <v>29</v>
      </c>
      <c r="C548" s="100" t="s">
        <v>26</v>
      </c>
      <c r="D548" s="102">
        <v>45777</v>
      </c>
      <c r="E548" s="103">
        <v>0.83830000000000005</v>
      </c>
      <c r="F548" s="100">
        <v>0</v>
      </c>
      <c r="G548" s="100" t="s">
        <v>17</v>
      </c>
      <c r="H548" s="103">
        <v>0.85</v>
      </c>
      <c r="I548" s="101">
        <f t="shared" si="10"/>
        <v>-3.9417898475994022E-2</v>
      </c>
    </row>
    <row r="549" spans="1:9" x14ac:dyDescent="0.3">
      <c r="A549" s="100" t="s">
        <v>23</v>
      </c>
      <c r="B549" s="100" t="s">
        <v>29</v>
      </c>
      <c r="C549" s="100" t="s">
        <v>26</v>
      </c>
      <c r="D549" s="102">
        <v>45808</v>
      </c>
      <c r="E549" s="103">
        <v>0.8</v>
      </c>
      <c r="F549" s="100">
        <v>0</v>
      </c>
      <c r="G549" s="100" t="s">
        <v>17</v>
      </c>
      <c r="H549" s="103">
        <v>0.85</v>
      </c>
      <c r="I549" s="101">
        <f t="shared" si="10"/>
        <v>-4.5687701300250502E-2</v>
      </c>
    </row>
    <row r="550" spans="1:9" x14ac:dyDescent="0.3">
      <c r="A550" s="100" t="s">
        <v>23</v>
      </c>
      <c r="B550" s="100" t="s">
        <v>29</v>
      </c>
      <c r="C550" s="100" t="s">
        <v>26</v>
      </c>
      <c r="D550" s="102">
        <v>45838</v>
      </c>
      <c r="E550" s="103">
        <v>0.92</v>
      </c>
      <c r="F550" s="100">
        <v>0</v>
      </c>
      <c r="G550" s="100" t="s">
        <v>17</v>
      </c>
      <c r="H550" s="103">
        <v>0.85</v>
      </c>
      <c r="I550" s="101">
        <f t="shared" si="10"/>
        <v>0.15</v>
      </c>
    </row>
    <row r="551" spans="1:9" x14ac:dyDescent="0.3">
      <c r="A551" s="100" t="s">
        <v>23</v>
      </c>
      <c r="B551" s="100" t="s">
        <v>29</v>
      </c>
      <c r="C551" s="100" t="s">
        <v>26</v>
      </c>
      <c r="D551" s="102">
        <v>45869</v>
      </c>
      <c r="E551" s="103">
        <v>0.85299999999999998</v>
      </c>
      <c r="F551" s="100">
        <v>0</v>
      </c>
      <c r="G551" s="100" t="s">
        <v>17</v>
      </c>
      <c r="H551" s="103">
        <v>0.85</v>
      </c>
      <c r="I551" s="101">
        <f t="shared" si="10"/>
        <v>-7.2826086956521804E-2</v>
      </c>
    </row>
    <row r="552" spans="1:9" x14ac:dyDescent="0.3">
      <c r="A552" s="100" t="s">
        <v>23</v>
      </c>
      <c r="B552" s="100" t="s">
        <v>29</v>
      </c>
      <c r="C552" s="100" t="s">
        <v>26</v>
      </c>
      <c r="D552" s="102">
        <v>45900</v>
      </c>
      <c r="E552" s="103">
        <v>0.90300000000000002</v>
      </c>
      <c r="F552" s="100">
        <v>0</v>
      </c>
      <c r="G552" s="100" t="s">
        <v>17</v>
      </c>
      <c r="H552" s="103">
        <v>0.85</v>
      </c>
      <c r="I552" s="101">
        <f t="shared" si="10"/>
        <v>5.8616647127784346E-2</v>
      </c>
    </row>
    <row r="553" spans="1:9" x14ac:dyDescent="0.3">
      <c r="A553" s="100" t="s">
        <v>23</v>
      </c>
      <c r="B553" s="100" t="s">
        <v>29</v>
      </c>
      <c r="C553" s="100" t="s">
        <v>26</v>
      </c>
      <c r="D553" s="102">
        <v>45930</v>
      </c>
      <c r="E553" s="103">
        <v>0.80900000000000005</v>
      </c>
      <c r="F553" s="100">
        <v>0</v>
      </c>
      <c r="G553" s="100" t="s">
        <v>17</v>
      </c>
      <c r="H553" s="103">
        <v>0.85</v>
      </c>
      <c r="I553" s="101">
        <f t="shared" si="10"/>
        <v>-0.1040974529346622</v>
      </c>
    </row>
    <row r="554" spans="1:9" x14ac:dyDescent="0.3">
      <c r="A554" s="100" t="s">
        <v>23</v>
      </c>
      <c r="B554" s="100" t="s">
        <v>29</v>
      </c>
      <c r="C554" s="100" t="s">
        <v>26</v>
      </c>
      <c r="D554" s="102">
        <v>45961</v>
      </c>
      <c r="E554" s="103">
        <v>0.85699999999999998</v>
      </c>
      <c r="F554" s="100">
        <v>0</v>
      </c>
      <c r="G554" s="100" t="s">
        <v>17</v>
      </c>
      <c r="H554" s="103">
        <v>0.85</v>
      </c>
      <c r="I554" s="101">
        <f t="shared" si="10"/>
        <v>5.9332509270704485E-2</v>
      </c>
    </row>
    <row r="555" spans="1:9" x14ac:dyDescent="0.3">
      <c r="A555" s="100" t="s">
        <v>23</v>
      </c>
      <c r="B555" s="100" t="s">
        <v>29</v>
      </c>
      <c r="C555" s="100" t="s">
        <v>26</v>
      </c>
      <c r="D555" s="102">
        <v>45991</v>
      </c>
      <c r="E555" s="103">
        <v>0.83</v>
      </c>
      <c r="F555" s="100">
        <v>0</v>
      </c>
      <c r="G555" s="100" t="s">
        <v>17</v>
      </c>
      <c r="H555" s="103">
        <v>0.85</v>
      </c>
      <c r="I555" s="101">
        <f t="shared" si="10"/>
        <v>-3.1505250875145885E-2</v>
      </c>
    </row>
    <row r="556" spans="1:9" x14ac:dyDescent="0.3">
      <c r="A556" s="100" t="s">
        <v>23</v>
      </c>
      <c r="B556" s="100" t="s">
        <v>29</v>
      </c>
      <c r="C556" s="100" t="s">
        <v>27</v>
      </c>
      <c r="D556" s="102">
        <v>45535</v>
      </c>
      <c r="E556" s="103">
        <v>0.64290000000000003</v>
      </c>
      <c r="F556" s="100">
        <v>1</v>
      </c>
      <c r="G556" s="100" t="s">
        <v>17</v>
      </c>
      <c r="H556" s="103">
        <v>0.7</v>
      </c>
      <c r="I556" s="101" t="str">
        <f t="shared" si="10"/>
        <v/>
      </c>
    </row>
    <row r="557" spans="1:9" x14ac:dyDescent="0.3">
      <c r="A557" s="100" t="s">
        <v>23</v>
      </c>
      <c r="B557" s="100" t="s">
        <v>29</v>
      </c>
      <c r="C557" s="100" t="s">
        <v>27</v>
      </c>
      <c r="D557" s="102">
        <v>45565</v>
      </c>
      <c r="E557" s="103">
        <v>0.70240000000000002</v>
      </c>
      <c r="F557" s="100">
        <v>1</v>
      </c>
      <c r="G557" s="100" t="s">
        <v>17</v>
      </c>
      <c r="H557" s="103">
        <v>0.7</v>
      </c>
      <c r="I557" s="101">
        <f t="shared" si="10"/>
        <v>9.2549385596515779E-2</v>
      </c>
    </row>
    <row r="558" spans="1:9" x14ac:dyDescent="0.3">
      <c r="A558" s="100" t="s">
        <v>23</v>
      </c>
      <c r="B558" s="100" t="s">
        <v>29</v>
      </c>
      <c r="C558" s="100" t="s">
        <v>27</v>
      </c>
      <c r="D558" s="102">
        <v>45596</v>
      </c>
      <c r="E558" s="103">
        <v>0.72919999999999996</v>
      </c>
      <c r="F558" s="100">
        <v>0</v>
      </c>
      <c r="G558" s="100" t="s">
        <v>17</v>
      </c>
      <c r="H558" s="103">
        <v>0.7</v>
      </c>
      <c r="I558" s="101">
        <f t="shared" si="10"/>
        <v>3.8154897494305146E-2</v>
      </c>
    </row>
    <row r="559" spans="1:9" x14ac:dyDescent="0.3">
      <c r="A559" s="100" t="s">
        <v>23</v>
      </c>
      <c r="B559" s="100" t="s">
        <v>29</v>
      </c>
      <c r="C559" s="100" t="s">
        <v>27</v>
      </c>
      <c r="D559" s="102">
        <v>45626</v>
      </c>
      <c r="E559" s="103">
        <v>0.77529999999999999</v>
      </c>
      <c r="F559" s="100">
        <v>0</v>
      </c>
      <c r="G559" s="100" t="s">
        <v>17</v>
      </c>
      <c r="H559" s="103">
        <v>0.7</v>
      </c>
      <c r="I559" s="101">
        <f t="shared" si="10"/>
        <v>6.3219967087218915E-2</v>
      </c>
    </row>
    <row r="560" spans="1:9" x14ac:dyDescent="0.3">
      <c r="A560" s="100" t="s">
        <v>23</v>
      </c>
      <c r="B560" s="100" t="s">
        <v>29</v>
      </c>
      <c r="C560" s="100" t="s">
        <v>27</v>
      </c>
      <c r="D560" s="102">
        <v>45657</v>
      </c>
      <c r="E560" s="103">
        <v>0.86599999999999999</v>
      </c>
      <c r="F560" s="100">
        <v>0</v>
      </c>
      <c r="G560" s="100" t="s">
        <v>17</v>
      </c>
      <c r="H560" s="103">
        <v>0.7</v>
      </c>
      <c r="I560" s="101">
        <f t="shared" si="10"/>
        <v>0.1169869727847285</v>
      </c>
    </row>
    <row r="561" spans="1:9" x14ac:dyDescent="0.3">
      <c r="A561" s="100" t="s">
        <v>23</v>
      </c>
      <c r="B561" s="100" t="s">
        <v>29</v>
      </c>
      <c r="C561" s="100" t="s">
        <v>27</v>
      </c>
      <c r="D561" s="102">
        <v>45688</v>
      </c>
      <c r="E561" s="103">
        <v>0.67889999999999995</v>
      </c>
      <c r="F561" s="100">
        <v>0</v>
      </c>
      <c r="G561" s="100" t="s">
        <v>17</v>
      </c>
      <c r="H561" s="103">
        <v>0.7</v>
      </c>
      <c r="I561" s="101">
        <f t="shared" si="10"/>
        <v>-0.21605080831408782</v>
      </c>
    </row>
    <row r="562" spans="1:9" x14ac:dyDescent="0.3">
      <c r="A562" s="100" t="s">
        <v>23</v>
      </c>
      <c r="B562" s="100" t="s">
        <v>29</v>
      </c>
      <c r="C562" s="100" t="s">
        <v>27</v>
      </c>
      <c r="D562" s="102">
        <v>45716</v>
      </c>
      <c r="E562" s="103">
        <v>0.72040000000000004</v>
      </c>
      <c r="F562" s="100">
        <v>0</v>
      </c>
      <c r="G562" s="100" t="s">
        <v>17</v>
      </c>
      <c r="H562" s="103">
        <v>0.7</v>
      </c>
      <c r="I562" s="101">
        <f t="shared" si="10"/>
        <v>6.1128295772573421E-2</v>
      </c>
    </row>
    <row r="563" spans="1:9" x14ac:dyDescent="0.3">
      <c r="A563" s="100" t="s">
        <v>23</v>
      </c>
      <c r="B563" s="100" t="s">
        <v>29</v>
      </c>
      <c r="C563" s="100" t="s">
        <v>27</v>
      </c>
      <c r="D563" s="102">
        <v>45747</v>
      </c>
      <c r="E563" s="103">
        <v>0.85450000000000004</v>
      </c>
      <c r="F563" s="100">
        <v>0</v>
      </c>
      <c r="G563" s="100" t="s">
        <v>17</v>
      </c>
      <c r="H563" s="103">
        <v>0.7</v>
      </c>
      <c r="I563" s="101">
        <f t="shared" si="10"/>
        <v>0.18614658523042751</v>
      </c>
    </row>
    <row r="564" spans="1:9" x14ac:dyDescent="0.3">
      <c r="A564" s="100" t="s">
        <v>23</v>
      </c>
      <c r="B564" s="100" t="s">
        <v>29</v>
      </c>
      <c r="C564" s="100" t="s">
        <v>27</v>
      </c>
      <c r="D564" s="102">
        <v>45777</v>
      </c>
      <c r="E564" s="103">
        <v>0.75790000000000002</v>
      </c>
      <c r="F564" s="100">
        <v>0</v>
      </c>
      <c r="G564" s="100" t="s">
        <v>17</v>
      </c>
      <c r="H564" s="103">
        <v>0.7</v>
      </c>
      <c r="I564" s="101">
        <f t="shared" si="10"/>
        <v>-0.11304856641310709</v>
      </c>
    </row>
    <row r="565" spans="1:9" x14ac:dyDescent="0.3">
      <c r="A565" s="100" t="s">
        <v>23</v>
      </c>
      <c r="B565" s="100" t="s">
        <v>29</v>
      </c>
      <c r="C565" s="100" t="s">
        <v>27</v>
      </c>
      <c r="D565" s="102">
        <v>45808</v>
      </c>
      <c r="E565" s="103">
        <v>0.85089999999999999</v>
      </c>
      <c r="F565" s="100">
        <v>0</v>
      </c>
      <c r="G565" s="100" t="s">
        <v>17</v>
      </c>
      <c r="H565" s="103">
        <v>0.7</v>
      </c>
      <c r="I565" s="101">
        <f t="shared" si="10"/>
        <v>0.1227074811980472</v>
      </c>
    </row>
    <row r="566" spans="1:9" x14ac:dyDescent="0.3">
      <c r="A566" s="100" t="s">
        <v>23</v>
      </c>
      <c r="B566" s="100" t="s">
        <v>29</v>
      </c>
      <c r="C566" s="100" t="s">
        <v>27</v>
      </c>
      <c r="D566" s="102">
        <v>45838</v>
      </c>
      <c r="E566" s="103">
        <v>0.83160000000000001</v>
      </c>
      <c r="F566" s="100">
        <v>0</v>
      </c>
      <c r="G566" s="100" t="s">
        <v>17</v>
      </c>
      <c r="H566" s="103">
        <v>0.7</v>
      </c>
      <c r="I566" s="101">
        <f t="shared" si="10"/>
        <v>-2.2681866259254887E-2</v>
      </c>
    </row>
    <row r="567" spans="1:9" x14ac:dyDescent="0.3">
      <c r="A567" s="100" t="s">
        <v>23</v>
      </c>
      <c r="B567" s="100" t="s">
        <v>29</v>
      </c>
      <c r="C567" s="100" t="s">
        <v>27</v>
      </c>
      <c r="D567" s="102">
        <v>45869</v>
      </c>
      <c r="E567" s="103">
        <v>0.86599999999999999</v>
      </c>
      <c r="F567" s="100">
        <v>0</v>
      </c>
      <c r="G567" s="100" t="s">
        <v>17</v>
      </c>
      <c r="H567" s="103">
        <v>0.7</v>
      </c>
      <c r="I567" s="101">
        <f t="shared" si="10"/>
        <v>4.1366041366041349E-2</v>
      </c>
    </row>
    <row r="568" spans="1:9" x14ac:dyDescent="0.3">
      <c r="A568" s="100" t="s">
        <v>23</v>
      </c>
      <c r="B568" s="100" t="s">
        <v>29</v>
      </c>
      <c r="C568" s="100" t="s">
        <v>27</v>
      </c>
      <c r="D568" s="102">
        <v>45900</v>
      </c>
      <c r="E568" s="103">
        <v>0.78300000000000003</v>
      </c>
      <c r="F568" s="100">
        <v>0</v>
      </c>
      <c r="G568" s="100" t="s">
        <v>17</v>
      </c>
      <c r="H568" s="103">
        <v>0.7</v>
      </c>
      <c r="I568" s="101">
        <f t="shared" si="10"/>
        <v>-9.5842956120092332E-2</v>
      </c>
    </row>
    <row r="569" spans="1:9" x14ac:dyDescent="0.3">
      <c r="A569" s="100" t="s">
        <v>23</v>
      </c>
      <c r="B569" s="100" t="s">
        <v>29</v>
      </c>
      <c r="C569" s="100" t="s">
        <v>27</v>
      </c>
      <c r="D569" s="102">
        <v>45930</v>
      </c>
      <c r="E569" s="103">
        <v>0.77400000000000002</v>
      </c>
      <c r="F569" s="100">
        <v>0</v>
      </c>
      <c r="G569" s="100" t="s">
        <v>17</v>
      </c>
      <c r="H569" s="103">
        <v>0.7</v>
      </c>
      <c r="I569" s="101">
        <f t="shared" si="10"/>
        <v>-1.1494252873563229E-2</v>
      </c>
    </row>
    <row r="570" spans="1:9" x14ac:dyDescent="0.3">
      <c r="A570" s="100" t="s">
        <v>23</v>
      </c>
      <c r="B570" s="100" t="s">
        <v>29</v>
      </c>
      <c r="C570" s="100" t="s">
        <v>27</v>
      </c>
      <c r="D570" s="102">
        <v>45961</v>
      </c>
      <c r="E570" s="103">
        <v>0.82</v>
      </c>
      <c r="F570" s="100">
        <v>0</v>
      </c>
      <c r="G570" s="100" t="s">
        <v>17</v>
      </c>
      <c r="H570" s="103">
        <v>0.7</v>
      </c>
      <c r="I570" s="101">
        <f t="shared" si="10"/>
        <v>5.9431524547803524E-2</v>
      </c>
    </row>
    <row r="571" spans="1:9" x14ac:dyDescent="0.3">
      <c r="A571" s="100" t="s">
        <v>23</v>
      </c>
      <c r="B571" s="100" t="s">
        <v>29</v>
      </c>
      <c r="C571" s="100" t="s">
        <v>27</v>
      </c>
      <c r="D571" s="102">
        <v>45991</v>
      </c>
      <c r="E571" s="103">
        <v>0.81599999999999995</v>
      </c>
      <c r="F571" s="100">
        <v>0</v>
      </c>
      <c r="G571" s="100" t="s">
        <v>17</v>
      </c>
      <c r="H571" s="103">
        <v>0.7</v>
      </c>
      <c r="I571" s="101">
        <f t="shared" si="10"/>
        <v>-4.8780487804878092E-3</v>
      </c>
    </row>
    <row r="572" spans="1:9" x14ac:dyDescent="0.3">
      <c r="A572" s="100" t="s">
        <v>10</v>
      </c>
      <c r="B572" s="100" t="s">
        <v>30</v>
      </c>
      <c r="C572" s="100" t="s">
        <v>12</v>
      </c>
      <c r="D572" s="102">
        <v>45535</v>
      </c>
      <c r="E572" s="103">
        <v>0.24603481624758219</v>
      </c>
      <c r="F572" s="100">
        <v>1</v>
      </c>
      <c r="G572" s="100" t="s">
        <v>13</v>
      </c>
      <c r="H572" s="103">
        <v>0.27</v>
      </c>
      <c r="I572" s="101" t="str">
        <f t="shared" si="10"/>
        <v/>
      </c>
    </row>
    <row r="573" spans="1:9" x14ac:dyDescent="0.3">
      <c r="A573" s="100" t="s">
        <v>10</v>
      </c>
      <c r="B573" s="100" t="s">
        <v>30</v>
      </c>
      <c r="C573" s="100" t="s">
        <v>12</v>
      </c>
      <c r="D573" s="102">
        <v>45565</v>
      </c>
      <c r="E573" s="103">
        <v>0.2068173113749521</v>
      </c>
      <c r="F573" s="100">
        <v>0</v>
      </c>
      <c r="G573" s="100" t="s">
        <v>13</v>
      </c>
      <c r="H573" s="103">
        <v>0.27</v>
      </c>
      <c r="I573" s="101">
        <f t="shared" si="10"/>
        <v>0.15939819197444779</v>
      </c>
    </row>
    <row r="574" spans="1:9" x14ac:dyDescent="0.3">
      <c r="A574" s="100" t="s">
        <v>10</v>
      </c>
      <c r="B574" s="100" t="s">
        <v>30</v>
      </c>
      <c r="C574" s="100" t="s">
        <v>12</v>
      </c>
      <c r="D574" s="102">
        <v>45596</v>
      </c>
      <c r="E574" s="103">
        <v>0.2016806722689076</v>
      </c>
      <c r="F574" s="100">
        <v>0</v>
      </c>
      <c r="G574" s="100" t="s">
        <v>13</v>
      </c>
      <c r="H574" s="103">
        <v>0.27</v>
      </c>
      <c r="I574" s="101">
        <f t="shared" si="10"/>
        <v>2.4836601307189267E-2</v>
      </c>
    </row>
    <row r="575" spans="1:9" x14ac:dyDescent="0.3">
      <c r="A575" s="100" t="s">
        <v>10</v>
      </c>
      <c r="B575" s="100" t="s">
        <v>30</v>
      </c>
      <c r="C575" s="100" t="s">
        <v>12</v>
      </c>
      <c r="D575" s="102">
        <v>45626</v>
      </c>
      <c r="E575" s="103">
        <v>0.18714340099999999</v>
      </c>
      <c r="F575" s="100">
        <v>0</v>
      </c>
      <c r="G575" s="100" t="s">
        <v>13</v>
      </c>
      <c r="H575" s="103">
        <v>0.27</v>
      </c>
      <c r="I575" s="101">
        <f t="shared" si="10"/>
        <v>7.2080636708333548E-2</v>
      </c>
    </row>
    <row r="576" spans="1:9" x14ac:dyDescent="0.3">
      <c r="A576" s="100" t="s">
        <v>10</v>
      </c>
      <c r="B576" s="100" t="s">
        <v>30</v>
      </c>
      <c r="C576" s="100" t="s">
        <v>12</v>
      </c>
      <c r="D576" s="102">
        <v>45657</v>
      </c>
      <c r="E576" s="103">
        <v>0.20540129326740211</v>
      </c>
      <c r="F576" s="100">
        <v>0</v>
      </c>
      <c r="G576" s="100" t="s">
        <v>13</v>
      </c>
      <c r="H576" s="103">
        <v>0.27</v>
      </c>
      <c r="I576" s="101">
        <f t="shared" si="10"/>
        <v>-9.7560972868084878E-2</v>
      </c>
    </row>
    <row r="577" spans="1:9" x14ac:dyDescent="0.3">
      <c r="A577" s="100" t="s">
        <v>10</v>
      </c>
      <c r="B577" s="100" t="s">
        <v>30</v>
      </c>
      <c r="C577" s="100" t="s">
        <v>12</v>
      </c>
      <c r="D577" s="102">
        <v>45688</v>
      </c>
      <c r="E577" s="103">
        <v>0.2151850438763831</v>
      </c>
      <c r="F577" s="100">
        <v>0</v>
      </c>
      <c r="G577" s="100" t="s">
        <v>13</v>
      </c>
      <c r="H577" s="103">
        <v>0.27</v>
      </c>
      <c r="I577" s="101">
        <f t="shared" si="10"/>
        <v>-4.7632371020390744E-2</v>
      </c>
    </row>
    <row r="578" spans="1:9" x14ac:dyDescent="0.3">
      <c r="A578" s="100" t="s">
        <v>10</v>
      </c>
      <c r="B578" s="100" t="s">
        <v>30</v>
      </c>
      <c r="C578" s="100" t="s">
        <v>12</v>
      </c>
      <c r="D578" s="102">
        <v>45716</v>
      </c>
      <c r="E578" s="103">
        <v>0.21717366191759721</v>
      </c>
      <c r="F578" s="100">
        <v>0</v>
      </c>
      <c r="G578" s="100" t="s">
        <v>13</v>
      </c>
      <c r="H578" s="103">
        <v>0.27</v>
      </c>
      <c r="I578" s="101">
        <f t="shared" si="10"/>
        <v>-9.2414324220251587E-3</v>
      </c>
    </row>
    <row r="579" spans="1:9" x14ac:dyDescent="0.3">
      <c r="A579" s="100" t="s">
        <v>10</v>
      </c>
      <c r="B579" s="100" t="s">
        <v>30</v>
      </c>
      <c r="C579" s="100" t="s">
        <v>12</v>
      </c>
      <c r="D579" s="102">
        <v>45747</v>
      </c>
      <c r="E579" s="103">
        <v>0.20560747663551401</v>
      </c>
      <c r="F579" s="100">
        <v>0</v>
      </c>
      <c r="G579" s="100" t="s">
        <v>13</v>
      </c>
      <c r="H579" s="103">
        <v>0.27</v>
      </c>
      <c r="I579" s="101">
        <f t="shared" ref="I579:I642" si="11">IF(OR(B579&lt;&gt;B578,C579&lt;&gt;C578),"",IF(E578=0,"",IF(G579="UP",(E579-E578)/E578,-((E579-E578)/E578))))</f>
        <v>5.3257771591436284E-2</v>
      </c>
    </row>
    <row r="580" spans="1:9" x14ac:dyDescent="0.3">
      <c r="A580" s="100" t="s">
        <v>10</v>
      </c>
      <c r="B580" s="100" t="s">
        <v>30</v>
      </c>
      <c r="C580" s="100" t="s">
        <v>12</v>
      </c>
      <c r="D580" s="102">
        <v>45777</v>
      </c>
      <c r="E580" s="103">
        <v>0.20371101460718519</v>
      </c>
      <c r="F580" s="100">
        <v>0</v>
      </c>
      <c r="G580" s="100" t="s">
        <v>13</v>
      </c>
      <c r="H580" s="103">
        <v>0.27</v>
      </c>
      <c r="I580" s="101">
        <f t="shared" si="11"/>
        <v>9.2237016832356581E-3</v>
      </c>
    </row>
    <row r="581" spans="1:9" x14ac:dyDescent="0.3">
      <c r="A581" s="100" t="s">
        <v>10</v>
      </c>
      <c r="B581" s="100" t="s">
        <v>30</v>
      </c>
      <c r="C581" s="100" t="s">
        <v>12</v>
      </c>
      <c r="D581" s="102">
        <v>45808</v>
      </c>
      <c r="E581" s="103">
        <v>0.17767106842737099</v>
      </c>
      <c r="F581" s="100">
        <v>0</v>
      </c>
      <c r="G581" s="100" t="s">
        <v>13</v>
      </c>
      <c r="H581" s="103">
        <v>0.27</v>
      </c>
      <c r="I581" s="101">
        <f t="shared" si="11"/>
        <v>0.12782787533618092</v>
      </c>
    </row>
    <row r="582" spans="1:9" x14ac:dyDescent="0.3">
      <c r="A582" s="100" t="s">
        <v>10</v>
      </c>
      <c r="B582" s="100" t="s">
        <v>30</v>
      </c>
      <c r="C582" s="100" t="s">
        <v>12</v>
      </c>
      <c r="D582" s="102">
        <v>45838</v>
      </c>
      <c r="E582" s="103">
        <v>0.19448946515397081</v>
      </c>
      <c r="F582" s="100">
        <v>0</v>
      </c>
      <c r="G582" s="100" t="s">
        <v>13</v>
      </c>
      <c r="H582" s="103">
        <v>0.27</v>
      </c>
      <c r="I582" s="101">
        <f t="shared" si="11"/>
        <v>-9.4660300494984112E-2</v>
      </c>
    </row>
    <row r="583" spans="1:9" x14ac:dyDescent="0.3">
      <c r="A583" s="100" t="s">
        <v>10</v>
      </c>
      <c r="B583" s="100" t="s">
        <v>30</v>
      </c>
      <c r="C583" s="100" t="s">
        <v>12</v>
      </c>
      <c r="D583" s="102">
        <v>45869</v>
      </c>
      <c r="E583" s="103">
        <v>0.21199671322925229</v>
      </c>
      <c r="F583" s="100">
        <v>0</v>
      </c>
      <c r="G583" s="100" t="s">
        <v>13</v>
      </c>
      <c r="H583" s="103">
        <v>0.27</v>
      </c>
      <c r="I583" s="101">
        <f t="shared" si="11"/>
        <v>-9.0016433853738947E-2</v>
      </c>
    </row>
    <row r="584" spans="1:9" x14ac:dyDescent="0.3">
      <c r="A584" s="100" t="s">
        <v>10</v>
      </c>
      <c r="B584" s="100" t="s">
        <v>30</v>
      </c>
      <c r="C584" s="100" t="s">
        <v>12</v>
      </c>
      <c r="D584" s="102">
        <v>45900</v>
      </c>
      <c r="E584" s="103">
        <v>0.21981681931723571</v>
      </c>
      <c r="F584" s="100">
        <v>0</v>
      </c>
      <c r="G584" s="100" t="s">
        <v>13</v>
      </c>
      <c r="H584" s="103">
        <v>0.27</v>
      </c>
      <c r="I584" s="101">
        <f t="shared" si="11"/>
        <v>-3.6887864763859766E-2</v>
      </c>
    </row>
    <row r="585" spans="1:9" x14ac:dyDescent="0.3">
      <c r="A585" s="100" t="s">
        <v>10</v>
      </c>
      <c r="B585" s="100" t="s">
        <v>30</v>
      </c>
      <c r="C585" s="100" t="s">
        <v>12</v>
      </c>
      <c r="D585" s="102">
        <v>45930</v>
      </c>
      <c r="E585" s="103">
        <v>0.23057216054654139</v>
      </c>
      <c r="F585" s="100">
        <v>0</v>
      </c>
      <c r="G585" s="100" t="s">
        <v>13</v>
      </c>
      <c r="H585" s="103">
        <v>0.27</v>
      </c>
      <c r="I585" s="101">
        <f t="shared" si="11"/>
        <v>-4.8928654607561087E-2</v>
      </c>
    </row>
    <row r="586" spans="1:9" x14ac:dyDescent="0.3">
      <c r="A586" s="100" t="s">
        <v>10</v>
      </c>
      <c r="B586" s="100" t="s">
        <v>30</v>
      </c>
      <c r="C586" s="100" t="s">
        <v>12</v>
      </c>
      <c r="D586" s="102">
        <v>45961</v>
      </c>
      <c r="E586" s="103">
        <v>0.25688073394495409</v>
      </c>
      <c r="F586" s="100">
        <v>0</v>
      </c>
      <c r="G586" s="100" t="s">
        <v>13</v>
      </c>
      <c r="H586" s="103">
        <v>0.27</v>
      </c>
      <c r="I586" s="101">
        <f t="shared" si="11"/>
        <v>-0.11410125722052321</v>
      </c>
    </row>
    <row r="587" spans="1:9" x14ac:dyDescent="0.3">
      <c r="A587" s="100" t="s">
        <v>10</v>
      </c>
      <c r="B587" s="100" t="s">
        <v>30</v>
      </c>
      <c r="C587" s="100" t="s">
        <v>12</v>
      </c>
      <c r="D587" s="102">
        <v>45991</v>
      </c>
      <c r="E587" s="103">
        <v>0.26845637583892618</v>
      </c>
      <c r="F587" s="100">
        <v>0</v>
      </c>
      <c r="G587" s="100" t="s">
        <v>13</v>
      </c>
      <c r="H587" s="103">
        <v>0.27</v>
      </c>
      <c r="I587" s="101">
        <f t="shared" si="11"/>
        <v>-4.5062320230105639E-2</v>
      </c>
    </row>
    <row r="588" spans="1:9" x14ac:dyDescent="0.3">
      <c r="A588" s="100" t="s">
        <v>10</v>
      </c>
      <c r="B588" s="100" t="s">
        <v>30</v>
      </c>
      <c r="C588" s="100" t="s">
        <v>14</v>
      </c>
      <c r="D588" s="102">
        <v>45535</v>
      </c>
      <c r="E588" s="103">
        <v>4.3349168646080759E-2</v>
      </c>
      <c r="F588" s="100">
        <v>0</v>
      </c>
      <c r="G588" s="100" t="s">
        <v>13</v>
      </c>
      <c r="H588" s="103">
        <v>5.3999999999999999E-2</v>
      </c>
      <c r="I588" s="101" t="str">
        <f t="shared" si="11"/>
        <v/>
      </c>
    </row>
    <row r="589" spans="1:9" x14ac:dyDescent="0.3">
      <c r="A589" s="100" t="s">
        <v>10</v>
      </c>
      <c r="B589" s="100" t="s">
        <v>30</v>
      </c>
      <c r="C589" s="100" t="s">
        <v>14</v>
      </c>
      <c r="D589" s="102">
        <v>45565</v>
      </c>
      <c r="E589" s="103">
        <v>4.730928444707274E-2</v>
      </c>
      <c r="F589" s="100">
        <v>0</v>
      </c>
      <c r="G589" s="100" t="s">
        <v>13</v>
      </c>
      <c r="H589" s="103">
        <v>5.3999999999999999E-2</v>
      </c>
      <c r="I589" s="101">
        <f t="shared" si="11"/>
        <v>-9.1353904231102692E-2</v>
      </c>
    </row>
    <row r="590" spans="1:9" x14ac:dyDescent="0.3">
      <c r="A590" s="100" t="s">
        <v>10</v>
      </c>
      <c r="B590" s="100" t="s">
        <v>30</v>
      </c>
      <c r="C590" s="100" t="s">
        <v>14</v>
      </c>
      <c r="D590" s="102">
        <v>45596</v>
      </c>
      <c r="E590" s="103">
        <v>4.1287188828172443E-2</v>
      </c>
      <c r="F590" s="100">
        <v>0</v>
      </c>
      <c r="G590" s="100" t="s">
        <v>13</v>
      </c>
      <c r="H590" s="103">
        <v>5.3999999999999999E-2</v>
      </c>
      <c r="I590" s="101">
        <f t="shared" si="11"/>
        <v>0.12729204614450504</v>
      </c>
    </row>
    <row r="591" spans="1:9" x14ac:dyDescent="0.3">
      <c r="A591" s="100" t="s">
        <v>10</v>
      </c>
      <c r="B591" s="100" t="s">
        <v>30</v>
      </c>
      <c r="C591" s="100" t="s">
        <v>14</v>
      </c>
      <c r="D591" s="102">
        <v>45626</v>
      </c>
      <c r="E591" s="103">
        <v>4.1717049999999999E-2</v>
      </c>
      <c r="F591" s="100">
        <v>0</v>
      </c>
      <c r="G591" s="100" t="s">
        <v>13</v>
      </c>
      <c r="H591" s="103">
        <v>5.3999999999999999E-2</v>
      </c>
      <c r="I591" s="101">
        <f t="shared" si="11"/>
        <v>-1.0411490441176239E-2</v>
      </c>
    </row>
    <row r="592" spans="1:9" x14ac:dyDescent="0.3">
      <c r="A592" s="100" t="s">
        <v>10</v>
      </c>
      <c r="B592" s="100" t="s">
        <v>30</v>
      </c>
      <c r="C592" s="100" t="s">
        <v>14</v>
      </c>
      <c r="D592" s="102">
        <v>45657</v>
      </c>
      <c r="E592" s="103">
        <v>5.4523666866387058E-2</v>
      </c>
      <c r="F592" s="100">
        <v>0</v>
      </c>
      <c r="G592" s="100" t="s">
        <v>13</v>
      </c>
      <c r="H592" s="103">
        <v>5.3999999999999999E-2</v>
      </c>
      <c r="I592" s="101">
        <f t="shared" si="11"/>
        <v>-0.30698759539294029</v>
      </c>
    </row>
    <row r="593" spans="1:9" x14ac:dyDescent="0.3">
      <c r="A593" s="100" t="s">
        <v>10</v>
      </c>
      <c r="B593" s="100" t="s">
        <v>30</v>
      </c>
      <c r="C593" s="100" t="s">
        <v>14</v>
      </c>
      <c r="D593" s="102">
        <v>45688</v>
      </c>
      <c r="E593" s="103">
        <v>5.1869722557297951E-2</v>
      </c>
      <c r="F593" s="100">
        <v>0</v>
      </c>
      <c r="G593" s="100" t="s">
        <v>13</v>
      </c>
      <c r="H593" s="103">
        <v>5.3999999999999999E-2</v>
      </c>
      <c r="I593" s="101">
        <f t="shared" si="11"/>
        <v>4.8675088482084829E-2</v>
      </c>
    </row>
    <row r="594" spans="1:9" x14ac:dyDescent="0.3">
      <c r="A594" s="100" t="s">
        <v>10</v>
      </c>
      <c r="B594" s="100" t="s">
        <v>30</v>
      </c>
      <c r="C594" s="100" t="s">
        <v>14</v>
      </c>
      <c r="D594" s="102">
        <v>45716</v>
      </c>
      <c r="E594" s="103">
        <v>5.3635280095351609E-2</v>
      </c>
      <c r="F594" s="100">
        <v>0</v>
      </c>
      <c r="G594" s="100" t="s">
        <v>13</v>
      </c>
      <c r="H594" s="103">
        <v>5.3999999999999999E-2</v>
      </c>
      <c r="I594" s="101">
        <f t="shared" si="11"/>
        <v>-3.4038306954569358E-2</v>
      </c>
    </row>
    <row r="595" spans="1:9" x14ac:dyDescent="0.3">
      <c r="A595" s="100" t="s">
        <v>10</v>
      </c>
      <c r="B595" s="100" t="s">
        <v>30</v>
      </c>
      <c r="C595" s="100" t="s">
        <v>14</v>
      </c>
      <c r="D595" s="102">
        <v>45747</v>
      </c>
      <c r="E595" s="103">
        <v>4.1169451073985681E-2</v>
      </c>
      <c r="F595" s="100">
        <v>0</v>
      </c>
      <c r="G595" s="100" t="s">
        <v>13</v>
      </c>
      <c r="H595" s="103">
        <v>5.3999999999999999E-2</v>
      </c>
      <c r="I595" s="101">
        <f t="shared" si="11"/>
        <v>0.23241845664280028</v>
      </c>
    </row>
    <row r="596" spans="1:9" x14ac:dyDescent="0.3">
      <c r="A596" s="100" t="s">
        <v>10</v>
      </c>
      <c r="B596" s="100" t="s">
        <v>30</v>
      </c>
      <c r="C596" s="100" t="s">
        <v>14</v>
      </c>
      <c r="D596" s="102">
        <v>45777</v>
      </c>
      <c r="E596" s="103">
        <v>3.2628398791540787E-2</v>
      </c>
      <c r="F596" s="100">
        <v>0</v>
      </c>
      <c r="G596" s="100" t="s">
        <v>13</v>
      </c>
      <c r="H596" s="103">
        <v>5.3999999999999999E-2</v>
      </c>
      <c r="I596" s="101">
        <f t="shared" si="11"/>
        <v>0.20746092210692235</v>
      </c>
    </row>
    <row r="597" spans="1:9" x14ac:dyDescent="0.3">
      <c r="A597" s="100" t="s">
        <v>10</v>
      </c>
      <c r="B597" s="100" t="s">
        <v>30</v>
      </c>
      <c r="C597" s="100" t="s">
        <v>14</v>
      </c>
      <c r="D597" s="102">
        <v>45808</v>
      </c>
      <c r="E597" s="103">
        <v>3.7769784172661872E-2</v>
      </c>
      <c r="F597" s="100">
        <v>0</v>
      </c>
      <c r="G597" s="100" t="s">
        <v>13</v>
      </c>
      <c r="H597" s="103">
        <v>5.3999999999999999E-2</v>
      </c>
      <c r="I597" s="101">
        <f t="shared" si="11"/>
        <v>-0.15757394084732212</v>
      </c>
    </row>
    <row r="598" spans="1:9" x14ac:dyDescent="0.3">
      <c r="A598" s="100" t="s">
        <v>10</v>
      </c>
      <c r="B598" s="100" t="s">
        <v>30</v>
      </c>
      <c r="C598" s="100" t="s">
        <v>14</v>
      </c>
      <c r="D598" s="102">
        <v>45838</v>
      </c>
      <c r="E598" s="103">
        <v>2.717391304347826E-2</v>
      </c>
      <c r="F598" s="100">
        <v>0</v>
      </c>
      <c r="G598" s="100" t="s">
        <v>13</v>
      </c>
      <c r="H598" s="103">
        <v>5.3999999999999999E-2</v>
      </c>
      <c r="I598" s="101">
        <f t="shared" si="11"/>
        <v>0.28053830227743276</v>
      </c>
    </row>
    <row r="599" spans="1:9" x14ac:dyDescent="0.3">
      <c r="A599" s="100" t="s">
        <v>10</v>
      </c>
      <c r="B599" s="100" t="s">
        <v>30</v>
      </c>
      <c r="C599" s="100" t="s">
        <v>14</v>
      </c>
      <c r="D599" s="102">
        <v>45869</v>
      </c>
      <c r="E599" s="103">
        <v>2.641056422569028E-2</v>
      </c>
      <c r="F599" s="100">
        <v>0</v>
      </c>
      <c r="G599" s="100" t="s">
        <v>13</v>
      </c>
      <c r="H599" s="103">
        <v>5.3999999999999999E-2</v>
      </c>
      <c r="I599" s="101">
        <f t="shared" si="11"/>
        <v>2.809123649459767E-2</v>
      </c>
    </row>
    <row r="600" spans="1:9" x14ac:dyDescent="0.3">
      <c r="A600" s="100" t="s">
        <v>10</v>
      </c>
      <c r="B600" s="100" t="s">
        <v>30</v>
      </c>
      <c r="C600" s="100" t="s">
        <v>14</v>
      </c>
      <c r="D600" s="102">
        <v>45900</v>
      </c>
      <c r="E600" s="103">
        <v>2.4361259655377301E-2</v>
      </c>
      <c r="F600" s="100">
        <v>0</v>
      </c>
      <c r="G600" s="100" t="s">
        <v>13</v>
      </c>
      <c r="H600" s="103">
        <v>5.3999999999999999E-2</v>
      </c>
      <c r="I600" s="101">
        <f t="shared" si="11"/>
        <v>7.7594123048668695E-2</v>
      </c>
    </row>
    <row r="601" spans="1:9" x14ac:dyDescent="0.3">
      <c r="A601" s="100" t="s">
        <v>10</v>
      </c>
      <c r="B601" s="100" t="s">
        <v>30</v>
      </c>
      <c r="C601" s="100" t="s">
        <v>14</v>
      </c>
      <c r="D601" s="102">
        <v>45930</v>
      </c>
      <c r="E601" s="103">
        <v>2.32419547079857E-2</v>
      </c>
      <c r="F601" s="100">
        <v>0</v>
      </c>
      <c r="G601" s="100" t="s">
        <v>13</v>
      </c>
      <c r="H601" s="103">
        <v>5.3999999999999999E-2</v>
      </c>
      <c r="I601" s="101">
        <f t="shared" si="11"/>
        <v>4.5946103084391808E-2</v>
      </c>
    </row>
    <row r="602" spans="1:9" x14ac:dyDescent="0.3">
      <c r="A602" s="100" t="s">
        <v>10</v>
      </c>
      <c r="B602" s="100" t="s">
        <v>30</v>
      </c>
      <c r="C602" s="100" t="s">
        <v>14</v>
      </c>
      <c r="D602" s="102">
        <v>45961</v>
      </c>
      <c r="E602" s="103">
        <v>2.167369054786273E-2</v>
      </c>
      <c r="F602" s="100">
        <v>0</v>
      </c>
      <c r="G602" s="100" t="s">
        <v>13</v>
      </c>
      <c r="H602" s="103">
        <v>5.3999999999999999E-2</v>
      </c>
      <c r="I602" s="101">
        <f t="shared" si="11"/>
        <v>6.7475570786829323E-2</v>
      </c>
    </row>
    <row r="603" spans="1:9" x14ac:dyDescent="0.3">
      <c r="A603" s="100" t="s">
        <v>10</v>
      </c>
      <c r="B603" s="100" t="s">
        <v>30</v>
      </c>
      <c r="C603" s="100" t="s">
        <v>14</v>
      </c>
      <c r="D603" s="102">
        <v>45991</v>
      </c>
      <c r="E603" s="103">
        <v>2.990430622009569E-2</v>
      </c>
      <c r="F603" s="100">
        <v>0</v>
      </c>
      <c r="G603" s="100" t="s">
        <v>13</v>
      </c>
      <c r="H603" s="103">
        <v>5.3999999999999999E-2</v>
      </c>
      <c r="I603" s="101">
        <f t="shared" si="11"/>
        <v>-0.37975146198830417</v>
      </c>
    </row>
    <row r="604" spans="1:9" x14ac:dyDescent="0.3">
      <c r="A604" s="100" t="s">
        <v>10</v>
      </c>
      <c r="B604" s="100" t="s">
        <v>30</v>
      </c>
      <c r="C604" s="100" t="s">
        <v>15</v>
      </c>
      <c r="D604" s="102">
        <v>45535</v>
      </c>
      <c r="E604" s="103">
        <v>5.4151624548736461E-2</v>
      </c>
      <c r="F604" s="100">
        <v>0</v>
      </c>
      <c r="G604" s="100" t="s">
        <v>13</v>
      </c>
      <c r="H604" s="103">
        <v>6.6000000000000003E-2</v>
      </c>
      <c r="I604" s="101" t="str">
        <f t="shared" si="11"/>
        <v/>
      </c>
    </row>
    <row r="605" spans="1:9" x14ac:dyDescent="0.3">
      <c r="A605" s="100" t="s">
        <v>10</v>
      </c>
      <c r="B605" s="100" t="s">
        <v>30</v>
      </c>
      <c r="C605" s="100" t="s">
        <v>15</v>
      </c>
      <c r="D605" s="102">
        <v>45565</v>
      </c>
      <c r="E605" s="103">
        <v>4.8300536672629693E-2</v>
      </c>
      <c r="F605" s="100">
        <v>0</v>
      </c>
      <c r="G605" s="100" t="s">
        <v>13</v>
      </c>
      <c r="H605" s="103">
        <v>6.6000000000000003E-2</v>
      </c>
      <c r="I605" s="101">
        <f t="shared" si="11"/>
        <v>0.10805008944543833</v>
      </c>
    </row>
    <row r="606" spans="1:9" x14ac:dyDescent="0.3">
      <c r="A606" s="100" t="s">
        <v>10</v>
      </c>
      <c r="B606" s="100" t="s">
        <v>30</v>
      </c>
      <c r="C606" s="100" t="s">
        <v>15</v>
      </c>
      <c r="D606" s="102">
        <v>45596</v>
      </c>
      <c r="E606" s="103">
        <v>4.0219378427787937E-2</v>
      </c>
      <c r="F606" s="100">
        <v>0</v>
      </c>
      <c r="G606" s="100" t="s">
        <v>13</v>
      </c>
      <c r="H606" s="103">
        <v>6.6000000000000003E-2</v>
      </c>
      <c r="I606" s="101">
        <f t="shared" si="11"/>
        <v>0.16730990588394601</v>
      </c>
    </row>
    <row r="607" spans="1:9" x14ac:dyDescent="0.3">
      <c r="A607" s="100" t="s">
        <v>10</v>
      </c>
      <c r="B607" s="100" t="s">
        <v>30</v>
      </c>
      <c r="C607" s="100" t="s">
        <v>15</v>
      </c>
      <c r="D607" s="102">
        <v>45626</v>
      </c>
      <c r="E607" s="103">
        <v>4.2435423999999999E-2</v>
      </c>
      <c r="F607" s="100">
        <v>0</v>
      </c>
      <c r="G607" s="100" t="s">
        <v>13</v>
      </c>
      <c r="H607" s="103">
        <v>6.6000000000000003E-2</v>
      </c>
      <c r="I607" s="101">
        <f t="shared" si="11"/>
        <v>-5.5098951272727181E-2</v>
      </c>
    </row>
    <row r="608" spans="1:9" x14ac:dyDescent="0.3">
      <c r="A608" s="100" t="s">
        <v>10</v>
      </c>
      <c r="B608" s="100" t="s">
        <v>30</v>
      </c>
      <c r="C608" s="100" t="s">
        <v>15</v>
      </c>
      <c r="D608" s="102">
        <v>45657</v>
      </c>
      <c r="E608" s="103">
        <v>6.363636363636363E-2</v>
      </c>
      <c r="F608" s="100">
        <v>0</v>
      </c>
      <c r="G608" s="100" t="s">
        <v>13</v>
      </c>
      <c r="H608" s="103">
        <v>6.6000000000000003E-2</v>
      </c>
      <c r="I608" s="101">
        <f t="shared" si="11"/>
        <v>-0.49960475560144352</v>
      </c>
    </row>
    <row r="609" spans="1:9" x14ac:dyDescent="0.3">
      <c r="A609" s="100" t="s">
        <v>10</v>
      </c>
      <c r="B609" s="100" t="s">
        <v>30</v>
      </c>
      <c r="C609" s="100" t="s">
        <v>15</v>
      </c>
      <c r="D609" s="102">
        <v>45688</v>
      </c>
      <c r="E609" s="103">
        <v>6.545454545454546E-2</v>
      </c>
      <c r="F609" s="100">
        <v>0</v>
      </c>
      <c r="G609" s="100" t="s">
        <v>13</v>
      </c>
      <c r="H609" s="103">
        <v>6.6000000000000003E-2</v>
      </c>
      <c r="I609" s="101">
        <f t="shared" si="11"/>
        <v>-2.8571428571428758E-2</v>
      </c>
    </row>
    <row r="610" spans="1:9" x14ac:dyDescent="0.3">
      <c r="A610" s="100" t="s">
        <v>10</v>
      </c>
      <c r="B610" s="100" t="s">
        <v>30</v>
      </c>
      <c r="C610" s="100" t="s">
        <v>15</v>
      </c>
      <c r="D610" s="102">
        <v>45716</v>
      </c>
      <c r="E610" s="103">
        <v>5.6363636363636373E-2</v>
      </c>
      <c r="F610" s="100">
        <v>0</v>
      </c>
      <c r="G610" s="100" t="s">
        <v>13</v>
      </c>
      <c r="H610" s="103">
        <v>6.6000000000000003E-2</v>
      </c>
      <c r="I610" s="101">
        <f t="shared" si="11"/>
        <v>0.13888888888888881</v>
      </c>
    </row>
    <row r="611" spans="1:9" x14ac:dyDescent="0.3">
      <c r="A611" s="100" t="s">
        <v>10</v>
      </c>
      <c r="B611" s="100" t="s">
        <v>30</v>
      </c>
      <c r="C611" s="100" t="s">
        <v>15</v>
      </c>
      <c r="D611" s="102">
        <v>45747</v>
      </c>
      <c r="E611" s="103">
        <v>4.5454545454545463E-2</v>
      </c>
      <c r="F611" s="100">
        <v>0</v>
      </c>
      <c r="G611" s="100" t="s">
        <v>13</v>
      </c>
      <c r="H611" s="103">
        <v>6.6000000000000003E-2</v>
      </c>
      <c r="I611" s="101">
        <f t="shared" si="11"/>
        <v>0.19354838709677419</v>
      </c>
    </row>
    <row r="612" spans="1:9" x14ac:dyDescent="0.3">
      <c r="A612" s="100" t="s">
        <v>10</v>
      </c>
      <c r="B612" s="100" t="s">
        <v>30</v>
      </c>
      <c r="C612" s="100" t="s">
        <v>15</v>
      </c>
      <c r="D612" s="102">
        <v>45777</v>
      </c>
      <c r="E612" s="103">
        <v>1.6885553470919329E-2</v>
      </c>
      <c r="F612" s="100">
        <v>0</v>
      </c>
      <c r="G612" s="100" t="s">
        <v>13</v>
      </c>
      <c r="H612" s="103">
        <v>6.6000000000000003E-2</v>
      </c>
      <c r="I612" s="101">
        <f t="shared" si="11"/>
        <v>0.62851782363977482</v>
      </c>
    </row>
    <row r="613" spans="1:9" x14ac:dyDescent="0.3">
      <c r="A613" s="100" t="s">
        <v>10</v>
      </c>
      <c r="B613" s="100" t="s">
        <v>30</v>
      </c>
      <c r="C613" s="100" t="s">
        <v>15</v>
      </c>
      <c r="D613" s="102">
        <v>45808</v>
      </c>
      <c r="E613" s="103">
        <v>3.8321167883211681E-2</v>
      </c>
      <c r="F613" s="100">
        <v>0</v>
      </c>
      <c r="G613" s="100" t="s">
        <v>13</v>
      </c>
      <c r="H613" s="103">
        <v>6.6000000000000003E-2</v>
      </c>
      <c r="I613" s="101">
        <f t="shared" si="11"/>
        <v>-1.2694647201946467</v>
      </c>
    </row>
    <row r="614" spans="1:9" x14ac:dyDescent="0.3">
      <c r="A614" s="100" t="s">
        <v>10</v>
      </c>
      <c r="B614" s="100" t="s">
        <v>30</v>
      </c>
      <c r="C614" s="100" t="s">
        <v>15</v>
      </c>
      <c r="D614" s="102">
        <v>45838</v>
      </c>
      <c r="E614" s="103">
        <v>2.367941712204007E-2</v>
      </c>
      <c r="F614" s="100">
        <v>0</v>
      </c>
      <c r="G614" s="100" t="s">
        <v>13</v>
      </c>
      <c r="H614" s="103">
        <v>6.6000000000000003E-2</v>
      </c>
      <c r="I614" s="101">
        <f t="shared" si="11"/>
        <v>0.38207997224390677</v>
      </c>
    </row>
    <row r="615" spans="1:9" x14ac:dyDescent="0.3">
      <c r="A615" s="100" t="s">
        <v>10</v>
      </c>
      <c r="B615" s="100" t="s">
        <v>30</v>
      </c>
      <c r="C615" s="100" t="s">
        <v>15</v>
      </c>
      <c r="D615" s="102">
        <v>45869</v>
      </c>
      <c r="E615" s="103">
        <v>1.6129032258064519E-2</v>
      </c>
      <c r="F615" s="100">
        <v>0</v>
      </c>
      <c r="G615" s="100" t="s">
        <v>13</v>
      </c>
      <c r="H615" s="103">
        <v>6.6000000000000003E-2</v>
      </c>
      <c r="I615" s="101">
        <f t="shared" si="11"/>
        <v>0.31885856079404445</v>
      </c>
    </row>
    <row r="616" spans="1:9" x14ac:dyDescent="0.3">
      <c r="A616" s="100" t="s">
        <v>10</v>
      </c>
      <c r="B616" s="100" t="s">
        <v>30</v>
      </c>
      <c r="C616" s="100" t="s">
        <v>15</v>
      </c>
      <c r="D616" s="102">
        <v>45900</v>
      </c>
      <c r="E616" s="103">
        <v>1.5929203539823009E-2</v>
      </c>
      <c r="F616" s="100">
        <v>0</v>
      </c>
      <c r="G616" s="100" t="s">
        <v>13</v>
      </c>
      <c r="H616" s="103">
        <v>6.6000000000000003E-2</v>
      </c>
      <c r="I616" s="101">
        <f t="shared" si="11"/>
        <v>1.2389380530973651E-2</v>
      </c>
    </row>
    <row r="617" spans="1:9" x14ac:dyDescent="0.3">
      <c r="A617" s="100" t="s">
        <v>10</v>
      </c>
      <c r="B617" s="100" t="s">
        <v>30</v>
      </c>
      <c r="C617" s="100" t="s">
        <v>15</v>
      </c>
      <c r="D617" s="102">
        <v>45930</v>
      </c>
      <c r="E617" s="103">
        <v>1.063829787234043E-2</v>
      </c>
      <c r="F617" s="100">
        <v>0</v>
      </c>
      <c r="G617" s="100" t="s">
        <v>13</v>
      </c>
      <c r="H617" s="103">
        <v>6.6000000000000003E-2</v>
      </c>
      <c r="I617" s="101">
        <f t="shared" si="11"/>
        <v>0.33215130023640632</v>
      </c>
    </row>
    <row r="618" spans="1:9" x14ac:dyDescent="0.3">
      <c r="A618" s="100" t="s">
        <v>10</v>
      </c>
      <c r="B618" s="100" t="s">
        <v>30</v>
      </c>
      <c r="C618" s="100" t="s">
        <v>15</v>
      </c>
      <c r="D618" s="102">
        <v>45961</v>
      </c>
      <c r="E618" s="103">
        <v>1.423487544483986E-2</v>
      </c>
      <c r="F618" s="100">
        <v>0</v>
      </c>
      <c r="G618" s="100" t="s">
        <v>13</v>
      </c>
      <c r="H618" s="103">
        <v>6.6000000000000003E-2</v>
      </c>
      <c r="I618" s="101">
        <f t="shared" si="11"/>
        <v>-0.33807829181494625</v>
      </c>
    </row>
    <row r="619" spans="1:9" x14ac:dyDescent="0.3">
      <c r="A619" s="100" t="s">
        <v>10</v>
      </c>
      <c r="B619" s="100" t="s">
        <v>30</v>
      </c>
      <c r="C619" s="100" t="s">
        <v>15</v>
      </c>
      <c r="D619" s="102">
        <v>45991</v>
      </c>
      <c r="E619" s="103">
        <v>2.669039145907473E-2</v>
      </c>
      <c r="F619" s="100">
        <v>0</v>
      </c>
      <c r="G619" s="100" t="s">
        <v>13</v>
      </c>
      <c r="H619" s="103">
        <v>6.6000000000000003E-2</v>
      </c>
      <c r="I619" s="101">
        <f t="shared" si="11"/>
        <v>-0.87499999999999944</v>
      </c>
    </row>
    <row r="620" spans="1:9" x14ac:dyDescent="0.3">
      <c r="A620" s="100" t="s">
        <v>10</v>
      </c>
      <c r="B620" s="100" t="s">
        <v>30</v>
      </c>
      <c r="C620" s="100" t="s">
        <v>16</v>
      </c>
      <c r="D620" s="102">
        <v>45535</v>
      </c>
      <c r="E620" s="103">
        <v>9.3333333333333338E-2</v>
      </c>
      <c r="F620" s="100">
        <v>0</v>
      </c>
      <c r="G620" s="100" t="s">
        <v>17</v>
      </c>
      <c r="H620" s="103">
        <v>0.16400000000000001</v>
      </c>
      <c r="I620" s="101" t="str">
        <f t="shared" si="11"/>
        <v/>
      </c>
    </row>
    <row r="621" spans="1:9" x14ac:dyDescent="0.3">
      <c r="A621" s="100" t="s">
        <v>10</v>
      </c>
      <c r="B621" s="100" t="s">
        <v>30</v>
      </c>
      <c r="C621" s="100" t="s">
        <v>16</v>
      </c>
      <c r="D621" s="102">
        <v>45565</v>
      </c>
      <c r="E621" s="103">
        <v>8.1081081081081086E-2</v>
      </c>
      <c r="F621" s="100">
        <v>1</v>
      </c>
      <c r="G621" s="100" t="s">
        <v>17</v>
      </c>
      <c r="H621" s="103">
        <v>0.16400000000000001</v>
      </c>
      <c r="I621" s="101">
        <f t="shared" si="11"/>
        <v>-0.13127413127413126</v>
      </c>
    </row>
    <row r="622" spans="1:9" x14ac:dyDescent="0.3">
      <c r="A622" s="100" t="s">
        <v>10</v>
      </c>
      <c r="B622" s="100" t="s">
        <v>30</v>
      </c>
      <c r="C622" s="100" t="s">
        <v>16</v>
      </c>
      <c r="D622" s="102">
        <v>45596</v>
      </c>
      <c r="E622" s="103">
        <v>9.3333333333333338E-2</v>
      </c>
      <c r="F622" s="100">
        <v>0</v>
      </c>
      <c r="G622" s="100" t="s">
        <v>17</v>
      </c>
      <c r="H622" s="103">
        <v>0.16400000000000001</v>
      </c>
      <c r="I622" s="101">
        <f t="shared" si="11"/>
        <v>0.15111111111111111</v>
      </c>
    </row>
    <row r="623" spans="1:9" x14ac:dyDescent="0.3">
      <c r="A623" s="100" t="s">
        <v>10</v>
      </c>
      <c r="B623" s="100" t="s">
        <v>30</v>
      </c>
      <c r="C623" s="100" t="s">
        <v>16</v>
      </c>
      <c r="D623" s="102">
        <v>45626</v>
      </c>
      <c r="E623" s="103">
        <v>9.5890410999999995E-2</v>
      </c>
      <c r="F623" s="100">
        <v>0</v>
      </c>
      <c r="G623" s="100" t="s">
        <v>17</v>
      </c>
      <c r="H623" s="103">
        <v>0.16400000000000001</v>
      </c>
      <c r="I623" s="101">
        <f t="shared" si="11"/>
        <v>2.7397260714285613E-2</v>
      </c>
    </row>
    <row r="624" spans="1:9" x14ac:dyDescent="0.3">
      <c r="A624" s="100" t="s">
        <v>10</v>
      </c>
      <c r="B624" s="100" t="s">
        <v>30</v>
      </c>
      <c r="C624" s="100" t="s">
        <v>16</v>
      </c>
      <c r="D624" s="102">
        <v>45657</v>
      </c>
      <c r="E624" s="103">
        <v>0.1081081081081081</v>
      </c>
      <c r="F624" s="100">
        <v>1</v>
      </c>
      <c r="G624" s="100" t="s">
        <v>17</v>
      </c>
      <c r="H624" s="103">
        <v>0.16400000000000001</v>
      </c>
      <c r="I624" s="101">
        <f t="shared" si="11"/>
        <v>0.12741312692995033</v>
      </c>
    </row>
    <row r="625" spans="1:9" x14ac:dyDescent="0.3">
      <c r="A625" s="100" t="s">
        <v>10</v>
      </c>
      <c r="B625" s="100" t="s">
        <v>30</v>
      </c>
      <c r="C625" s="100" t="s">
        <v>16</v>
      </c>
      <c r="D625" s="102">
        <v>45688</v>
      </c>
      <c r="E625" s="103">
        <v>0.10526315789473679</v>
      </c>
      <c r="F625" s="100">
        <v>0</v>
      </c>
      <c r="G625" s="100" t="s">
        <v>17</v>
      </c>
      <c r="H625" s="103">
        <v>0.16400000000000001</v>
      </c>
      <c r="I625" s="101">
        <f t="shared" si="11"/>
        <v>-2.631578947368458E-2</v>
      </c>
    </row>
    <row r="626" spans="1:9" x14ac:dyDescent="0.3">
      <c r="A626" s="100" t="s">
        <v>10</v>
      </c>
      <c r="B626" s="100" t="s">
        <v>30</v>
      </c>
      <c r="C626" s="100" t="s">
        <v>16</v>
      </c>
      <c r="D626" s="102">
        <v>45716</v>
      </c>
      <c r="E626" s="103">
        <v>0.11688311688311689</v>
      </c>
      <c r="F626" s="100">
        <v>0</v>
      </c>
      <c r="G626" s="100" t="s">
        <v>17</v>
      </c>
      <c r="H626" s="103">
        <v>0.16400000000000001</v>
      </c>
      <c r="I626" s="101">
        <f t="shared" si="11"/>
        <v>0.110389610389611</v>
      </c>
    </row>
    <row r="627" spans="1:9" x14ac:dyDescent="0.3">
      <c r="A627" s="100" t="s">
        <v>10</v>
      </c>
      <c r="B627" s="100" t="s">
        <v>30</v>
      </c>
      <c r="C627" s="100" t="s">
        <v>16</v>
      </c>
      <c r="D627" s="102">
        <v>45747</v>
      </c>
      <c r="E627" s="103">
        <v>0.1139240506329114</v>
      </c>
      <c r="F627" s="100">
        <v>0</v>
      </c>
      <c r="G627" s="100" t="s">
        <v>17</v>
      </c>
      <c r="H627" s="103">
        <v>0.16400000000000001</v>
      </c>
      <c r="I627" s="101">
        <f t="shared" si="11"/>
        <v>-2.5316455696202535E-2</v>
      </c>
    </row>
    <row r="628" spans="1:9" x14ac:dyDescent="0.3">
      <c r="A628" s="100" t="s">
        <v>10</v>
      </c>
      <c r="B628" s="100" t="s">
        <v>30</v>
      </c>
      <c r="C628" s="100" t="s">
        <v>16</v>
      </c>
      <c r="D628" s="102">
        <v>45777</v>
      </c>
      <c r="E628" s="103">
        <v>0.1139240506329114</v>
      </c>
      <c r="F628" s="100">
        <v>0</v>
      </c>
      <c r="G628" s="100" t="s">
        <v>17</v>
      </c>
      <c r="H628" s="103">
        <v>0.16400000000000001</v>
      </c>
      <c r="I628" s="101">
        <f t="shared" si="11"/>
        <v>0</v>
      </c>
    </row>
    <row r="629" spans="1:9" x14ac:dyDescent="0.3">
      <c r="A629" s="100" t="s">
        <v>10</v>
      </c>
      <c r="B629" s="100" t="s">
        <v>30</v>
      </c>
      <c r="C629" s="100" t="s">
        <v>16</v>
      </c>
      <c r="D629" s="102">
        <v>45808</v>
      </c>
      <c r="E629" s="103">
        <v>0.1125</v>
      </c>
      <c r="F629" s="100">
        <v>0</v>
      </c>
      <c r="G629" s="100" t="s">
        <v>17</v>
      </c>
      <c r="H629" s="103">
        <v>0.16400000000000001</v>
      </c>
      <c r="I629" s="101">
        <f t="shared" si="11"/>
        <v>-1.2500000000000065E-2</v>
      </c>
    </row>
    <row r="630" spans="1:9" x14ac:dyDescent="0.3">
      <c r="A630" s="100" t="s">
        <v>10</v>
      </c>
      <c r="B630" s="100" t="s">
        <v>30</v>
      </c>
      <c r="C630" s="100" t="s">
        <v>16</v>
      </c>
      <c r="D630" s="102">
        <v>45838</v>
      </c>
      <c r="E630" s="103">
        <v>0.1111111111111111</v>
      </c>
      <c r="F630" s="100">
        <v>0</v>
      </c>
      <c r="G630" s="100" t="s">
        <v>17</v>
      </c>
      <c r="H630" s="103">
        <v>0.16400000000000001</v>
      </c>
      <c r="I630" s="101">
        <f t="shared" si="11"/>
        <v>-1.2345679012345758E-2</v>
      </c>
    </row>
    <row r="631" spans="1:9" x14ac:dyDescent="0.3">
      <c r="A631" s="100" t="s">
        <v>10</v>
      </c>
      <c r="B631" s="100" t="s">
        <v>30</v>
      </c>
      <c r="C631" s="100" t="s">
        <v>16</v>
      </c>
      <c r="D631" s="102">
        <v>45869</v>
      </c>
      <c r="E631" s="103">
        <v>0.1097560975609756</v>
      </c>
      <c r="F631" s="100">
        <v>0</v>
      </c>
      <c r="G631" s="100" t="s">
        <v>17</v>
      </c>
      <c r="H631" s="103">
        <v>0.16400000000000001</v>
      </c>
      <c r="I631" s="101">
        <f t="shared" si="11"/>
        <v>-1.2195121951219579E-2</v>
      </c>
    </row>
    <row r="632" spans="1:9" x14ac:dyDescent="0.3">
      <c r="A632" s="100" t="s">
        <v>10</v>
      </c>
      <c r="B632" s="100" t="s">
        <v>30</v>
      </c>
      <c r="C632" s="100" t="s">
        <v>16</v>
      </c>
      <c r="D632" s="102">
        <v>45900</v>
      </c>
      <c r="E632" s="103">
        <v>0.1097560975609756</v>
      </c>
      <c r="F632" s="100">
        <v>0</v>
      </c>
      <c r="G632" s="100" t="s">
        <v>17</v>
      </c>
      <c r="H632" s="103">
        <v>0.16400000000000001</v>
      </c>
      <c r="I632" s="101">
        <f t="shared" si="11"/>
        <v>0</v>
      </c>
    </row>
    <row r="633" spans="1:9" x14ac:dyDescent="0.3">
      <c r="A633" s="100" t="s">
        <v>10</v>
      </c>
      <c r="B633" s="100" t="s">
        <v>30</v>
      </c>
      <c r="C633" s="100" t="s">
        <v>16</v>
      </c>
      <c r="D633" s="102">
        <v>45930</v>
      </c>
      <c r="E633" s="103">
        <v>0.1097560975609756</v>
      </c>
      <c r="F633" s="100">
        <v>0</v>
      </c>
      <c r="G633" s="100" t="s">
        <v>17</v>
      </c>
      <c r="H633" s="103">
        <v>0.16400000000000001</v>
      </c>
      <c r="I633" s="101">
        <f t="shared" si="11"/>
        <v>0</v>
      </c>
    </row>
    <row r="634" spans="1:9" x14ac:dyDescent="0.3">
      <c r="A634" s="100" t="s">
        <v>10</v>
      </c>
      <c r="B634" s="100" t="s">
        <v>30</v>
      </c>
      <c r="C634" s="100" t="s">
        <v>16</v>
      </c>
      <c r="D634" s="102">
        <v>45961</v>
      </c>
      <c r="E634" s="103">
        <v>0.1153846153846154</v>
      </c>
      <c r="F634" s="100">
        <v>0</v>
      </c>
      <c r="G634" s="100" t="s">
        <v>17</v>
      </c>
      <c r="H634" s="103">
        <v>0.16400000000000001</v>
      </c>
      <c r="I634" s="101">
        <f t="shared" si="11"/>
        <v>5.1282051282051599E-2</v>
      </c>
    </row>
    <row r="635" spans="1:9" x14ac:dyDescent="0.3">
      <c r="A635" s="100" t="s">
        <v>10</v>
      </c>
      <c r="B635" s="100" t="s">
        <v>30</v>
      </c>
      <c r="C635" s="100" t="s">
        <v>16</v>
      </c>
      <c r="D635" s="102">
        <v>45991</v>
      </c>
      <c r="E635" s="103">
        <v>0.1139240506329114</v>
      </c>
      <c r="F635" s="100">
        <v>0</v>
      </c>
      <c r="G635" s="100" t="s">
        <v>17</v>
      </c>
      <c r="H635" s="103">
        <v>0.16400000000000001</v>
      </c>
      <c r="I635" s="101">
        <f t="shared" si="11"/>
        <v>-1.2658227848101349E-2</v>
      </c>
    </row>
    <row r="636" spans="1:9" x14ac:dyDescent="0.3">
      <c r="A636" s="100" t="s">
        <v>10</v>
      </c>
      <c r="B636" s="100" t="s">
        <v>30</v>
      </c>
      <c r="C636" s="100" t="s">
        <v>18</v>
      </c>
      <c r="D636" s="102">
        <v>45535</v>
      </c>
      <c r="E636" s="103">
        <v>8.8014881743289919E-2</v>
      </c>
      <c r="F636" s="100">
        <v>0</v>
      </c>
      <c r="G636" s="100" t="s">
        <v>13</v>
      </c>
      <c r="H636" s="103">
        <v>0.104</v>
      </c>
      <c r="I636" s="101" t="str">
        <f t="shared" si="11"/>
        <v/>
      </c>
    </row>
    <row r="637" spans="1:9" x14ac:dyDescent="0.3">
      <c r="A637" s="100" t="s">
        <v>10</v>
      </c>
      <c r="B637" s="100" t="s">
        <v>30</v>
      </c>
      <c r="C637" s="100" t="s">
        <v>18</v>
      </c>
      <c r="D637" s="102">
        <v>45565</v>
      </c>
      <c r="E637" s="103">
        <v>8.6372056099497233E-2</v>
      </c>
      <c r="F637" s="100">
        <v>0</v>
      </c>
      <c r="G637" s="100" t="s">
        <v>13</v>
      </c>
      <c r="H637" s="103">
        <v>0.104</v>
      </c>
      <c r="I637" s="101">
        <f t="shared" si="11"/>
        <v>1.8665316719782245E-2</v>
      </c>
    </row>
    <row r="638" spans="1:9" x14ac:dyDescent="0.3">
      <c r="A638" s="100" t="s">
        <v>10</v>
      </c>
      <c r="B638" s="100" t="s">
        <v>30</v>
      </c>
      <c r="C638" s="100" t="s">
        <v>18</v>
      </c>
      <c r="D638" s="102">
        <v>45596</v>
      </c>
      <c r="E638" s="103">
        <v>8.8710529094941384E-2</v>
      </c>
      <c r="F638" s="100">
        <v>0</v>
      </c>
      <c r="G638" s="100" t="s">
        <v>13</v>
      </c>
      <c r="H638" s="103">
        <v>0.104</v>
      </c>
      <c r="I638" s="101">
        <f t="shared" si="11"/>
        <v>-2.707441620644439E-2</v>
      </c>
    </row>
    <row r="639" spans="1:9" x14ac:dyDescent="0.3">
      <c r="A639" s="100" t="s">
        <v>10</v>
      </c>
      <c r="B639" s="100" t="s">
        <v>30</v>
      </c>
      <c r="C639" s="100" t="s">
        <v>18</v>
      </c>
      <c r="D639" s="102">
        <v>45626</v>
      </c>
      <c r="E639" s="103">
        <v>8.4084084000000003E-2</v>
      </c>
      <c r="F639" s="100">
        <v>0</v>
      </c>
      <c r="G639" s="100" t="s">
        <v>13</v>
      </c>
      <c r="H639" s="103">
        <v>0.104</v>
      </c>
      <c r="I639" s="101">
        <f t="shared" si="11"/>
        <v>5.2152153099999925E-2</v>
      </c>
    </row>
    <row r="640" spans="1:9" x14ac:dyDescent="0.3">
      <c r="A640" s="100" t="s">
        <v>10</v>
      </c>
      <c r="B640" s="100" t="s">
        <v>30</v>
      </c>
      <c r="C640" s="100" t="s">
        <v>18</v>
      </c>
      <c r="D640" s="102">
        <v>45657</v>
      </c>
      <c r="E640" s="103">
        <v>8.9001104623638944E-2</v>
      </c>
      <c r="F640" s="100">
        <v>0</v>
      </c>
      <c r="G640" s="100" t="s">
        <v>13</v>
      </c>
      <c r="H640" s="103">
        <v>0.104</v>
      </c>
      <c r="I640" s="101">
        <f t="shared" si="11"/>
        <v>-5.8477423903897673E-2</v>
      </c>
    </row>
    <row r="641" spans="1:9" x14ac:dyDescent="0.3">
      <c r="A641" s="100" t="s">
        <v>10</v>
      </c>
      <c r="B641" s="100" t="s">
        <v>30</v>
      </c>
      <c r="C641" s="100" t="s">
        <v>18</v>
      </c>
      <c r="D641" s="102">
        <v>45688</v>
      </c>
      <c r="E641" s="103">
        <v>9.3316519546027737E-2</v>
      </c>
      <c r="F641" s="100">
        <v>0</v>
      </c>
      <c r="G641" s="100" t="s">
        <v>13</v>
      </c>
      <c r="H641" s="103">
        <v>0.104</v>
      </c>
      <c r="I641" s="101">
        <f t="shared" si="11"/>
        <v>-4.8487206317691114E-2</v>
      </c>
    </row>
    <row r="642" spans="1:9" x14ac:dyDescent="0.3">
      <c r="A642" s="100" t="s">
        <v>10</v>
      </c>
      <c r="B642" s="100" t="s">
        <v>30</v>
      </c>
      <c r="C642" s="100" t="s">
        <v>18</v>
      </c>
      <c r="D642" s="102">
        <v>45716</v>
      </c>
      <c r="E642" s="103">
        <v>9.4453481660282321E-2</v>
      </c>
      <c r="F642" s="100">
        <v>0</v>
      </c>
      <c r="G642" s="100" t="s">
        <v>13</v>
      </c>
      <c r="H642" s="103">
        <v>0.104</v>
      </c>
      <c r="I642" s="101">
        <f t="shared" si="11"/>
        <v>-1.218393184599844E-2</v>
      </c>
    </row>
    <row r="643" spans="1:9" x14ac:dyDescent="0.3">
      <c r="A643" s="100" t="s">
        <v>10</v>
      </c>
      <c r="B643" s="100" t="s">
        <v>30</v>
      </c>
      <c r="C643" s="100" t="s">
        <v>18</v>
      </c>
      <c r="D643" s="102">
        <v>45747</v>
      </c>
      <c r="E643" s="103">
        <v>9.1156747694886839E-2</v>
      </c>
      <c r="F643" s="100">
        <v>0</v>
      </c>
      <c r="G643" s="100" t="s">
        <v>13</v>
      </c>
      <c r="H643" s="103">
        <v>0.104</v>
      </c>
      <c r="I643" s="101">
        <f t="shared" ref="I643:I706" si="12">IF(OR(B643&lt;&gt;B642,C643&lt;&gt;C642),"",IF(E642=0,"",IF(G643="UP",(E643-E642)/E642,-((E643-E642)/E642))))</f>
        <v>3.4903255099189831E-2</v>
      </c>
    </row>
    <row r="644" spans="1:9" x14ac:dyDescent="0.3">
      <c r="A644" s="100" t="s">
        <v>10</v>
      </c>
      <c r="B644" s="100" t="s">
        <v>30</v>
      </c>
      <c r="C644" s="100" t="s">
        <v>18</v>
      </c>
      <c r="D644" s="102">
        <v>45777</v>
      </c>
      <c r="E644" s="103">
        <v>9.296969062450923E-2</v>
      </c>
      <c r="F644" s="100">
        <v>0</v>
      </c>
      <c r="G644" s="100" t="s">
        <v>13</v>
      </c>
      <c r="H644" s="103">
        <v>0.104</v>
      </c>
      <c r="I644" s="101">
        <f t="shared" si="12"/>
        <v>-1.9888192322202413E-2</v>
      </c>
    </row>
    <row r="645" spans="1:9" x14ac:dyDescent="0.3">
      <c r="A645" s="100" t="s">
        <v>10</v>
      </c>
      <c r="B645" s="100" t="s">
        <v>30</v>
      </c>
      <c r="C645" s="100" t="s">
        <v>18</v>
      </c>
      <c r="D645" s="102">
        <v>45808</v>
      </c>
      <c r="E645" s="103">
        <v>8.5947302383939772E-2</v>
      </c>
      <c r="F645" s="100">
        <v>0</v>
      </c>
      <c r="G645" s="100" t="s">
        <v>13</v>
      </c>
      <c r="H645" s="103">
        <v>0.104</v>
      </c>
      <c r="I645" s="101">
        <f t="shared" si="12"/>
        <v>7.5534168107881966E-2</v>
      </c>
    </row>
    <row r="646" spans="1:9" x14ac:dyDescent="0.3">
      <c r="A646" s="100" t="s">
        <v>10</v>
      </c>
      <c r="B646" s="100" t="s">
        <v>30</v>
      </c>
      <c r="C646" s="100" t="s">
        <v>18</v>
      </c>
      <c r="D646" s="102">
        <v>45838</v>
      </c>
      <c r="E646" s="103">
        <v>8.6479711734294223E-2</v>
      </c>
      <c r="F646" s="100">
        <v>0</v>
      </c>
      <c r="G646" s="100" t="s">
        <v>13</v>
      </c>
      <c r="H646" s="103">
        <v>0.104</v>
      </c>
      <c r="I646" s="101">
        <f t="shared" si="12"/>
        <v>-6.1946022223722296E-3</v>
      </c>
    </row>
    <row r="647" spans="1:9" x14ac:dyDescent="0.3">
      <c r="A647" s="100" t="s">
        <v>10</v>
      </c>
      <c r="B647" s="100" t="s">
        <v>30</v>
      </c>
      <c r="C647" s="100" t="s">
        <v>18</v>
      </c>
      <c r="D647" s="102">
        <v>45869</v>
      </c>
      <c r="E647" s="103">
        <v>8.5758998435054773E-2</v>
      </c>
      <c r="F647" s="100">
        <v>0</v>
      </c>
      <c r="G647" s="100" t="s">
        <v>13</v>
      </c>
      <c r="H647" s="103">
        <v>0.104</v>
      </c>
      <c r="I647" s="101">
        <f t="shared" si="12"/>
        <v>8.3339003424735721E-3</v>
      </c>
    </row>
    <row r="648" spans="1:9" x14ac:dyDescent="0.3">
      <c r="A648" s="100" t="s">
        <v>10</v>
      </c>
      <c r="B648" s="100" t="s">
        <v>30</v>
      </c>
      <c r="C648" s="100" t="s">
        <v>18</v>
      </c>
      <c r="D648" s="102">
        <v>45900</v>
      </c>
      <c r="E648" s="103">
        <v>8.6236525542883927E-2</v>
      </c>
      <c r="F648" s="100">
        <v>0</v>
      </c>
      <c r="G648" s="100" t="s">
        <v>13</v>
      </c>
      <c r="H648" s="103">
        <v>0.104</v>
      </c>
      <c r="I648" s="101">
        <f t="shared" si="12"/>
        <v>-5.5682449252341107E-3</v>
      </c>
    </row>
    <row r="649" spans="1:9" x14ac:dyDescent="0.3">
      <c r="A649" s="100" t="s">
        <v>10</v>
      </c>
      <c r="B649" s="100" t="s">
        <v>30</v>
      </c>
      <c r="C649" s="100" t="s">
        <v>18</v>
      </c>
      <c r="D649" s="102">
        <v>45930</v>
      </c>
      <c r="E649" s="103">
        <v>8.3628042438111089E-2</v>
      </c>
      <c r="F649" s="100">
        <v>0</v>
      </c>
      <c r="G649" s="100" t="s">
        <v>13</v>
      </c>
      <c r="H649" s="103">
        <v>0.104</v>
      </c>
      <c r="I649" s="101">
        <f t="shared" si="12"/>
        <v>3.0248007887048796E-2</v>
      </c>
    </row>
    <row r="650" spans="1:9" x14ac:dyDescent="0.3">
      <c r="A650" s="100" t="s">
        <v>10</v>
      </c>
      <c r="B650" s="100" t="s">
        <v>30</v>
      </c>
      <c r="C650" s="100" t="s">
        <v>18</v>
      </c>
      <c r="D650" s="102">
        <v>45961</v>
      </c>
      <c r="E650" s="103">
        <v>8.6554927092522438E-2</v>
      </c>
      <c r="F650" s="100">
        <v>0</v>
      </c>
      <c r="G650" s="100" t="s">
        <v>13</v>
      </c>
      <c r="H650" s="103">
        <v>0.104</v>
      </c>
      <c r="I650" s="101">
        <f t="shared" si="12"/>
        <v>-3.4998842123769539E-2</v>
      </c>
    </row>
    <row r="651" spans="1:9" x14ac:dyDescent="0.3">
      <c r="A651" s="100" t="s">
        <v>10</v>
      </c>
      <c r="B651" s="100" t="s">
        <v>30</v>
      </c>
      <c r="C651" s="100" t="s">
        <v>18</v>
      </c>
      <c r="D651" s="102">
        <v>45991</v>
      </c>
      <c r="E651" s="103">
        <v>8.7051142546245922E-2</v>
      </c>
      <c r="F651" s="100">
        <v>0</v>
      </c>
      <c r="G651" s="100" t="s">
        <v>13</v>
      </c>
      <c r="H651" s="103">
        <v>0.104</v>
      </c>
      <c r="I651" s="101">
        <f t="shared" si="12"/>
        <v>-5.7329544416698163E-3</v>
      </c>
    </row>
    <row r="652" spans="1:9" x14ac:dyDescent="0.3">
      <c r="A652" s="100" t="s">
        <v>10</v>
      </c>
      <c r="B652" s="100" t="s">
        <v>30</v>
      </c>
      <c r="C652" s="100" t="s">
        <v>19</v>
      </c>
      <c r="D652" s="102">
        <v>45535</v>
      </c>
      <c r="E652" s="103">
        <v>9.0145824127264684E-2</v>
      </c>
      <c r="F652" s="100">
        <v>0</v>
      </c>
      <c r="G652" s="100" t="s">
        <v>13</v>
      </c>
      <c r="H652" s="103">
        <v>0.1</v>
      </c>
      <c r="I652" s="101" t="str">
        <f t="shared" si="12"/>
        <v/>
      </c>
    </row>
    <row r="653" spans="1:9" x14ac:dyDescent="0.3">
      <c r="A653" s="100" t="s">
        <v>10</v>
      </c>
      <c r="B653" s="100" t="s">
        <v>30</v>
      </c>
      <c r="C653" s="100" t="s">
        <v>19</v>
      </c>
      <c r="D653" s="102">
        <v>45565</v>
      </c>
      <c r="E653" s="103">
        <v>8.4210526315789472E-2</v>
      </c>
      <c r="F653" s="100">
        <v>0</v>
      </c>
      <c r="G653" s="100" t="s">
        <v>13</v>
      </c>
      <c r="H653" s="103">
        <v>0.1</v>
      </c>
      <c r="I653" s="101">
        <f t="shared" si="12"/>
        <v>6.5841073271413766E-2</v>
      </c>
    </row>
    <row r="654" spans="1:9" x14ac:dyDescent="0.3">
      <c r="A654" s="100" t="s">
        <v>10</v>
      </c>
      <c r="B654" s="100" t="s">
        <v>30</v>
      </c>
      <c r="C654" s="100" t="s">
        <v>19</v>
      </c>
      <c r="D654" s="102">
        <v>45596</v>
      </c>
      <c r="E654" s="103">
        <v>7.8465562336530084E-2</v>
      </c>
      <c r="F654" s="100">
        <v>0</v>
      </c>
      <c r="G654" s="100" t="s">
        <v>13</v>
      </c>
      <c r="H654" s="103">
        <v>0.1</v>
      </c>
      <c r="I654" s="101">
        <f t="shared" si="12"/>
        <v>6.8221447253705228E-2</v>
      </c>
    </row>
    <row r="655" spans="1:9" x14ac:dyDescent="0.3">
      <c r="A655" s="100" t="s">
        <v>10</v>
      </c>
      <c r="B655" s="100" t="s">
        <v>30</v>
      </c>
      <c r="C655" s="100" t="s">
        <v>19</v>
      </c>
      <c r="D655" s="102">
        <v>45626</v>
      </c>
      <c r="E655" s="103">
        <v>7.275877E-2</v>
      </c>
      <c r="F655" s="100">
        <v>0</v>
      </c>
      <c r="G655" s="100" t="s">
        <v>13</v>
      </c>
      <c r="H655" s="103">
        <v>0.1</v>
      </c>
      <c r="I655" s="101">
        <f t="shared" si="12"/>
        <v>7.272989788888895E-2</v>
      </c>
    </row>
    <row r="656" spans="1:9" x14ac:dyDescent="0.3">
      <c r="A656" s="100" t="s">
        <v>10</v>
      </c>
      <c r="B656" s="100" t="s">
        <v>30</v>
      </c>
      <c r="C656" s="100" t="s">
        <v>19</v>
      </c>
      <c r="D656" s="102">
        <v>45657</v>
      </c>
      <c r="E656" s="103">
        <v>9.322399654725938E-2</v>
      </c>
      <c r="F656" s="100">
        <v>0</v>
      </c>
      <c r="G656" s="100" t="s">
        <v>13</v>
      </c>
      <c r="H656" s="103">
        <v>0.1</v>
      </c>
      <c r="I656" s="101">
        <f t="shared" si="12"/>
        <v>-0.28127504831732836</v>
      </c>
    </row>
    <row r="657" spans="1:9" x14ac:dyDescent="0.3">
      <c r="A657" s="100" t="s">
        <v>10</v>
      </c>
      <c r="B657" s="100" t="s">
        <v>30</v>
      </c>
      <c r="C657" s="100" t="s">
        <v>19</v>
      </c>
      <c r="D657" s="102">
        <v>45688</v>
      </c>
      <c r="E657" s="103">
        <v>9.8148945329315535E-2</v>
      </c>
      <c r="F657" s="100">
        <v>1</v>
      </c>
      <c r="G657" s="100" t="s">
        <v>13</v>
      </c>
      <c r="H657" s="103">
        <v>0.1</v>
      </c>
      <c r="I657" s="101">
        <f t="shared" si="12"/>
        <v>-5.2829195963074588E-2</v>
      </c>
    </row>
    <row r="658" spans="1:9" x14ac:dyDescent="0.3">
      <c r="A658" s="100" t="s">
        <v>10</v>
      </c>
      <c r="B658" s="100" t="s">
        <v>30</v>
      </c>
      <c r="C658" s="100" t="s">
        <v>19</v>
      </c>
      <c r="D658" s="102">
        <v>45716</v>
      </c>
      <c r="E658" s="103">
        <v>9.7980232058444347E-2</v>
      </c>
      <c r="F658" s="100">
        <v>0</v>
      </c>
      <c r="G658" s="100" t="s">
        <v>13</v>
      </c>
      <c r="H658" s="103">
        <v>0.1</v>
      </c>
      <c r="I658" s="101">
        <f t="shared" si="12"/>
        <v>1.7189514396217919E-3</v>
      </c>
    </row>
    <row r="659" spans="1:9" x14ac:dyDescent="0.3">
      <c r="A659" s="100" t="s">
        <v>10</v>
      </c>
      <c r="B659" s="100" t="s">
        <v>30</v>
      </c>
      <c r="C659" s="100" t="s">
        <v>19</v>
      </c>
      <c r="D659" s="102">
        <v>45747</v>
      </c>
      <c r="E659" s="103">
        <v>0.10335917312661499</v>
      </c>
      <c r="F659" s="100">
        <v>0</v>
      </c>
      <c r="G659" s="100" t="s">
        <v>13</v>
      </c>
      <c r="H659" s="103">
        <v>0.1</v>
      </c>
      <c r="I659" s="101">
        <f t="shared" si="12"/>
        <v>-5.4898227480846919E-2</v>
      </c>
    </row>
    <row r="660" spans="1:9" x14ac:dyDescent="0.3">
      <c r="A660" s="100" t="s">
        <v>10</v>
      </c>
      <c r="B660" s="100" t="s">
        <v>30</v>
      </c>
      <c r="C660" s="100" t="s">
        <v>19</v>
      </c>
      <c r="D660" s="102">
        <v>45777</v>
      </c>
      <c r="E660" s="103">
        <v>0.1244598098530683</v>
      </c>
      <c r="F660" s="100">
        <v>0</v>
      </c>
      <c r="G660" s="100" t="s">
        <v>13</v>
      </c>
      <c r="H660" s="103">
        <v>0.1</v>
      </c>
      <c r="I660" s="101">
        <f t="shared" si="12"/>
        <v>-0.20414866032843573</v>
      </c>
    </row>
    <row r="661" spans="1:9" x14ac:dyDescent="0.3">
      <c r="A661" s="100" t="s">
        <v>10</v>
      </c>
      <c r="B661" s="100" t="s">
        <v>30</v>
      </c>
      <c r="C661" s="100" t="s">
        <v>19</v>
      </c>
      <c r="D661" s="102">
        <v>45808</v>
      </c>
      <c r="E661" s="103">
        <v>0.10398613518197571</v>
      </c>
      <c r="F661" s="100">
        <v>0</v>
      </c>
      <c r="G661" s="100" t="s">
        <v>13</v>
      </c>
      <c r="H661" s="103">
        <v>0.1</v>
      </c>
      <c r="I661" s="101">
        <f t="shared" si="12"/>
        <v>0.1645002888503759</v>
      </c>
    </row>
    <row r="662" spans="1:9" x14ac:dyDescent="0.3">
      <c r="A662" s="100" t="s">
        <v>10</v>
      </c>
      <c r="B662" s="100" t="s">
        <v>30</v>
      </c>
      <c r="C662" s="100" t="s">
        <v>19</v>
      </c>
      <c r="D662" s="102">
        <v>45838</v>
      </c>
      <c r="E662" s="103">
        <v>9.00829711576452E-2</v>
      </c>
      <c r="F662" s="100">
        <v>0</v>
      </c>
      <c r="G662" s="100" t="s">
        <v>13</v>
      </c>
      <c r="H662" s="103">
        <v>0.1</v>
      </c>
      <c r="I662" s="101">
        <f t="shared" si="12"/>
        <v>0.1337020940339784</v>
      </c>
    </row>
    <row r="663" spans="1:9" x14ac:dyDescent="0.3">
      <c r="A663" s="100" t="s">
        <v>10</v>
      </c>
      <c r="B663" s="100" t="s">
        <v>30</v>
      </c>
      <c r="C663" s="100" t="s">
        <v>19</v>
      </c>
      <c r="D663" s="102">
        <v>45869</v>
      </c>
      <c r="E663" s="103">
        <v>7.4899033166075143E-2</v>
      </c>
      <c r="F663" s="100">
        <v>0</v>
      </c>
      <c r="G663" s="100" t="s">
        <v>13</v>
      </c>
      <c r="H663" s="103">
        <v>0.1</v>
      </c>
      <c r="I663" s="101">
        <f t="shared" si="12"/>
        <v>0.16855503095027988</v>
      </c>
    </row>
    <row r="664" spans="1:9" x14ac:dyDescent="0.3">
      <c r="A664" s="100" t="s">
        <v>10</v>
      </c>
      <c r="B664" s="100" t="s">
        <v>30</v>
      </c>
      <c r="C664" s="100" t="s">
        <v>19</v>
      </c>
      <c r="D664" s="102">
        <v>45900</v>
      </c>
      <c r="E664" s="103">
        <v>7.3224310471076387E-2</v>
      </c>
      <c r="F664" s="100">
        <v>0</v>
      </c>
      <c r="G664" s="100" t="s">
        <v>13</v>
      </c>
      <c r="H664" s="103">
        <v>0.1</v>
      </c>
      <c r="I664" s="101">
        <f t="shared" si="12"/>
        <v>2.2359737158226863E-2</v>
      </c>
    </row>
    <row r="665" spans="1:9" x14ac:dyDescent="0.3">
      <c r="A665" s="100" t="s">
        <v>10</v>
      </c>
      <c r="B665" s="100" t="s">
        <v>30</v>
      </c>
      <c r="C665" s="100" t="s">
        <v>19</v>
      </c>
      <c r="D665" s="102">
        <v>45930</v>
      </c>
      <c r="E665" s="103">
        <v>7.6014130832013638E-2</v>
      </c>
      <c r="F665" s="100">
        <v>0</v>
      </c>
      <c r="G665" s="100" t="s">
        <v>13</v>
      </c>
      <c r="H665" s="103">
        <v>0.1</v>
      </c>
      <c r="I665" s="101">
        <f t="shared" si="12"/>
        <v>-3.8099646729199729E-2</v>
      </c>
    </row>
    <row r="666" spans="1:9" x14ac:dyDescent="0.3">
      <c r="A666" s="100" t="s">
        <v>10</v>
      </c>
      <c r="B666" s="100" t="s">
        <v>30</v>
      </c>
      <c r="C666" s="100" t="s">
        <v>19</v>
      </c>
      <c r="D666" s="102">
        <v>45961</v>
      </c>
      <c r="E666" s="103">
        <v>7.437112650382792E-2</v>
      </c>
      <c r="F666" s="100">
        <v>0</v>
      </c>
      <c r="G666" s="100" t="s">
        <v>13</v>
      </c>
      <c r="H666" s="103">
        <v>0.1</v>
      </c>
      <c r="I666" s="101">
        <f t="shared" si="12"/>
        <v>2.1614459182815002E-2</v>
      </c>
    </row>
    <row r="667" spans="1:9" x14ac:dyDescent="0.3">
      <c r="A667" s="100" t="s">
        <v>10</v>
      </c>
      <c r="B667" s="100" t="s">
        <v>30</v>
      </c>
      <c r="C667" s="100" t="s">
        <v>19</v>
      </c>
      <c r="D667" s="102">
        <v>45991</v>
      </c>
      <c r="E667" s="103">
        <v>7.4853228962818E-2</v>
      </c>
      <c r="F667" s="100">
        <v>0</v>
      </c>
      <c r="G667" s="100" t="s">
        <v>13</v>
      </c>
      <c r="H667" s="103">
        <v>0.1</v>
      </c>
      <c r="I667" s="101">
        <f t="shared" si="12"/>
        <v>-6.482387475538187E-3</v>
      </c>
    </row>
    <row r="668" spans="1:9" x14ac:dyDescent="0.3">
      <c r="A668" s="100" t="s">
        <v>20</v>
      </c>
      <c r="B668" s="100" t="s">
        <v>30</v>
      </c>
      <c r="C668" s="100" t="s">
        <v>21</v>
      </c>
      <c r="D668" s="102">
        <v>45535</v>
      </c>
      <c r="E668" s="103">
        <v>0.81399999999999995</v>
      </c>
      <c r="F668" s="100">
        <v>0</v>
      </c>
      <c r="G668" s="100" t="s">
        <v>13</v>
      </c>
      <c r="H668" s="103">
        <v>0.59</v>
      </c>
      <c r="I668" s="101" t="str">
        <f t="shared" si="12"/>
        <v/>
      </c>
    </row>
    <row r="669" spans="1:9" x14ac:dyDescent="0.3">
      <c r="A669" s="100" t="s">
        <v>20</v>
      </c>
      <c r="B669" s="100" t="s">
        <v>30</v>
      </c>
      <c r="C669" s="100" t="s">
        <v>21</v>
      </c>
      <c r="D669" s="102">
        <v>45565</v>
      </c>
      <c r="E669" s="103">
        <v>0.79400000000000004</v>
      </c>
      <c r="F669" s="100">
        <v>0</v>
      </c>
      <c r="G669" s="100" t="s">
        <v>13</v>
      </c>
      <c r="H669" s="103">
        <v>0.59</v>
      </c>
      <c r="I669" s="101">
        <f t="shared" si="12"/>
        <v>2.4570024570024458E-2</v>
      </c>
    </row>
    <row r="670" spans="1:9" x14ac:dyDescent="0.3">
      <c r="A670" s="100" t="s">
        <v>20</v>
      </c>
      <c r="B670" s="100" t="s">
        <v>30</v>
      </c>
      <c r="C670" s="100" t="s">
        <v>21</v>
      </c>
      <c r="D670" s="102">
        <v>45596</v>
      </c>
      <c r="E670" s="103">
        <v>0.78</v>
      </c>
      <c r="F670" s="100">
        <v>0</v>
      </c>
      <c r="G670" s="100" t="s">
        <v>13</v>
      </c>
      <c r="H670" s="103">
        <v>0.59</v>
      </c>
      <c r="I670" s="101">
        <f t="shared" si="12"/>
        <v>1.7632241813602029E-2</v>
      </c>
    </row>
    <row r="671" spans="1:9" x14ac:dyDescent="0.3">
      <c r="A671" s="100" t="s">
        <v>20</v>
      </c>
      <c r="B671" s="100" t="s">
        <v>30</v>
      </c>
      <c r="C671" s="100" t="s">
        <v>21</v>
      </c>
      <c r="D671" s="102">
        <v>45626</v>
      </c>
      <c r="E671" s="103">
        <v>0.98</v>
      </c>
      <c r="F671" s="100">
        <v>0</v>
      </c>
      <c r="G671" s="100" t="s">
        <v>13</v>
      </c>
      <c r="H671" s="103">
        <v>0.59</v>
      </c>
      <c r="I671" s="101">
        <f t="shared" si="12"/>
        <v>-0.25641025641025633</v>
      </c>
    </row>
    <row r="672" spans="1:9" x14ac:dyDescent="0.3">
      <c r="A672" s="100" t="s">
        <v>20</v>
      </c>
      <c r="B672" s="100" t="s">
        <v>30</v>
      </c>
      <c r="C672" s="100" t="s">
        <v>21</v>
      </c>
      <c r="D672" s="102">
        <v>45657</v>
      </c>
      <c r="E672" s="103">
        <v>0.89</v>
      </c>
      <c r="F672" s="100">
        <v>0</v>
      </c>
      <c r="G672" s="100" t="s">
        <v>13</v>
      </c>
      <c r="H672" s="103">
        <v>0.59</v>
      </c>
      <c r="I672" s="101">
        <f t="shared" si="12"/>
        <v>9.1836734693877514E-2</v>
      </c>
    </row>
    <row r="673" spans="1:9" x14ac:dyDescent="0.3">
      <c r="A673" s="100" t="s">
        <v>20</v>
      </c>
      <c r="B673" s="100" t="s">
        <v>30</v>
      </c>
      <c r="C673" s="100" t="s">
        <v>21</v>
      </c>
      <c r="D673" s="102">
        <v>45688</v>
      </c>
      <c r="E673" s="103">
        <v>0.83</v>
      </c>
      <c r="F673" s="100">
        <v>0</v>
      </c>
      <c r="G673" s="100" t="s">
        <v>13</v>
      </c>
      <c r="H673" s="103">
        <v>0.59</v>
      </c>
      <c r="I673" s="101">
        <f t="shared" si="12"/>
        <v>6.7415730337078705E-2</v>
      </c>
    </row>
    <row r="674" spans="1:9" x14ac:dyDescent="0.3">
      <c r="A674" s="100" t="s">
        <v>20</v>
      </c>
      <c r="B674" s="100" t="s">
        <v>30</v>
      </c>
      <c r="C674" s="100" t="s">
        <v>21</v>
      </c>
      <c r="D674" s="102">
        <v>45716</v>
      </c>
      <c r="E674" s="103">
        <v>0.86</v>
      </c>
      <c r="F674" s="100">
        <v>0</v>
      </c>
      <c r="G674" s="100" t="s">
        <v>13</v>
      </c>
      <c r="H674" s="103">
        <v>0.59</v>
      </c>
      <c r="I674" s="101">
        <f t="shared" si="12"/>
        <v>-3.6144578313253045E-2</v>
      </c>
    </row>
    <row r="675" spans="1:9" x14ac:dyDescent="0.3">
      <c r="A675" s="100" t="s">
        <v>20</v>
      </c>
      <c r="B675" s="100" t="s">
        <v>30</v>
      </c>
      <c r="C675" s="100" t="s">
        <v>21</v>
      </c>
      <c r="D675" s="102">
        <v>45747</v>
      </c>
      <c r="E675" s="103">
        <v>0.73</v>
      </c>
      <c r="F675" s="100">
        <v>0</v>
      </c>
      <c r="G675" s="100" t="s">
        <v>13</v>
      </c>
      <c r="H675" s="103">
        <v>0.59</v>
      </c>
      <c r="I675" s="101">
        <f t="shared" si="12"/>
        <v>0.15116279069767444</v>
      </c>
    </row>
    <row r="676" spans="1:9" x14ac:dyDescent="0.3">
      <c r="A676" s="100" t="s">
        <v>20</v>
      </c>
      <c r="B676" s="100" t="s">
        <v>30</v>
      </c>
      <c r="C676" s="100" t="s">
        <v>21</v>
      </c>
      <c r="D676" s="102">
        <v>45777</v>
      </c>
      <c r="E676" s="103">
        <v>0.69</v>
      </c>
      <c r="F676" s="100">
        <v>0</v>
      </c>
      <c r="G676" s="100" t="s">
        <v>13</v>
      </c>
      <c r="H676" s="103">
        <v>0.59</v>
      </c>
      <c r="I676" s="101">
        <f t="shared" si="12"/>
        <v>5.4794520547945258E-2</v>
      </c>
    </row>
    <row r="677" spans="1:9" x14ac:dyDescent="0.3">
      <c r="A677" s="100" t="s">
        <v>20</v>
      </c>
      <c r="B677" s="100" t="s">
        <v>30</v>
      </c>
      <c r="C677" s="100" t="s">
        <v>21</v>
      </c>
      <c r="D677" s="102">
        <v>45808</v>
      </c>
      <c r="E677" s="103">
        <v>0.76</v>
      </c>
      <c r="F677" s="100">
        <v>0</v>
      </c>
      <c r="G677" s="100" t="s">
        <v>13</v>
      </c>
      <c r="H677" s="103">
        <v>0.59</v>
      </c>
      <c r="I677" s="101">
        <f t="shared" si="12"/>
        <v>-0.10144927536231894</v>
      </c>
    </row>
    <row r="678" spans="1:9" x14ac:dyDescent="0.3">
      <c r="A678" s="100" t="s">
        <v>20</v>
      </c>
      <c r="B678" s="100" t="s">
        <v>30</v>
      </c>
      <c r="C678" s="100" t="s">
        <v>21</v>
      </c>
      <c r="D678" s="102">
        <v>45838</v>
      </c>
      <c r="E678" s="103">
        <v>0.8</v>
      </c>
      <c r="F678" s="100">
        <v>0</v>
      </c>
      <c r="G678" s="100" t="s">
        <v>13</v>
      </c>
      <c r="H678" s="103">
        <v>0.59</v>
      </c>
      <c r="I678" s="101">
        <f t="shared" si="12"/>
        <v>-5.2631578947368467E-2</v>
      </c>
    </row>
    <row r="679" spans="1:9" x14ac:dyDescent="0.3">
      <c r="A679" s="100" t="s">
        <v>20</v>
      </c>
      <c r="B679" s="100" t="s">
        <v>30</v>
      </c>
      <c r="C679" s="100" t="s">
        <v>21</v>
      </c>
      <c r="D679" s="102">
        <v>45869</v>
      </c>
      <c r="E679" s="103">
        <v>0.77</v>
      </c>
      <c r="F679" s="100">
        <v>0</v>
      </c>
      <c r="G679" s="100" t="s">
        <v>13</v>
      </c>
      <c r="H679" s="103">
        <v>0.59</v>
      </c>
      <c r="I679" s="101">
        <f t="shared" si="12"/>
        <v>3.7500000000000033E-2</v>
      </c>
    </row>
    <row r="680" spans="1:9" x14ac:dyDescent="0.3">
      <c r="A680" s="100" t="s">
        <v>20</v>
      </c>
      <c r="B680" s="100" t="s">
        <v>30</v>
      </c>
      <c r="C680" s="100" t="s">
        <v>21</v>
      </c>
      <c r="D680" s="102">
        <v>45900</v>
      </c>
      <c r="E680" s="103">
        <v>0.78</v>
      </c>
      <c r="F680" s="100">
        <v>0</v>
      </c>
      <c r="G680" s="100" t="s">
        <v>13</v>
      </c>
      <c r="H680" s="103">
        <v>0.59</v>
      </c>
      <c r="I680" s="101">
        <f t="shared" si="12"/>
        <v>-1.2987012987012998E-2</v>
      </c>
    </row>
    <row r="681" spans="1:9" x14ac:dyDescent="0.3">
      <c r="A681" s="100" t="s">
        <v>20</v>
      </c>
      <c r="B681" s="100" t="s">
        <v>30</v>
      </c>
      <c r="C681" s="100" t="s">
        <v>21</v>
      </c>
      <c r="D681" s="102">
        <v>45930</v>
      </c>
      <c r="E681" s="103">
        <v>0.68</v>
      </c>
      <c r="F681" s="100">
        <v>0</v>
      </c>
      <c r="G681" s="100" t="s">
        <v>13</v>
      </c>
      <c r="H681" s="103">
        <v>0.59</v>
      </c>
      <c r="I681" s="101">
        <f t="shared" si="12"/>
        <v>0.12820512820512817</v>
      </c>
    </row>
    <row r="682" spans="1:9" x14ac:dyDescent="0.3">
      <c r="A682" s="100" t="s">
        <v>20</v>
      </c>
      <c r="B682" s="100" t="s">
        <v>30</v>
      </c>
      <c r="C682" s="100" t="s">
        <v>21</v>
      </c>
      <c r="D682" s="102">
        <v>45961</v>
      </c>
      <c r="E682" s="103">
        <v>0.7</v>
      </c>
      <c r="F682" s="100">
        <v>0</v>
      </c>
      <c r="G682" s="100" t="s">
        <v>13</v>
      </c>
      <c r="H682" s="103">
        <v>0.59</v>
      </c>
      <c r="I682" s="101">
        <f t="shared" si="12"/>
        <v>-2.9411764705882214E-2</v>
      </c>
    </row>
    <row r="683" spans="1:9" x14ac:dyDescent="0.3">
      <c r="A683" s="100" t="s">
        <v>20</v>
      </c>
      <c r="B683" s="100" t="s">
        <v>30</v>
      </c>
      <c r="C683" s="100" t="s">
        <v>22</v>
      </c>
      <c r="D683" s="102">
        <v>45535</v>
      </c>
      <c r="E683" s="103">
        <v>0.51700000000000002</v>
      </c>
      <c r="F683" s="100">
        <v>0</v>
      </c>
      <c r="G683" s="100" t="s">
        <v>13</v>
      </c>
      <c r="H683" s="103">
        <v>0.56999999999999995</v>
      </c>
      <c r="I683" s="101" t="str">
        <f t="shared" si="12"/>
        <v/>
      </c>
    </row>
    <row r="684" spans="1:9" x14ac:dyDescent="0.3">
      <c r="A684" s="100" t="s">
        <v>20</v>
      </c>
      <c r="B684" s="100" t="s">
        <v>30</v>
      </c>
      <c r="C684" s="100" t="s">
        <v>22</v>
      </c>
      <c r="D684" s="102">
        <v>45565</v>
      </c>
      <c r="E684" s="103">
        <v>0.47799999999999998</v>
      </c>
      <c r="F684" s="100">
        <v>0</v>
      </c>
      <c r="G684" s="100" t="s">
        <v>13</v>
      </c>
      <c r="H684" s="103">
        <v>0.56999999999999995</v>
      </c>
      <c r="I684" s="101">
        <f t="shared" si="12"/>
        <v>7.5435203094777623E-2</v>
      </c>
    </row>
    <row r="685" spans="1:9" x14ac:dyDescent="0.3">
      <c r="A685" s="100" t="s">
        <v>20</v>
      </c>
      <c r="B685" s="100" t="s">
        <v>30</v>
      </c>
      <c r="C685" s="100" t="s">
        <v>22</v>
      </c>
      <c r="D685" s="102">
        <v>45596</v>
      </c>
      <c r="E685" s="103">
        <v>0.54500000000000004</v>
      </c>
      <c r="F685" s="100">
        <v>1</v>
      </c>
      <c r="G685" s="100" t="s">
        <v>13</v>
      </c>
      <c r="H685" s="103">
        <v>0.56999999999999995</v>
      </c>
      <c r="I685" s="101">
        <f t="shared" si="12"/>
        <v>-0.14016736401673655</v>
      </c>
    </row>
    <row r="686" spans="1:9" x14ac:dyDescent="0.3">
      <c r="A686" s="100" t="s">
        <v>20</v>
      </c>
      <c r="B686" s="100" t="s">
        <v>30</v>
      </c>
      <c r="C686" s="100" t="s">
        <v>22</v>
      </c>
      <c r="D686" s="102">
        <v>45626</v>
      </c>
      <c r="E686" s="103">
        <v>0.44400000000000001</v>
      </c>
      <c r="F686" s="100">
        <v>0</v>
      </c>
      <c r="G686" s="100" t="s">
        <v>13</v>
      </c>
      <c r="H686" s="103">
        <v>0.56999999999999995</v>
      </c>
      <c r="I686" s="101">
        <f t="shared" si="12"/>
        <v>0.18532110091743123</v>
      </c>
    </row>
    <row r="687" spans="1:9" x14ac:dyDescent="0.3">
      <c r="A687" s="100" t="s">
        <v>20</v>
      </c>
      <c r="B687" s="100" t="s">
        <v>30</v>
      </c>
      <c r="C687" s="100" t="s">
        <v>22</v>
      </c>
      <c r="D687" s="102">
        <v>45657</v>
      </c>
      <c r="E687" s="103">
        <v>0.45500000000000002</v>
      </c>
      <c r="F687" s="100">
        <v>0</v>
      </c>
      <c r="G687" s="100" t="s">
        <v>13</v>
      </c>
      <c r="H687" s="103">
        <v>0.56999999999999995</v>
      </c>
      <c r="I687" s="101">
        <f t="shared" si="12"/>
        <v>-2.4774774774774796E-2</v>
      </c>
    </row>
    <row r="688" spans="1:9" x14ac:dyDescent="0.3">
      <c r="A688" s="100" t="s">
        <v>20</v>
      </c>
      <c r="B688" s="100" t="s">
        <v>30</v>
      </c>
      <c r="C688" s="100" t="s">
        <v>22</v>
      </c>
      <c r="D688" s="102">
        <v>45688</v>
      </c>
      <c r="E688" s="103">
        <v>0.64</v>
      </c>
      <c r="F688" s="100">
        <v>0</v>
      </c>
      <c r="G688" s="100" t="s">
        <v>13</v>
      </c>
      <c r="H688" s="103">
        <v>0.56999999999999995</v>
      </c>
      <c r="I688" s="101">
        <f t="shared" si="12"/>
        <v>-0.40659340659340659</v>
      </c>
    </row>
    <row r="689" spans="1:9" x14ac:dyDescent="0.3">
      <c r="A689" s="100" t="s">
        <v>20</v>
      </c>
      <c r="B689" s="100" t="s">
        <v>30</v>
      </c>
      <c r="C689" s="100" t="s">
        <v>22</v>
      </c>
      <c r="D689" s="102">
        <v>45716</v>
      </c>
      <c r="E689" s="103">
        <v>0.54500000000000004</v>
      </c>
      <c r="F689" s="100">
        <v>0</v>
      </c>
      <c r="G689" s="100" t="s">
        <v>13</v>
      </c>
      <c r="H689" s="103">
        <v>0.56999999999999995</v>
      </c>
      <c r="I689" s="101">
        <f t="shared" si="12"/>
        <v>0.14843749999999994</v>
      </c>
    </row>
    <row r="690" spans="1:9" x14ac:dyDescent="0.3">
      <c r="A690" s="100" t="s">
        <v>20</v>
      </c>
      <c r="B690" s="100" t="s">
        <v>30</v>
      </c>
      <c r="C690" s="100" t="s">
        <v>22</v>
      </c>
      <c r="D690" s="102">
        <v>45747</v>
      </c>
      <c r="E690" s="103">
        <v>0.83299999999999996</v>
      </c>
      <c r="F690" s="100">
        <v>0</v>
      </c>
      <c r="G690" s="100" t="s">
        <v>13</v>
      </c>
      <c r="H690" s="103">
        <v>0.56999999999999995</v>
      </c>
      <c r="I690" s="101">
        <f t="shared" si="12"/>
        <v>-0.52844036697247687</v>
      </c>
    </row>
    <row r="691" spans="1:9" x14ac:dyDescent="0.3">
      <c r="A691" s="100" t="s">
        <v>20</v>
      </c>
      <c r="B691" s="100" t="s">
        <v>30</v>
      </c>
      <c r="C691" s="100" t="s">
        <v>22</v>
      </c>
      <c r="D691" s="102">
        <v>45777</v>
      </c>
      <c r="E691" s="103">
        <v>0.72699999999999998</v>
      </c>
      <c r="F691" s="100">
        <v>0</v>
      </c>
      <c r="G691" s="100" t="s">
        <v>13</v>
      </c>
      <c r="H691" s="103">
        <v>0.56999999999999995</v>
      </c>
      <c r="I691" s="101">
        <f t="shared" si="12"/>
        <v>0.12725090036014405</v>
      </c>
    </row>
    <row r="692" spans="1:9" x14ac:dyDescent="0.3">
      <c r="A692" s="100" t="s">
        <v>20</v>
      </c>
      <c r="B692" s="100" t="s">
        <v>30</v>
      </c>
      <c r="C692" s="100" t="s">
        <v>22</v>
      </c>
      <c r="D692" s="102">
        <v>45808</v>
      </c>
      <c r="E692" s="103">
        <v>0.55600000000000005</v>
      </c>
      <c r="F692" s="100">
        <v>0</v>
      </c>
      <c r="G692" s="100" t="s">
        <v>13</v>
      </c>
      <c r="H692" s="103">
        <v>0.56999999999999995</v>
      </c>
      <c r="I692" s="101">
        <f t="shared" si="12"/>
        <v>0.23521320495185685</v>
      </c>
    </row>
    <row r="693" spans="1:9" x14ac:dyDescent="0.3">
      <c r="A693" s="100" t="s">
        <v>20</v>
      </c>
      <c r="B693" s="100" t="s">
        <v>30</v>
      </c>
      <c r="C693" s="100" t="s">
        <v>22</v>
      </c>
      <c r="D693" s="102">
        <v>45838</v>
      </c>
      <c r="E693" s="103">
        <v>0.4</v>
      </c>
      <c r="F693" s="100">
        <v>0</v>
      </c>
      <c r="G693" s="100" t="s">
        <v>13</v>
      </c>
      <c r="H693" s="103">
        <v>0.56999999999999995</v>
      </c>
      <c r="I693" s="101">
        <f t="shared" si="12"/>
        <v>0.28057553956834536</v>
      </c>
    </row>
    <row r="694" spans="1:9" x14ac:dyDescent="0.3">
      <c r="A694" s="100" t="s">
        <v>20</v>
      </c>
      <c r="B694" s="100" t="s">
        <v>30</v>
      </c>
      <c r="C694" s="100" t="s">
        <v>22</v>
      </c>
      <c r="D694" s="102">
        <v>45869</v>
      </c>
      <c r="E694" s="103">
        <v>0.81</v>
      </c>
      <c r="F694" s="100">
        <v>0</v>
      </c>
      <c r="G694" s="100" t="s">
        <v>13</v>
      </c>
      <c r="H694" s="103">
        <v>0.56999999999999995</v>
      </c>
      <c r="I694" s="101">
        <f t="shared" si="12"/>
        <v>-1.0249999999999999</v>
      </c>
    </row>
    <row r="695" spans="1:9" x14ac:dyDescent="0.3">
      <c r="A695" s="100" t="s">
        <v>20</v>
      </c>
      <c r="B695" s="100" t="s">
        <v>30</v>
      </c>
      <c r="C695" s="100" t="s">
        <v>22</v>
      </c>
      <c r="D695" s="102">
        <v>45900</v>
      </c>
      <c r="E695" s="103">
        <v>0.78</v>
      </c>
      <c r="F695" s="100">
        <v>0</v>
      </c>
      <c r="G695" s="100" t="s">
        <v>13</v>
      </c>
      <c r="H695" s="103">
        <v>0.56999999999999995</v>
      </c>
      <c r="I695" s="101">
        <f t="shared" si="12"/>
        <v>3.703703703703707E-2</v>
      </c>
    </row>
    <row r="696" spans="1:9" x14ac:dyDescent="0.3">
      <c r="A696" s="100" t="s">
        <v>20</v>
      </c>
      <c r="B696" s="100" t="s">
        <v>30</v>
      </c>
      <c r="C696" s="100" t="s">
        <v>22</v>
      </c>
      <c r="D696" s="102">
        <v>45930</v>
      </c>
      <c r="E696" s="103">
        <v>0.83</v>
      </c>
      <c r="F696" s="100">
        <v>0</v>
      </c>
      <c r="G696" s="100" t="s">
        <v>13</v>
      </c>
      <c r="H696" s="103">
        <v>0.56999999999999995</v>
      </c>
      <c r="I696" s="101">
        <f t="shared" si="12"/>
        <v>-6.4102564102564014E-2</v>
      </c>
    </row>
    <row r="697" spans="1:9" x14ac:dyDescent="0.3">
      <c r="A697" s="100" t="s">
        <v>20</v>
      </c>
      <c r="B697" s="100" t="s">
        <v>30</v>
      </c>
      <c r="C697" s="100" t="s">
        <v>22</v>
      </c>
      <c r="D697" s="102">
        <v>45961</v>
      </c>
      <c r="E697" s="103">
        <v>0.73</v>
      </c>
      <c r="F697" s="100">
        <v>0</v>
      </c>
      <c r="G697" s="100" t="s">
        <v>13</v>
      </c>
      <c r="H697" s="103">
        <v>0.56999999999999995</v>
      </c>
      <c r="I697" s="101">
        <f t="shared" si="12"/>
        <v>0.12048192771084336</v>
      </c>
    </row>
    <row r="698" spans="1:9" x14ac:dyDescent="0.3">
      <c r="A698" s="100" t="s">
        <v>23</v>
      </c>
      <c r="B698" s="100" t="s">
        <v>30</v>
      </c>
      <c r="C698" s="100" t="s">
        <v>24</v>
      </c>
      <c r="D698" s="102">
        <v>45535</v>
      </c>
      <c r="E698" s="103">
        <v>0.87429999999999997</v>
      </c>
      <c r="F698" s="100">
        <v>0</v>
      </c>
      <c r="G698" s="100" t="s">
        <v>17</v>
      </c>
      <c r="H698" s="103">
        <v>0.85</v>
      </c>
      <c r="I698" s="101" t="str">
        <f t="shared" si="12"/>
        <v/>
      </c>
    </row>
    <row r="699" spans="1:9" x14ac:dyDescent="0.3">
      <c r="A699" s="100" t="s">
        <v>23</v>
      </c>
      <c r="B699" s="100" t="s">
        <v>30</v>
      </c>
      <c r="C699" s="100" t="s">
        <v>24</v>
      </c>
      <c r="D699" s="102">
        <v>45565</v>
      </c>
      <c r="E699" s="103">
        <v>0.87760000000000005</v>
      </c>
      <c r="F699" s="100">
        <v>0</v>
      </c>
      <c r="G699" s="100" t="s">
        <v>17</v>
      </c>
      <c r="H699" s="103">
        <v>0.85</v>
      </c>
      <c r="I699" s="101">
        <f t="shared" si="12"/>
        <v>3.7744481299326099E-3</v>
      </c>
    </row>
    <row r="700" spans="1:9" x14ac:dyDescent="0.3">
      <c r="A700" s="100" t="s">
        <v>23</v>
      </c>
      <c r="B700" s="100" t="s">
        <v>30</v>
      </c>
      <c r="C700" s="100" t="s">
        <v>24</v>
      </c>
      <c r="D700" s="102">
        <v>45596</v>
      </c>
      <c r="E700" s="103">
        <v>0.83330000000000004</v>
      </c>
      <c r="F700" s="100">
        <v>0</v>
      </c>
      <c r="G700" s="100" t="s">
        <v>17</v>
      </c>
      <c r="H700" s="103">
        <v>0.85</v>
      </c>
      <c r="I700" s="101">
        <f t="shared" si="12"/>
        <v>-5.0478577939835921E-2</v>
      </c>
    </row>
    <row r="701" spans="1:9" x14ac:dyDescent="0.3">
      <c r="A701" s="100" t="s">
        <v>23</v>
      </c>
      <c r="B701" s="100" t="s">
        <v>30</v>
      </c>
      <c r="C701" s="100" t="s">
        <v>24</v>
      </c>
      <c r="D701" s="102">
        <v>45626</v>
      </c>
      <c r="E701" s="103">
        <v>0.81620000000000004</v>
      </c>
      <c r="F701" s="100">
        <v>0</v>
      </c>
      <c r="G701" s="100" t="s">
        <v>17</v>
      </c>
      <c r="H701" s="103">
        <v>0.85</v>
      </c>
      <c r="I701" s="101">
        <f t="shared" si="12"/>
        <v>-2.0520820832833318E-2</v>
      </c>
    </row>
    <row r="702" spans="1:9" x14ac:dyDescent="0.3">
      <c r="A702" s="100" t="s">
        <v>23</v>
      </c>
      <c r="B702" s="100" t="s">
        <v>30</v>
      </c>
      <c r="C702" s="100" t="s">
        <v>24</v>
      </c>
      <c r="D702" s="102">
        <v>45657</v>
      </c>
      <c r="E702" s="103">
        <v>0.79779999999999995</v>
      </c>
      <c r="F702" s="100">
        <v>0</v>
      </c>
      <c r="G702" s="100" t="s">
        <v>17</v>
      </c>
      <c r="H702" s="103">
        <v>0.85</v>
      </c>
      <c r="I702" s="101">
        <f t="shared" si="12"/>
        <v>-2.2543494241607551E-2</v>
      </c>
    </row>
    <row r="703" spans="1:9" x14ac:dyDescent="0.3">
      <c r="A703" s="100" t="s">
        <v>23</v>
      </c>
      <c r="B703" s="100" t="s">
        <v>30</v>
      </c>
      <c r="C703" s="100" t="s">
        <v>24</v>
      </c>
      <c r="D703" s="102">
        <v>45688</v>
      </c>
      <c r="E703" s="103">
        <v>0.83589999999999998</v>
      </c>
      <c r="F703" s="100">
        <v>1</v>
      </c>
      <c r="G703" s="100" t="s">
        <v>17</v>
      </c>
      <c r="H703" s="103">
        <v>0.85</v>
      </c>
      <c r="I703" s="101">
        <f t="shared" si="12"/>
        <v>4.7756329907244953E-2</v>
      </c>
    </row>
    <row r="704" spans="1:9" x14ac:dyDescent="0.3">
      <c r="A704" s="100" t="s">
        <v>23</v>
      </c>
      <c r="B704" s="100" t="s">
        <v>30</v>
      </c>
      <c r="C704" s="100" t="s">
        <v>24</v>
      </c>
      <c r="D704" s="102">
        <v>45716</v>
      </c>
      <c r="E704" s="103">
        <v>0.83409999999999995</v>
      </c>
      <c r="F704" s="100">
        <v>0</v>
      </c>
      <c r="G704" s="100" t="s">
        <v>17</v>
      </c>
      <c r="H704" s="103">
        <v>0.85</v>
      </c>
      <c r="I704" s="101">
        <f t="shared" si="12"/>
        <v>-2.153367627706692E-3</v>
      </c>
    </row>
    <row r="705" spans="1:9" x14ac:dyDescent="0.3">
      <c r="A705" s="100" t="s">
        <v>23</v>
      </c>
      <c r="B705" s="100" t="s">
        <v>30</v>
      </c>
      <c r="C705" s="100" t="s">
        <v>24</v>
      </c>
      <c r="D705" s="102">
        <v>45747</v>
      </c>
      <c r="E705" s="103">
        <v>0.81869999999999998</v>
      </c>
      <c r="F705" s="100">
        <v>0</v>
      </c>
      <c r="G705" s="100" t="s">
        <v>17</v>
      </c>
      <c r="H705" s="103">
        <v>0.85</v>
      </c>
      <c r="I705" s="101">
        <f t="shared" si="12"/>
        <v>-1.8463014027095038E-2</v>
      </c>
    </row>
    <row r="706" spans="1:9" x14ac:dyDescent="0.3">
      <c r="A706" s="100" t="s">
        <v>23</v>
      </c>
      <c r="B706" s="100" t="s">
        <v>30</v>
      </c>
      <c r="C706" s="100" t="s">
        <v>24</v>
      </c>
      <c r="D706" s="102">
        <v>45777</v>
      </c>
      <c r="E706" s="103">
        <v>0.82950000000000002</v>
      </c>
      <c r="F706" s="100">
        <v>0</v>
      </c>
      <c r="G706" s="100" t="s">
        <v>17</v>
      </c>
      <c r="H706" s="103">
        <v>0.85</v>
      </c>
      <c r="I706" s="101">
        <f t="shared" si="12"/>
        <v>1.319164529131554E-2</v>
      </c>
    </row>
    <row r="707" spans="1:9" x14ac:dyDescent="0.3">
      <c r="A707" s="100" t="s">
        <v>23</v>
      </c>
      <c r="B707" s="100" t="s">
        <v>30</v>
      </c>
      <c r="C707" s="100" t="s">
        <v>24</v>
      </c>
      <c r="D707" s="102">
        <v>45808</v>
      </c>
      <c r="E707" s="103">
        <v>0.86629999999999996</v>
      </c>
      <c r="F707" s="100">
        <v>0</v>
      </c>
      <c r="G707" s="100" t="s">
        <v>17</v>
      </c>
      <c r="H707" s="103">
        <v>0.85</v>
      </c>
      <c r="I707" s="101">
        <f t="shared" ref="I707:I770" si="13">IF(OR(B707&lt;&gt;B706,C707&lt;&gt;C706),"",IF(E706=0,"",IF(G707="UP",(E707-E706)/E706,-((E707-E706)/E706))))</f>
        <v>4.4364074743821508E-2</v>
      </c>
    </row>
    <row r="708" spans="1:9" x14ac:dyDescent="0.3">
      <c r="A708" s="100" t="s">
        <v>23</v>
      </c>
      <c r="B708" s="100" t="s">
        <v>30</v>
      </c>
      <c r="C708" s="100" t="s">
        <v>24</v>
      </c>
      <c r="D708" s="102">
        <v>45838</v>
      </c>
      <c r="E708" s="103">
        <v>0.85189999999999999</v>
      </c>
      <c r="F708" s="100">
        <v>0</v>
      </c>
      <c r="G708" s="100" t="s">
        <v>17</v>
      </c>
      <c r="H708" s="103">
        <v>0.85</v>
      </c>
      <c r="I708" s="101">
        <f t="shared" si="13"/>
        <v>-1.6622417176497713E-2</v>
      </c>
    </row>
    <row r="709" spans="1:9" x14ac:dyDescent="0.3">
      <c r="A709" s="100" t="s">
        <v>23</v>
      </c>
      <c r="B709" s="100" t="s">
        <v>30</v>
      </c>
      <c r="C709" s="100" t="s">
        <v>24</v>
      </c>
      <c r="D709" s="102">
        <v>45869</v>
      </c>
      <c r="E709" s="103">
        <v>0.872</v>
      </c>
      <c r="F709" s="100">
        <v>0</v>
      </c>
      <c r="G709" s="100" t="s">
        <v>17</v>
      </c>
      <c r="H709" s="103">
        <v>0.85</v>
      </c>
      <c r="I709" s="101">
        <f t="shared" si="13"/>
        <v>2.35943185819932E-2</v>
      </c>
    </row>
    <row r="710" spans="1:9" x14ac:dyDescent="0.3">
      <c r="A710" s="100" t="s">
        <v>23</v>
      </c>
      <c r="B710" s="100" t="s">
        <v>30</v>
      </c>
      <c r="C710" s="100" t="s">
        <v>24</v>
      </c>
      <c r="D710" s="102">
        <v>45900</v>
      </c>
      <c r="E710" s="103">
        <v>0.876</v>
      </c>
      <c r="F710" s="100">
        <v>0</v>
      </c>
      <c r="G710" s="100" t="s">
        <v>17</v>
      </c>
      <c r="H710" s="103">
        <v>0.85</v>
      </c>
      <c r="I710" s="101">
        <f t="shared" si="13"/>
        <v>4.587155963302756E-3</v>
      </c>
    </row>
    <row r="711" spans="1:9" x14ac:dyDescent="0.3">
      <c r="A711" s="100" t="s">
        <v>23</v>
      </c>
      <c r="B711" s="100" t="s">
        <v>30</v>
      </c>
      <c r="C711" s="100" t="s">
        <v>24</v>
      </c>
      <c r="D711" s="102">
        <v>45930</v>
      </c>
      <c r="E711" s="103">
        <v>0.89400000000000002</v>
      </c>
      <c r="F711" s="100">
        <v>0</v>
      </c>
      <c r="G711" s="100" t="s">
        <v>17</v>
      </c>
      <c r="H711" s="103">
        <v>0.85</v>
      </c>
      <c r="I711" s="101">
        <f t="shared" si="13"/>
        <v>2.0547945205479472E-2</v>
      </c>
    </row>
    <row r="712" spans="1:9" x14ac:dyDescent="0.3">
      <c r="A712" s="100" t="s">
        <v>23</v>
      </c>
      <c r="B712" s="100" t="s">
        <v>30</v>
      </c>
      <c r="C712" s="100" t="s">
        <v>24</v>
      </c>
      <c r="D712" s="102">
        <v>45961</v>
      </c>
      <c r="E712" s="103">
        <v>0.86199999999999999</v>
      </c>
      <c r="F712" s="100">
        <v>0</v>
      </c>
      <c r="G712" s="100" t="s">
        <v>17</v>
      </c>
      <c r="H712" s="103">
        <v>0.85</v>
      </c>
      <c r="I712" s="101">
        <f t="shared" si="13"/>
        <v>-3.5794183445190191E-2</v>
      </c>
    </row>
    <row r="713" spans="1:9" x14ac:dyDescent="0.3">
      <c r="A713" s="100" t="s">
        <v>23</v>
      </c>
      <c r="B713" s="100" t="s">
        <v>30</v>
      </c>
      <c r="C713" s="100" t="s">
        <v>24</v>
      </c>
      <c r="D713" s="102">
        <v>45991</v>
      </c>
      <c r="E713" s="103">
        <v>0.89600000000000002</v>
      </c>
      <c r="F713" s="100">
        <v>0</v>
      </c>
      <c r="G713" s="100" t="s">
        <v>17</v>
      </c>
      <c r="H713" s="103">
        <v>0.85</v>
      </c>
      <c r="I713" s="101">
        <f t="shared" si="13"/>
        <v>3.9443155452436228E-2</v>
      </c>
    </row>
    <row r="714" spans="1:9" x14ac:dyDescent="0.3">
      <c r="A714" s="100" t="s">
        <v>23</v>
      </c>
      <c r="B714" s="100" t="s">
        <v>30</v>
      </c>
      <c r="C714" s="100" t="s">
        <v>25</v>
      </c>
      <c r="D714" s="102">
        <v>45535</v>
      </c>
      <c r="E714" s="103">
        <v>0.66320000000000001</v>
      </c>
      <c r="F714" s="100">
        <v>0</v>
      </c>
      <c r="G714" s="100" t="s">
        <v>17</v>
      </c>
      <c r="H714" s="103">
        <v>0.65</v>
      </c>
      <c r="I714" s="101" t="str">
        <f t="shared" si="13"/>
        <v/>
      </c>
    </row>
    <row r="715" spans="1:9" x14ac:dyDescent="0.3">
      <c r="A715" s="100" t="s">
        <v>23</v>
      </c>
      <c r="B715" s="100" t="s">
        <v>30</v>
      </c>
      <c r="C715" s="100" t="s">
        <v>25</v>
      </c>
      <c r="D715" s="102">
        <v>45565</v>
      </c>
      <c r="E715" s="103">
        <v>0.55200000000000005</v>
      </c>
      <c r="F715" s="100">
        <v>0</v>
      </c>
      <c r="G715" s="100" t="s">
        <v>17</v>
      </c>
      <c r="H715" s="103">
        <v>0.65</v>
      </c>
      <c r="I715" s="101">
        <f t="shared" si="13"/>
        <v>-0.1676718938480096</v>
      </c>
    </row>
    <row r="716" spans="1:9" x14ac:dyDescent="0.3">
      <c r="A716" s="100" t="s">
        <v>23</v>
      </c>
      <c r="B716" s="100" t="s">
        <v>30</v>
      </c>
      <c r="C716" s="100" t="s">
        <v>25</v>
      </c>
      <c r="D716" s="102">
        <v>45596</v>
      </c>
      <c r="E716" s="103">
        <v>0.61609999999999998</v>
      </c>
      <c r="F716" s="100">
        <v>0</v>
      </c>
      <c r="G716" s="100" t="s">
        <v>17</v>
      </c>
      <c r="H716" s="103">
        <v>0.65</v>
      </c>
      <c r="I716" s="101">
        <f t="shared" si="13"/>
        <v>0.11612318840579697</v>
      </c>
    </row>
    <row r="717" spans="1:9" x14ac:dyDescent="0.3">
      <c r="A717" s="100" t="s">
        <v>23</v>
      </c>
      <c r="B717" s="100" t="s">
        <v>30</v>
      </c>
      <c r="C717" s="100" t="s">
        <v>25</v>
      </c>
      <c r="D717" s="102">
        <v>45626</v>
      </c>
      <c r="E717" s="103">
        <v>0.61109999999999998</v>
      </c>
      <c r="F717" s="100">
        <v>1</v>
      </c>
      <c r="G717" s="100" t="s">
        <v>17</v>
      </c>
      <c r="H717" s="103">
        <v>0.65</v>
      </c>
      <c r="I717" s="101">
        <f t="shared" si="13"/>
        <v>-8.1155656549261566E-3</v>
      </c>
    </row>
    <row r="718" spans="1:9" x14ac:dyDescent="0.3">
      <c r="A718" s="100" t="s">
        <v>23</v>
      </c>
      <c r="B718" s="100" t="s">
        <v>30</v>
      </c>
      <c r="C718" s="100" t="s">
        <v>25</v>
      </c>
      <c r="D718" s="102">
        <v>45657</v>
      </c>
      <c r="E718" s="103">
        <v>0.61109999999999998</v>
      </c>
      <c r="F718" s="100">
        <v>1</v>
      </c>
      <c r="G718" s="100" t="s">
        <v>17</v>
      </c>
      <c r="H718" s="103">
        <v>0.65</v>
      </c>
      <c r="I718" s="101">
        <f t="shared" si="13"/>
        <v>0</v>
      </c>
    </row>
    <row r="719" spans="1:9" x14ac:dyDescent="0.3">
      <c r="A719" s="100" t="s">
        <v>23</v>
      </c>
      <c r="B719" s="100" t="s">
        <v>30</v>
      </c>
      <c r="C719" s="100" t="s">
        <v>25</v>
      </c>
      <c r="D719" s="102">
        <v>45688</v>
      </c>
      <c r="E719" s="103">
        <v>0.58330000000000004</v>
      </c>
      <c r="F719" s="100">
        <v>1</v>
      </c>
      <c r="G719" s="100" t="s">
        <v>17</v>
      </c>
      <c r="H719" s="103">
        <v>0.65</v>
      </c>
      <c r="I719" s="101">
        <f t="shared" si="13"/>
        <v>-4.5491736213385592E-2</v>
      </c>
    </row>
    <row r="720" spans="1:9" x14ac:dyDescent="0.3">
      <c r="A720" s="100" t="s">
        <v>23</v>
      </c>
      <c r="B720" s="100" t="s">
        <v>30</v>
      </c>
      <c r="C720" s="100" t="s">
        <v>25</v>
      </c>
      <c r="D720" s="102">
        <v>45716</v>
      </c>
      <c r="E720" s="103">
        <v>0.6</v>
      </c>
      <c r="F720" s="100">
        <v>0</v>
      </c>
      <c r="G720" s="100" t="s">
        <v>17</v>
      </c>
      <c r="H720" s="103">
        <v>0.65</v>
      </c>
      <c r="I720" s="101">
        <f t="shared" si="13"/>
        <v>2.8630207440425059E-2</v>
      </c>
    </row>
    <row r="721" spans="1:9" x14ac:dyDescent="0.3">
      <c r="A721" s="100" t="s">
        <v>23</v>
      </c>
      <c r="B721" s="100" t="s">
        <v>30</v>
      </c>
      <c r="C721" s="100" t="s">
        <v>25</v>
      </c>
      <c r="D721" s="102">
        <v>45747</v>
      </c>
      <c r="E721" s="103">
        <v>0.63290000000000002</v>
      </c>
      <c r="F721" s="100">
        <v>0</v>
      </c>
      <c r="G721" s="100" t="s">
        <v>17</v>
      </c>
      <c r="H721" s="103">
        <v>0.65</v>
      </c>
      <c r="I721" s="101">
        <f t="shared" si="13"/>
        <v>5.4833333333333401E-2</v>
      </c>
    </row>
    <row r="722" spans="1:9" x14ac:dyDescent="0.3">
      <c r="A722" s="100" t="s">
        <v>23</v>
      </c>
      <c r="B722" s="100" t="s">
        <v>30</v>
      </c>
      <c r="C722" s="100" t="s">
        <v>25</v>
      </c>
      <c r="D722" s="102">
        <v>45777</v>
      </c>
      <c r="E722" s="103">
        <v>0.62029999999999996</v>
      </c>
      <c r="F722" s="100">
        <v>0</v>
      </c>
      <c r="G722" s="100" t="s">
        <v>17</v>
      </c>
      <c r="H722" s="103">
        <v>0.65</v>
      </c>
      <c r="I722" s="101">
        <f t="shared" si="13"/>
        <v>-1.9908358350450395E-2</v>
      </c>
    </row>
    <row r="723" spans="1:9" x14ac:dyDescent="0.3">
      <c r="A723" s="100" t="s">
        <v>23</v>
      </c>
      <c r="B723" s="100" t="s">
        <v>30</v>
      </c>
      <c r="C723" s="100" t="s">
        <v>25</v>
      </c>
      <c r="D723" s="102">
        <v>45808</v>
      </c>
      <c r="E723" s="103">
        <v>0.6179</v>
      </c>
      <c r="F723" s="100">
        <v>0</v>
      </c>
      <c r="G723" s="100" t="s">
        <v>17</v>
      </c>
      <c r="H723" s="103">
        <v>0.65</v>
      </c>
      <c r="I723" s="101">
        <f t="shared" si="13"/>
        <v>-3.8690955989036883E-3</v>
      </c>
    </row>
    <row r="724" spans="1:9" x14ac:dyDescent="0.3">
      <c r="A724" s="100" t="s">
        <v>23</v>
      </c>
      <c r="B724" s="100" t="s">
        <v>30</v>
      </c>
      <c r="C724" s="100" t="s">
        <v>25</v>
      </c>
      <c r="D724" s="102">
        <v>45838</v>
      </c>
      <c r="E724" s="103">
        <v>0.68330000000000002</v>
      </c>
      <c r="F724" s="100">
        <v>0</v>
      </c>
      <c r="G724" s="100" t="s">
        <v>17</v>
      </c>
      <c r="H724" s="103">
        <v>0.65</v>
      </c>
      <c r="I724" s="101">
        <f t="shared" si="13"/>
        <v>0.10584236931542323</v>
      </c>
    </row>
    <row r="725" spans="1:9" x14ac:dyDescent="0.3">
      <c r="A725" s="100" t="s">
        <v>23</v>
      </c>
      <c r="B725" s="100" t="s">
        <v>30</v>
      </c>
      <c r="C725" s="100" t="s">
        <v>25</v>
      </c>
      <c r="D725" s="102">
        <v>45869</v>
      </c>
      <c r="E725" s="103">
        <v>0.72499999999999998</v>
      </c>
      <c r="F725" s="100">
        <v>0</v>
      </c>
      <c r="G725" s="100" t="s">
        <v>17</v>
      </c>
      <c r="H725" s="103">
        <v>0.65</v>
      </c>
      <c r="I725" s="101">
        <f t="shared" si="13"/>
        <v>6.1027367188643288E-2</v>
      </c>
    </row>
    <row r="726" spans="1:9" x14ac:dyDescent="0.3">
      <c r="A726" s="100" t="s">
        <v>23</v>
      </c>
      <c r="B726" s="100" t="s">
        <v>30</v>
      </c>
      <c r="C726" s="100" t="s">
        <v>25</v>
      </c>
      <c r="D726" s="102">
        <v>45900</v>
      </c>
      <c r="E726" s="103">
        <v>0.70199999999999996</v>
      </c>
      <c r="F726" s="100">
        <v>0</v>
      </c>
      <c r="G726" s="100" t="s">
        <v>17</v>
      </c>
      <c r="H726" s="103">
        <v>0.65</v>
      </c>
      <c r="I726" s="101">
        <f t="shared" si="13"/>
        <v>-3.1724137931034513E-2</v>
      </c>
    </row>
    <row r="727" spans="1:9" x14ac:dyDescent="0.3">
      <c r="A727" s="100" t="s">
        <v>23</v>
      </c>
      <c r="B727" s="100" t="s">
        <v>30</v>
      </c>
      <c r="C727" s="100" t="s">
        <v>25</v>
      </c>
      <c r="D727" s="102">
        <v>45930</v>
      </c>
      <c r="E727" s="103">
        <v>0.68300000000000005</v>
      </c>
      <c r="F727" s="100">
        <v>0</v>
      </c>
      <c r="G727" s="100" t="s">
        <v>17</v>
      </c>
      <c r="H727" s="103">
        <v>0.65</v>
      </c>
      <c r="I727" s="101">
        <f t="shared" si="13"/>
        <v>-2.7065527065526934E-2</v>
      </c>
    </row>
    <row r="728" spans="1:9" x14ac:dyDescent="0.3">
      <c r="A728" s="100" t="s">
        <v>23</v>
      </c>
      <c r="B728" s="100" t="s">
        <v>30</v>
      </c>
      <c r="C728" s="100" t="s">
        <v>25</v>
      </c>
      <c r="D728" s="102">
        <v>45961</v>
      </c>
      <c r="E728" s="103">
        <v>0.69499999999999995</v>
      </c>
      <c r="F728" s="100">
        <v>0</v>
      </c>
      <c r="G728" s="100" t="s">
        <v>17</v>
      </c>
      <c r="H728" s="103">
        <v>0.65</v>
      </c>
      <c r="I728" s="101">
        <f t="shared" si="13"/>
        <v>1.7569546120058416E-2</v>
      </c>
    </row>
    <row r="729" spans="1:9" x14ac:dyDescent="0.3">
      <c r="A729" s="100" t="s">
        <v>23</v>
      </c>
      <c r="B729" s="100" t="s">
        <v>30</v>
      </c>
      <c r="C729" s="100" t="s">
        <v>25</v>
      </c>
      <c r="D729" s="102">
        <v>45991</v>
      </c>
      <c r="E729" s="103">
        <v>0.73499999999999999</v>
      </c>
      <c r="F729" s="100">
        <v>0</v>
      </c>
      <c r="G729" s="100" t="s">
        <v>17</v>
      </c>
      <c r="H729" s="103">
        <v>0.65</v>
      </c>
      <c r="I729" s="101">
        <f t="shared" si="13"/>
        <v>5.7553956834532433E-2</v>
      </c>
    </row>
    <row r="730" spans="1:9" x14ac:dyDescent="0.3">
      <c r="A730" s="100" t="s">
        <v>23</v>
      </c>
      <c r="B730" s="100" t="s">
        <v>30</v>
      </c>
      <c r="C730" s="100" t="s">
        <v>26</v>
      </c>
      <c r="D730" s="102">
        <v>45535</v>
      </c>
      <c r="E730" s="103">
        <v>0.78490000000000004</v>
      </c>
      <c r="F730" s="100">
        <v>1</v>
      </c>
      <c r="G730" s="100" t="s">
        <v>17</v>
      </c>
      <c r="H730" s="103">
        <v>0.85</v>
      </c>
      <c r="I730" s="101" t="str">
        <f t="shared" si="13"/>
        <v/>
      </c>
    </row>
    <row r="731" spans="1:9" x14ac:dyDescent="0.3">
      <c r="A731" s="100" t="s">
        <v>23</v>
      </c>
      <c r="B731" s="100" t="s">
        <v>30</v>
      </c>
      <c r="C731" s="100" t="s">
        <v>26</v>
      </c>
      <c r="D731" s="102">
        <v>45565</v>
      </c>
      <c r="E731" s="103">
        <v>0.74380000000000002</v>
      </c>
      <c r="F731" s="100">
        <v>0</v>
      </c>
      <c r="G731" s="100" t="s">
        <v>17</v>
      </c>
      <c r="H731" s="103">
        <v>0.85</v>
      </c>
      <c r="I731" s="101">
        <f t="shared" si="13"/>
        <v>-5.2363358389603799E-2</v>
      </c>
    </row>
    <row r="732" spans="1:9" x14ac:dyDescent="0.3">
      <c r="A732" s="100" t="s">
        <v>23</v>
      </c>
      <c r="B732" s="100" t="s">
        <v>30</v>
      </c>
      <c r="C732" s="100" t="s">
        <v>26</v>
      </c>
      <c r="D732" s="102">
        <v>45596</v>
      </c>
      <c r="E732" s="103">
        <v>0.84950000000000003</v>
      </c>
      <c r="F732" s="100">
        <v>0</v>
      </c>
      <c r="G732" s="100" t="s">
        <v>17</v>
      </c>
      <c r="H732" s="103">
        <v>0.85</v>
      </c>
      <c r="I732" s="101">
        <f t="shared" si="13"/>
        <v>0.14210809357354129</v>
      </c>
    </row>
    <row r="733" spans="1:9" x14ac:dyDescent="0.3">
      <c r="A733" s="100" t="s">
        <v>23</v>
      </c>
      <c r="B733" s="100" t="s">
        <v>30</v>
      </c>
      <c r="C733" s="100" t="s">
        <v>26</v>
      </c>
      <c r="D733" s="102">
        <v>45626</v>
      </c>
      <c r="E733" s="103">
        <v>0.76149999999999995</v>
      </c>
      <c r="F733" s="100">
        <v>1</v>
      </c>
      <c r="G733" s="100" t="s">
        <v>17</v>
      </c>
      <c r="H733" s="103">
        <v>0.85</v>
      </c>
      <c r="I733" s="101">
        <f t="shared" si="13"/>
        <v>-0.10359034726309603</v>
      </c>
    </row>
    <row r="734" spans="1:9" x14ac:dyDescent="0.3">
      <c r="A734" s="100" t="s">
        <v>23</v>
      </c>
      <c r="B734" s="100" t="s">
        <v>30</v>
      </c>
      <c r="C734" s="100" t="s">
        <v>26</v>
      </c>
      <c r="D734" s="102">
        <v>45657</v>
      </c>
      <c r="E734" s="103">
        <v>0.85719999999999996</v>
      </c>
      <c r="F734" s="100">
        <v>0</v>
      </c>
      <c r="G734" s="100" t="s">
        <v>17</v>
      </c>
      <c r="H734" s="103">
        <v>0.85</v>
      </c>
      <c r="I734" s="101">
        <f t="shared" si="13"/>
        <v>0.12567301378857521</v>
      </c>
    </row>
    <row r="735" spans="1:9" x14ac:dyDescent="0.3">
      <c r="A735" s="100" t="s">
        <v>23</v>
      </c>
      <c r="B735" s="100" t="s">
        <v>30</v>
      </c>
      <c r="C735" s="100" t="s">
        <v>26</v>
      </c>
      <c r="D735" s="102">
        <v>45688</v>
      </c>
      <c r="E735" s="103">
        <v>0.80300000000000005</v>
      </c>
      <c r="F735" s="100">
        <v>0</v>
      </c>
      <c r="G735" s="100" t="s">
        <v>17</v>
      </c>
      <c r="H735" s="103">
        <v>0.85</v>
      </c>
      <c r="I735" s="101">
        <f t="shared" si="13"/>
        <v>-6.3229118058795983E-2</v>
      </c>
    </row>
    <row r="736" spans="1:9" x14ac:dyDescent="0.3">
      <c r="A736" s="100" t="s">
        <v>23</v>
      </c>
      <c r="B736" s="100" t="s">
        <v>30</v>
      </c>
      <c r="C736" s="100" t="s">
        <v>26</v>
      </c>
      <c r="D736" s="102">
        <v>45716</v>
      </c>
      <c r="E736" s="103">
        <v>0.78900000000000003</v>
      </c>
      <c r="F736" s="100">
        <v>0</v>
      </c>
      <c r="G736" s="100" t="s">
        <v>17</v>
      </c>
      <c r="H736" s="103">
        <v>0.85</v>
      </c>
      <c r="I736" s="101">
        <f t="shared" si="13"/>
        <v>-1.7434620174346216E-2</v>
      </c>
    </row>
    <row r="737" spans="1:9" x14ac:dyDescent="0.3">
      <c r="A737" s="100" t="s">
        <v>23</v>
      </c>
      <c r="B737" s="100" t="s">
        <v>30</v>
      </c>
      <c r="C737" s="100" t="s">
        <v>26</v>
      </c>
      <c r="D737" s="102">
        <v>45747</v>
      </c>
      <c r="E737" s="103">
        <v>0.81410000000000005</v>
      </c>
      <c r="F737" s="100">
        <v>0</v>
      </c>
      <c r="G737" s="100" t="s">
        <v>17</v>
      </c>
      <c r="H737" s="103">
        <v>0.85</v>
      </c>
      <c r="I737" s="101">
        <f t="shared" si="13"/>
        <v>3.1812420785804832E-2</v>
      </c>
    </row>
    <row r="738" spans="1:9" x14ac:dyDescent="0.3">
      <c r="A738" s="100" t="s">
        <v>23</v>
      </c>
      <c r="B738" s="100" t="s">
        <v>30</v>
      </c>
      <c r="C738" s="100" t="s">
        <v>26</v>
      </c>
      <c r="D738" s="102">
        <v>45777</v>
      </c>
      <c r="E738" s="103">
        <v>0.79879999999999995</v>
      </c>
      <c r="F738" s="100">
        <v>0</v>
      </c>
      <c r="G738" s="100" t="s">
        <v>17</v>
      </c>
      <c r="H738" s="103">
        <v>0.85</v>
      </c>
      <c r="I738" s="101">
        <f t="shared" si="13"/>
        <v>-1.8793759980346506E-2</v>
      </c>
    </row>
    <row r="739" spans="1:9" x14ac:dyDescent="0.3">
      <c r="A739" s="100" t="s">
        <v>23</v>
      </c>
      <c r="B739" s="100" t="s">
        <v>30</v>
      </c>
      <c r="C739" s="100" t="s">
        <v>26</v>
      </c>
      <c r="D739" s="102">
        <v>45808</v>
      </c>
      <c r="E739" s="103">
        <v>0.85950000000000004</v>
      </c>
      <c r="F739" s="100">
        <v>0</v>
      </c>
      <c r="G739" s="100" t="s">
        <v>17</v>
      </c>
      <c r="H739" s="103">
        <v>0.85</v>
      </c>
      <c r="I739" s="101">
        <f t="shared" si="13"/>
        <v>7.5988983475212935E-2</v>
      </c>
    </row>
    <row r="740" spans="1:9" x14ac:dyDescent="0.3">
      <c r="A740" s="100" t="s">
        <v>23</v>
      </c>
      <c r="B740" s="100" t="s">
        <v>30</v>
      </c>
      <c r="C740" s="100" t="s">
        <v>26</v>
      </c>
      <c r="D740" s="102">
        <v>45838</v>
      </c>
      <c r="E740" s="103">
        <v>0.86560000000000004</v>
      </c>
      <c r="F740" s="100">
        <v>0</v>
      </c>
      <c r="G740" s="100" t="s">
        <v>17</v>
      </c>
      <c r="H740" s="103">
        <v>0.85</v>
      </c>
      <c r="I740" s="101">
        <f t="shared" si="13"/>
        <v>7.0971495055264623E-3</v>
      </c>
    </row>
    <row r="741" spans="1:9" x14ac:dyDescent="0.3">
      <c r="A741" s="100" t="s">
        <v>23</v>
      </c>
      <c r="B741" s="100" t="s">
        <v>30</v>
      </c>
      <c r="C741" s="100" t="s">
        <v>26</v>
      </c>
      <c r="D741" s="102">
        <v>45869</v>
      </c>
      <c r="E741" s="103">
        <v>0.76</v>
      </c>
      <c r="F741" s="100">
        <v>0</v>
      </c>
      <c r="G741" s="100" t="s">
        <v>17</v>
      </c>
      <c r="H741" s="103">
        <v>0.85</v>
      </c>
      <c r="I741" s="101">
        <f t="shared" si="13"/>
        <v>-0.12199630314232905</v>
      </c>
    </row>
    <row r="742" spans="1:9" x14ac:dyDescent="0.3">
      <c r="A742" s="100" t="s">
        <v>23</v>
      </c>
      <c r="B742" s="100" t="s">
        <v>30</v>
      </c>
      <c r="C742" s="100" t="s">
        <v>26</v>
      </c>
      <c r="D742" s="102">
        <v>45900</v>
      </c>
      <c r="E742" s="103">
        <v>0.76100000000000001</v>
      </c>
      <c r="F742" s="100">
        <v>0</v>
      </c>
      <c r="G742" s="100" t="s">
        <v>17</v>
      </c>
      <c r="H742" s="103">
        <v>0.85</v>
      </c>
      <c r="I742" s="101">
        <f t="shared" si="13"/>
        <v>1.3157894736842116E-3</v>
      </c>
    </row>
    <row r="743" spans="1:9" x14ac:dyDescent="0.3">
      <c r="A743" s="100" t="s">
        <v>23</v>
      </c>
      <c r="B743" s="100" t="s">
        <v>30</v>
      </c>
      <c r="C743" s="100" t="s">
        <v>26</v>
      </c>
      <c r="D743" s="102">
        <v>45930</v>
      </c>
      <c r="E743" s="103">
        <v>0.83799999999999997</v>
      </c>
      <c r="F743" s="100">
        <v>0</v>
      </c>
      <c r="G743" s="100" t="s">
        <v>17</v>
      </c>
      <c r="H743" s="103">
        <v>0.85</v>
      </c>
      <c r="I743" s="101">
        <f t="shared" si="13"/>
        <v>0.10118265440210245</v>
      </c>
    </row>
    <row r="744" spans="1:9" x14ac:dyDescent="0.3">
      <c r="A744" s="100" t="s">
        <v>23</v>
      </c>
      <c r="B744" s="100" t="s">
        <v>30</v>
      </c>
      <c r="C744" s="100" t="s">
        <v>26</v>
      </c>
      <c r="D744" s="102">
        <v>45961</v>
      </c>
      <c r="E744" s="103">
        <v>0.874</v>
      </c>
      <c r="F744" s="100">
        <v>0</v>
      </c>
      <c r="G744" s="100" t="s">
        <v>17</v>
      </c>
      <c r="H744" s="103">
        <v>0.85</v>
      </c>
      <c r="I744" s="101">
        <f t="shared" si="13"/>
        <v>4.295942720763727E-2</v>
      </c>
    </row>
    <row r="745" spans="1:9" x14ac:dyDescent="0.3">
      <c r="A745" s="100" t="s">
        <v>23</v>
      </c>
      <c r="B745" s="100" t="s">
        <v>30</v>
      </c>
      <c r="C745" s="100" t="s">
        <v>26</v>
      </c>
      <c r="D745" s="102">
        <v>45991</v>
      </c>
      <c r="E745" s="103">
        <v>0.874</v>
      </c>
      <c r="F745" s="100">
        <v>0</v>
      </c>
      <c r="G745" s="100" t="s">
        <v>17</v>
      </c>
      <c r="H745" s="103">
        <v>0.85</v>
      </c>
      <c r="I745" s="101">
        <f t="shared" si="13"/>
        <v>0</v>
      </c>
    </row>
    <row r="746" spans="1:9" x14ac:dyDescent="0.3">
      <c r="A746" s="100" t="s">
        <v>23</v>
      </c>
      <c r="B746" s="100" t="s">
        <v>30</v>
      </c>
      <c r="C746" s="100" t="s">
        <v>27</v>
      </c>
      <c r="D746" s="102">
        <v>45535</v>
      </c>
      <c r="E746" s="103">
        <v>0.70109999999999995</v>
      </c>
      <c r="F746" s="100">
        <v>0</v>
      </c>
      <c r="G746" s="100" t="s">
        <v>17</v>
      </c>
      <c r="H746" s="103">
        <v>0.7</v>
      </c>
      <c r="I746" s="101" t="str">
        <f t="shared" si="13"/>
        <v/>
      </c>
    </row>
    <row r="747" spans="1:9" x14ac:dyDescent="0.3">
      <c r="A747" s="100" t="s">
        <v>23</v>
      </c>
      <c r="B747" s="100" t="s">
        <v>30</v>
      </c>
      <c r="C747" s="100" t="s">
        <v>27</v>
      </c>
      <c r="D747" s="102">
        <v>45565</v>
      </c>
      <c r="E747" s="103">
        <v>0.57889999999999997</v>
      </c>
      <c r="F747" s="100">
        <v>0</v>
      </c>
      <c r="G747" s="100" t="s">
        <v>17</v>
      </c>
      <c r="H747" s="103">
        <v>0.7</v>
      </c>
      <c r="I747" s="101">
        <f t="shared" si="13"/>
        <v>-0.17429753244900867</v>
      </c>
    </row>
    <row r="748" spans="1:9" x14ac:dyDescent="0.3">
      <c r="A748" s="100" t="s">
        <v>23</v>
      </c>
      <c r="B748" s="100" t="s">
        <v>30</v>
      </c>
      <c r="C748" s="100" t="s">
        <v>27</v>
      </c>
      <c r="D748" s="102">
        <v>45596</v>
      </c>
      <c r="E748" s="103">
        <v>0.64549999999999996</v>
      </c>
      <c r="F748" s="100">
        <v>0</v>
      </c>
      <c r="G748" s="100" t="s">
        <v>17</v>
      </c>
      <c r="H748" s="103">
        <v>0.7</v>
      </c>
      <c r="I748" s="101">
        <f t="shared" si="13"/>
        <v>0.11504577647262049</v>
      </c>
    </row>
    <row r="749" spans="1:9" x14ac:dyDescent="0.3">
      <c r="A749" s="100" t="s">
        <v>23</v>
      </c>
      <c r="B749" s="100" t="s">
        <v>30</v>
      </c>
      <c r="C749" s="100" t="s">
        <v>27</v>
      </c>
      <c r="D749" s="102">
        <v>45626</v>
      </c>
      <c r="E749" s="103">
        <v>0.70589999999999997</v>
      </c>
      <c r="F749" s="100">
        <v>0</v>
      </c>
      <c r="G749" s="100" t="s">
        <v>17</v>
      </c>
      <c r="H749" s="103">
        <v>0.7</v>
      </c>
      <c r="I749" s="101">
        <f t="shared" si="13"/>
        <v>9.3570875290472519E-2</v>
      </c>
    </row>
    <row r="750" spans="1:9" x14ac:dyDescent="0.3">
      <c r="A750" s="100" t="s">
        <v>23</v>
      </c>
      <c r="B750" s="100" t="s">
        <v>30</v>
      </c>
      <c r="C750" s="100" t="s">
        <v>27</v>
      </c>
      <c r="D750" s="102">
        <v>45657</v>
      </c>
      <c r="E750" s="103">
        <v>0.65739999999999998</v>
      </c>
      <c r="F750" s="100">
        <v>0</v>
      </c>
      <c r="G750" s="100" t="s">
        <v>17</v>
      </c>
      <c r="H750" s="103">
        <v>0.7</v>
      </c>
      <c r="I750" s="101">
        <f t="shared" si="13"/>
        <v>-6.8706615667941617E-2</v>
      </c>
    </row>
    <row r="751" spans="1:9" x14ac:dyDescent="0.3">
      <c r="A751" s="100" t="s">
        <v>23</v>
      </c>
      <c r="B751" s="100" t="s">
        <v>30</v>
      </c>
      <c r="C751" s="100" t="s">
        <v>27</v>
      </c>
      <c r="D751" s="102">
        <v>45688</v>
      </c>
      <c r="E751" s="103">
        <v>0.61419999999999997</v>
      </c>
      <c r="F751" s="100">
        <v>0</v>
      </c>
      <c r="G751" s="100" t="s">
        <v>17</v>
      </c>
      <c r="H751" s="103">
        <v>0.7</v>
      </c>
      <c r="I751" s="101">
        <f t="shared" si="13"/>
        <v>-6.57134164891999E-2</v>
      </c>
    </row>
    <row r="752" spans="1:9" x14ac:dyDescent="0.3">
      <c r="A752" s="100" t="s">
        <v>23</v>
      </c>
      <c r="B752" s="100" t="s">
        <v>30</v>
      </c>
      <c r="C752" s="100" t="s">
        <v>27</v>
      </c>
      <c r="D752" s="102">
        <v>45716</v>
      </c>
      <c r="E752" s="103">
        <v>0.73019999999999996</v>
      </c>
      <c r="F752" s="100">
        <v>0</v>
      </c>
      <c r="G752" s="100" t="s">
        <v>17</v>
      </c>
      <c r="H752" s="103">
        <v>0.7</v>
      </c>
      <c r="I752" s="101">
        <f t="shared" si="13"/>
        <v>0.18886356235753826</v>
      </c>
    </row>
    <row r="753" spans="1:9" x14ac:dyDescent="0.3">
      <c r="A753" s="100" t="s">
        <v>23</v>
      </c>
      <c r="B753" s="100" t="s">
        <v>30</v>
      </c>
      <c r="C753" s="100" t="s">
        <v>27</v>
      </c>
      <c r="D753" s="102">
        <v>45747</v>
      </c>
      <c r="E753" s="103">
        <v>0.76160000000000005</v>
      </c>
      <c r="F753" s="100">
        <v>0</v>
      </c>
      <c r="G753" s="100" t="s">
        <v>17</v>
      </c>
      <c r="H753" s="103">
        <v>0.7</v>
      </c>
      <c r="I753" s="101">
        <f t="shared" si="13"/>
        <v>4.3001917282936314E-2</v>
      </c>
    </row>
    <row r="754" spans="1:9" x14ac:dyDescent="0.3">
      <c r="A754" s="100" t="s">
        <v>23</v>
      </c>
      <c r="B754" s="100" t="s">
        <v>30</v>
      </c>
      <c r="C754" s="100" t="s">
        <v>27</v>
      </c>
      <c r="D754" s="102">
        <v>45777</v>
      </c>
      <c r="E754" s="103">
        <v>0.75</v>
      </c>
      <c r="F754" s="100">
        <v>0</v>
      </c>
      <c r="G754" s="100" t="s">
        <v>17</v>
      </c>
      <c r="H754" s="103">
        <v>0.7</v>
      </c>
      <c r="I754" s="101">
        <f t="shared" si="13"/>
        <v>-1.5231092436974861E-2</v>
      </c>
    </row>
    <row r="755" spans="1:9" x14ac:dyDescent="0.3">
      <c r="A755" s="100" t="s">
        <v>23</v>
      </c>
      <c r="B755" s="100" t="s">
        <v>30</v>
      </c>
      <c r="C755" s="100" t="s">
        <v>27</v>
      </c>
      <c r="D755" s="102">
        <v>45808</v>
      </c>
      <c r="E755" s="103">
        <v>0.71899999999999997</v>
      </c>
      <c r="F755" s="100">
        <v>0</v>
      </c>
      <c r="G755" s="100" t="s">
        <v>17</v>
      </c>
      <c r="H755" s="103">
        <v>0.7</v>
      </c>
      <c r="I755" s="101">
        <f t="shared" si="13"/>
        <v>-4.1333333333333368E-2</v>
      </c>
    </row>
    <row r="756" spans="1:9" x14ac:dyDescent="0.3">
      <c r="A756" s="100" t="s">
        <v>23</v>
      </c>
      <c r="B756" s="100" t="s">
        <v>30</v>
      </c>
      <c r="C756" s="100" t="s">
        <v>27</v>
      </c>
      <c r="D756" s="102">
        <v>45838</v>
      </c>
      <c r="E756" s="103">
        <v>0.8034</v>
      </c>
      <c r="F756" s="100">
        <v>0</v>
      </c>
      <c r="G756" s="100" t="s">
        <v>17</v>
      </c>
      <c r="H756" s="103">
        <v>0.7</v>
      </c>
      <c r="I756" s="101">
        <f t="shared" si="13"/>
        <v>0.11738525730180811</v>
      </c>
    </row>
    <row r="757" spans="1:9" x14ac:dyDescent="0.3">
      <c r="A757" s="100" t="s">
        <v>23</v>
      </c>
      <c r="B757" s="100" t="s">
        <v>30</v>
      </c>
      <c r="C757" s="100" t="s">
        <v>27</v>
      </c>
      <c r="D757" s="102">
        <v>45869</v>
      </c>
      <c r="E757" s="103">
        <v>0.79900000000000004</v>
      </c>
      <c r="F757" s="100">
        <v>0</v>
      </c>
      <c r="G757" s="100" t="s">
        <v>17</v>
      </c>
      <c r="H757" s="103">
        <v>0.7</v>
      </c>
      <c r="I757" s="101">
        <f t="shared" si="13"/>
        <v>-5.4767239233258144E-3</v>
      </c>
    </row>
    <row r="758" spans="1:9" x14ac:dyDescent="0.3">
      <c r="A758" s="100" t="s">
        <v>23</v>
      </c>
      <c r="B758" s="100" t="s">
        <v>30</v>
      </c>
      <c r="C758" s="100" t="s">
        <v>27</v>
      </c>
      <c r="D758" s="102">
        <v>45900</v>
      </c>
      <c r="E758" s="103">
        <v>0.78300000000000003</v>
      </c>
      <c r="F758" s="100">
        <v>0</v>
      </c>
      <c r="G758" s="100" t="s">
        <v>17</v>
      </c>
      <c r="H758" s="103">
        <v>0.7</v>
      </c>
      <c r="I758" s="101">
        <f t="shared" si="13"/>
        <v>-2.0025031289111407E-2</v>
      </c>
    </row>
    <row r="759" spans="1:9" x14ac:dyDescent="0.3">
      <c r="A759" s="100" t="s">
        <v>23</v>
      </c>
      <c r="B759" s="100" t="s">
        <v>30</v>
      </c>
      <c r="C759" s="100" t="s">
        <v>27</v>
      </c>
      <c r="D759" s="102">
        <v>45930</v>
      </c>
      <c r="E759" s="103">
        <v>0.71199999999999997</v>
      </c>
      <c r="F759" s="100">
        <v>0</v>
      </c>
      <c r="G759" s="100" t="s">
        <v>17</v>
      </c>
      <c r="H759" s="103">
        <v>0.7</v>
      </c>
      <c r="I759" s="101">
        <f t="shared" si="13"/>
        <v>-9.0676883780332132E-2</v>
      </c>
    </row>
    <row r="760" spans="1:9" x14ac:dyDescent="0.3">
      <c r="A760" s="100" t="s">
        <v>23</v>
      </c>
      <c r="B760" s="100" t="s">
        <v>30</v>
      </c>
      <c r="C760" s="100" t="s">
        <v>27</v>
      </c>
      <c r="D760" s="102">
        <v>45961</v>
      </c>
      <c r="E760" s="103">
        <v>0.81699999999999995</v>
      </c>
      <c r="F760" s="100">
        <v>0</v>
      </c>
      <c r="G760" s="100" t="s">
        <v>17</v>
      </c>
      <c r="H760" s="103">
        <v>0.7</v>
      </c>
      <c r="I760" s="101">
        <f t="shared" si="13"/>
        <v>0.14747191011235952</v>
      </c>
    </row>
    <row r="761" spans="1:9" x14ac:dyDescent="0.3">
      <c r="A761" s="100" t="s">
        <v>23</v>
      </c>
      <c r="B761" s="100" t="s">
        <v>30</v>
      </c>
      <c r="C761" s="100" t="s">
        <v>27</v>
      </c>
      <c r="D761" s="102">
        <v>45991</v>
      </c>
      <c r="E761" s="103">
        <v>0.753</v>
      </c>
      <c r="F761" s="100">
        <v>0</v>
      </c>
      <c r="G761" s="100" t="s">
        <v>17</v>
      </c>
      <c r="H761" s="103">
        <v>0.7</v>
      </c>
      <c r="I761" s="101">
        <f t="shared" si="13"/>
        <v>-7.8335373317013401E-2</v>
      </c>
    </row>
    <row r="762" spans="1:9" x14ac:dyDescent="0.3">
      <c r="A762" s="100" t="s">
        <v>10</v>
      </c>
      <c r="B762" s="100" t="s">
        <v>31</v>
      </c>
      <c r="C762" s="100" t="s">
        <v>12</v>
      </c>
      <c r="D762" s="102">
        <v>45747</v>
      </c>
      <c r="E762" s="103">
        <v>0.42857142857142849</v>
      </c>
      <c r="F762" s="100">
        <v>0</v>
      </c>
      <c r="G762" s="100" t="s">
        <v>13</v>
      </c>
      <c r="H762" s="103">
        <v>0.27</v>
      </c>
      <c r="I762" s="101" t="str">
        <f t="shared" si="13"/>
        <v/>
      </c>
    </row>
    <row r="763" spans="1:9" x14ac:dyDescent="0.3">
      <c r="A763" s="100" t="s">
        <v>10</v>
      </c>
      <c r="B763" s="100" t="s">
        <v>31</v>
      </c>
      <c r="C763" s="100" t="s">
        <v>12</v>
      </c>
      <c r="D763" s="102">
        <v>45777</v>
      </c>
      <c r="E763" s="103">
        <v>0.4</v>
      </c>
      <c r="F763" s="100">
        <v>0</v>
      </c>
      <c r="G763" s="100" t="s">
        <v>13</v>
      </c>
      <c r="H763" s="103">
        <v>0.27</v>
      </c>
      <c r="I763" s="101">
        <f t="shared" si="13"/>
        <v>6.6666666666666444E-2</v>
      </c>
    </row>
    <row r="764" spans="1:9" x14ac:dyDescent="0.3">
      <c r="A764" s="100" t="s">
        <v>10</v>
      </c>
      <c r="B764" s="100" t="s">
        <v>31</v>
      </c>
      <c r="C764" s="100" t="s">
        <v>12</v>
      </c>
      <c r="D764" s="102">
        <v>45808</v>
      </c>
      <c r="E764" s="103">
        <v>0.3529411764705882</v>
      </c>
      <c r="F764" s="100">
        <v>0</v>
      </c>
      <c r="G764" s="100" t="s">
        <v>13</v>
      </c>
      <c r="H764" s="103">
        <v>0.27</v>
      </c>
      <c r="I764" s="101">
        <f t="shared" si="13"/>
        <v>0.11764705882352955</v>
      </c>
    </row>
    <row r="765" spans="1:9" x14ac:dyDescent="0.3">
      <c r="A765" s="100" t="s">
        <v>10</v>
      </c>
      <c r="B765" s="100" t="s">
        <v>31</v>
      </c>
      <c r="C765" s="100" t="s">
        <v>12</v>
      </c>
      <c r="D765" s="102">
        <v>45838</v>
      </c>
      <c r="E765" s="103">
        <v>0.3</v>
      </c>
      <c r="F765" s="100">
        <v>0</v>
      </c>
      <c r="G765" s="100" t="s">
        <v>13</v>
      </c>
      <c r="H765" s="103">
        <v>0.27</v>
      </c>
      <c r="I765" s="101">
        <f t="shared" si="13"/>
        <v>0.14999999999999997</v>
      </c>
    </row>
    <row r="766" spans="1:9" x14ac:dyDescent="0.3">
      <c r="A766" s="100" t="s">
        <v>10</v>
      </c>
      <c r="B766" s="100" t="s">
        <v>31</v>
      </c>
      <c r="C766" s="100" t="s">
        <v>12</v>
      </c>
      <c r="D766" s="102">
        <v>45869</v>
      </c>
      <c r="E766" s="103">
        <v>0.25531914893617019</v>
      </c>
      <c r="F766" s="100">
        <v>0</v>
      </c>
      <c r="G766" s="100" t="s">
        <v>13</v>
      </c>
      <c r="H766" s="103">
        <v>0.27</v>
      </c>
      <c r="I766" s="101">
        <f t="shared" si="13"/>
        <v>0.14893617021276601</v>
      </c>
    </row>
    <row r="767" spans="1:9" x14ac:dyDescent="0.3">
      <c r="A767" s="100" t="s">
        <v>10</v>
      </c>
      <c r="B767" s="100" t="s">
        <v>31</v>
      </c>
      <c r="C767" s="100" t="s">
        <v>12</v>
      </c>
      <c r="D767" s="102">
        <v>45900</v>
      </c>
      <c r="E767" s="103">
        <v>0.22222222222222221</v>
      </c>
      <c r="F767" s="100">
        <v>0</v>
      </c>
      <c r="G767" s="100" t="s">
        <v>13</v>
      </c>
      <c r="H767" s="103">
        <v>0.27</v>
      </c>
      <c r="I767" s="101">
        <f t="shared" si="13"/>
        <v>0.12962962962962962</v>
      </c>
    </row>
    <row r="768" spans="1:9" x14ac:dyDescent="0.3">
      <c r="A768" s="100" t="s">
        <v>10</v>
      </c>
      <c r="B768" s="100" t="s">
        <v>31</v>
      </c>
      <c r="C768" s="100" t="s">
        <v>12</v>
      </c>
      <c r="D768" s="102">
        <v>45930</v>
      </c>
      <c r="E768" s="103">
        <v>0.2</v>
      </c>
      <c r="F768" s="100">
        <v>0</v>
      </c>
      <c r="G768" s="100" t="s">
        <v>13</v>
      </c>
      <c r="H768" s="103">
        <v>0.27</v>
      </c>
      <c r="I768" s="101">
        <f t="shared" si="13"/>
        <v>9.9999999999999895E-2</v>
      </c>
    </row>
    <row r="769" spans="1:9" x14ac:dyDescent="0.3">
      <c r="A769" s="100" t="s">
        <v>10</v>
      </c>
      <c r="B769" s="100" t="s">
        <v>31</v>
      </c>
      <c r="C769" s="100" t="s">
        <v>12</v>
      </c>
      <c r="D769" s="102">
        <v>45961</v>
      </c>
      <c r="E769" s="103">
        <v>0.1818181818181818</v>
      </c>
      <c r="F769" s="100">
        <v>0</v>
      </c>
      <c r="G769" s="100" t="s">
        <v>13</v>
      </c>
      <c r="H769" s="103">
        <v>0.27</v>
      </c>
      <c r="I769" s="101">
        <f t="shared" si="13"/>
        <v>9.0909090909091078E-2</v>
      </c>
    </row>
    <row r="770" spans="1:9" x14ac:dyDescent="0.3">
      <c r="A770" s="100" t="s">
        <v>10</v>
      </c>
      <c r="B770" s="100" t="s">
        <v>31</v>
      </c>
      <c r="C770" s="100" t="s">
        <v>12</v>
      </c>
      <c r="D770" s="102">
        <v>45991</v>
      </c>
      <c r="E770" s="103">
        <v>0.16901408450704231</v>
      </c>
      <c r="F770" s="100">
        <v>0</v>
      </c>
      <c r="G770" s="100" t="s">
        <v>13</v>
      </c>
      <c r="H770" s="103">
        <v>0.27</v>
      </c>
      <c r="I770" s="101">
        <f t="shared" si="13"/>
        <v>7.0422535211267207E-2</v>
      </c>
    </row>
    <row r="771" spans="1:9" x14ac:dyDescent="0.3">
      <c r="A771" s="100" t="s">
        <v>10</v>
      </c>
      <c r="B771" s="100" t="s">
        <v>31</v>
      </c>
      <c r="C771" s="100" t="s">
        <v>14</v>
      </c>
      <c r="D771" s="102">
        <v>45535</v>
      </c>
      <c r="E771" s="103">
        <v>6.2992125984251968E-2</v>
      </c>
      <c r="F771" s="100">
        <v>0</v>
      </c>
      <c r="G771" s="100" t="s">
        <v>13</v>
      </c>
      <c r="H771" s="103">
        <v>5.3999999999999999E-2</v>
      </c>
      <c r="I771" s="101" t="str">
        <f t="shared" ref="I771:I834" si="14">IF(OR(B771&lt;&gt;B770,C771&lt;&gt;C770),"",IF(E770=0,"",IF(G771="UP",(E771-E770)/E770,-((E771-E770)/E770))))</f>
        <v/>
      </c>
    </row>
    <row r="772" spans="1:9" x14ac:dyDescent="0.3">
      <c r="A772" s="100" t="s">
        <v>10</v>
      </c>
      <c r="B772" s="100" t="s">
        <v>31</v>
      </c>
      <c r="C772" s="100" t="s">
        <v>14</v>
      </c>
      <c r="D772" s="102">
        <v>45565</v>
      </c>
      <c r="E772" s="103">
        <v>7.7519379844961239E-2</v>
      </c>
      <c r="F772" s="100">
        <v>0</v>
      </c>
      <c r="G772" s="100" t="s">
        <v>13</v>
      </c>
      <c r="H772" s="103">
        <v>5.3999999999999999E-2</v>
      </c>
      <c r="I772" s="101">
        <f t="shared" si="14"/>
        <v>-0.23062015503875968</v>
      </c>
    </row>
    <row r="773" spans="1:9" x14ac:dyDescent="0.3">
      <c r="A773" s="100" t="s">
        <v>10</v>
      </c>
      <c r="B773" s="100" t="s">
        <v>31</v>
      </c>
      <c r="C773" s="100" t="s">
        <v>14</v>
      </c>
      <c r="D773" s="102">
        <v>45596</v>
      </c>
      <c r="E773" s="103">
        <v>4.8000000000000001E-2</v>
      </c>
      <c r="F773" s="100">
        <v>0</v>
      </c>
      <c r="G773" s="100" t="s">
        <v>13</v>
      </c>
      <c r="H773" s="103">
        <v>5.3999999999999999E-2</v>
      </c>
      <c r="I773" s="101">
        <f t="shared" si="14"/>
        <v>0.38079999999999997</v>
      </c>
    </row>
    <row r="774" spans="1:9" x14ac:dyDescent="0.3">
      <c r="A774" s="100" t="s">
        <v>10</v>
      </c>
      <c r="B774" s="100" t="s">
        <v>31</v>
      </c>
      <c r="C774" s="100" t="s">
        <v>14</v>
      </c>
      <c r="D774" s="102">
        <v>45626</v>
      </c>
      <c r="E774" s="103">
        <v>4.7619047999999997E-2</v>
      </c>
      <c r="F774" s="100">
        <v>0</v>
      </c>
      <c r="G774" s="100" t="s">
        <v>13</v>
      </c>
      <c r="H774" s="103">
        <v>5.3999999999999999E-2</v>
      </c>
      <c r="I774" s="101">
        <f t="shared" si="14"/>
        <v>7.9365000000000806E-3</v>
      </c>
    </row>
    <row r="775" spans="1:9" x14ac:dyDescent="0.3">
      <c r="A775" s="100" t="s">
        <v>10</v>
      </c>
      <c r="B775" s="100" t="s">
        <v>31</v>
      </c>
      <c r="C775" s="100" t="s">
        <v>14</v>
      </c>
      <c r="D775" s="102">
        <v>45657</v>
      </c>
      <c r="E775" s="103">
        <v>4.8387096774193547E-2</v>
      </c>
      <c r="F775" s="100">
        <v>0</v>
      </c>
      <c r="G775" s="100" t="s">
        <v>13</v>
      </c>
      <c r="H775" s="103">
        <v>5.3999999999999999E-2</v>
      </c>
      <c r="I775" s="101">
        <f t="shared" si="14"/>
        <v>-1.6129024129032356E-2</v>
      </c>
    </row>
    <row r="776" spans="1:9" x14ac:dyDescent="0.3">
      <c r="A776" s="100" t="s">
        <v>10</v>
      </c>
      <c r="B776" s="100" t="s">
        <v>31</v>
      </c>
      <c r="C776" s="100" t="s">
        <v>14</v>
      </c>
      <c r="D776" s="102">
        <v>45688</v>
      </c>
      <c r="E776" s="103">
        <v>8.6614173228346455E-2</v>
      </c>
      <c r="F776" s="100">
        <v>0</v>
      </c>
      <c r="G776" s="100" t="s">
        <v>13</v>
      </c>
      <c r="H776" s="103">
        <v>5.3999999999999999E-2</v>
      </c>
      <c r="I776" s="101">
        <f t="shared" si="14"/>
        <v>-0.79002624671916011</v>
      </c>
    </row>
    <row r="777" spans="1:9" x14ac:dyDescent="0.3">
      <c r="A777" s="100" t="s">
        <v>10</v>
      </c>
      <c r="B777" s="100" t="s">
        <v>31</v>
      </c>
      <c r="C777" s="100" t="s">
        <v>14</v>
      </c>
      <c r="D777" s="102">
        <v>45716</v>
      </c>
      <c r="E777" s="103">
        <v>9.6774193548387094E-2</v>
      </c>
      <c r="F777" s="100">
        <v>0</v>
      </c>
      <c r="G777" s="100" t="s">
        <v>13</v>
      </c>
      <c r="H777" s="103">
        <v>5.3999999999999999E-2</v>
      </c>
      <c r="I777" s="101">
        <f t="shared" si="14"/>
        <v>-0.11730205278592373</v>
      </c>
    </row>
    <row r="778" spans="1:9" x14ac:dyDescent="0.3">
      <c r="A778" s="100" t="s">
        <v>10</v>
      </c>
      <c r="B778" s="100" t="s">
        <v>31</v>
      </c>
      <c r="C778" s="100" t="s">
        <v>14</v>
      </c>
      <c r="D778" s="102">
        <v>45747</v>
      </c>
      <c r="E778" s="103">
        <v>6.6666666666666666E-2</v>
      </c>
      <c r="F778" s="100">
        <v>0</v>
      </c>
      <c r="G778" s="100" t="s">
        <v>13</v>
      </c>
      <c r="H778" s="103">
        <v>5.3999999999999999E-2</v>
      </c>
      <c r="I778" s="101">
        <f t="shared" si="14"/>
        <v>0.31111111111111112</v>
      </c>
    </row>
    <row r="779" spans="1:9" x14ac:dyDescent="0.3">
      <c r="A779" s="100" t="s">
        <v>10</v>
      </c>
      <c r="B779" s="100" t="s">
        <v>31</v>
      </c>
      <c r="C779" s="100" t="s">
        <v>14</v>
      </c>
      <c r="D779" s="102">
        <v>45777</v>
      </c>
      <c r="E779" s="103">
        <v>3.3333333333333333E-2</v>
      </c>
      <c r="F779" s="100">
        <v>0</v>
      </c>
      <c r="G779" s="100" t="s">
        <v>13</v>
      </c>
      <c r="H779" s="103">
        <v>5.3999999999999999E-2</v>
      </c>
      <c r="I779" s="101">
        <f t="shared" si="14"/>
        <v>0.5</v>
      </c>
    </row>
    <row r="780" spans="1:9" x14ac:dyDescent="0.3">
      <c r="A780" s="100" t="s">
        <v>10</v>
      </c>
      <c r="B780" s="100" t="s">
        <v>31</v>
      </c>
      <c r="C780" s="100" t="s">
        <v>14</v>
      </c>
      <c r="D780" s="102">
        <v>45808</v>
      </c>
      <c r="E780" s="103">
        <v>4.9586776859504127E-2</v>
      </c>
      <c r="F780" s="100">
        <v>0</v>
      </c>
      <c r="G780" s="100" t="s">
        <v>13</v>
      </c>
      <c r="H780" s="103">
        <v>5.3999999999999999E-2</v>
      </c>
      <c r="I780" s="101">
        <f t="shared" si="14"/>
        <v>-0.48760330578512384</v>
      </c>
    </row>
    <row r="781" spans="1:9" x14ac:dyDescent="0.3">
      <c r="A781" s="100" t="s">
        <v>10</v>
      </c>
      <c r="B781" s="100" t="s">
        <v>31</v>
      </c>
      <c r="C781" s="100" t="s">
        <v>14</v>
      </c>
      <c r="D781" s="102">
        <v>45838</v>
      </c>
      <c r="E781" s="103">
        <v>4.9586776859504127E-2</v>
      </c>
      <c r="F781" s="100">
        <v>0</v>
      </c>
      <c r="G781" s="100" t="s">
        <v>13</v>
      </c>
      <c r="H781" s="103">
        <v>5.3999999999999999E-2</v>
      </c>
      <c r="I781" s="101">
        <f t="shared" si="14"/>
        <v>0</v>
      </c>
    </row>
    <row r="782" spans="1:9" x14ac:dyDescent="0.3">
      <c r="A782" s="100" t="s">
        <v>10</v>
      </c>
      <c r="B782" s="100" t="s">
        <v>31</v>
      </c>
      <c r="C782" s="100" t="s">
        <v>14</v>
      </c>
      <c r="D782" s="102">
        <v>45869</v>
      </c>
      <c r="E782" s="103">
        <v>2.5000000000000001E-2</v>
      </c>
      <c r="F782" s="100">
        <v>0</v>
      </c>
      <c r="G782" s="100" t="s">
        <v>13</v>
      </c>
      <c r="H782" s="103">
        <v>5.3999999999999999E-2</v>
      </c>
      <c r="I782" s="101">
        <f t="shared" si="14"/>
        <v>0.49583333333333324</v>
      </c>
    </row>
    <row r="783" spans="1:9" x14ac:dyDescent="0.3">
      <c r="A783" s="100" t="s">
        <v>10</v>
      </c>
      <c r="B783" s="100" t="s">
        <v>31</v>
      </c>
      <c r="C783" s="100" t="s">
        <v>14</v>
      </c>
      <c r="D783" s="102">
        <v>45900</v>
      </c>
      <c r="E783" s="103">
        <v>3.2258064516129031E-2</v>
      </c>
      <c r="F783" s="100">
        <v>0</v>
      </c>
      <c r="G783" s="100" t="s">
        <v>13</v>
      </c>
      <c r="H783" s="103">
        <v>5.3999999999999999E-2</v>
      </c>
      <c r="I783" s="101">
        <f t="shared" si="14"/>
        <v>-0.2903225806451612</v>
      </c>
    </row>
    <row r="784" spans="1:9" x14ac:dyDescent="0.3">
      <c r="A784" s="100" t="s">
        <v>10</v>
      </c>
      <c r="B784" s="100" t="s">
        <v>31</v>
      </c>
      <c r="C784" s="100" t="s">
        <v>14</v>
      </c>
      <c r="D784" s="102">
        <v>45930</v>
      </c>
      <c r="E784" s="103">
        <v>2.4590163934426229E-2</v>
      </c>
      <c r="F784" s="100">
        <v>0</v>
      </c>
      <c r="G784" s="100" t="s">
        <v>13</v>
      </c>
      <c r="H784" s="103">
        <v>5.3999999999999999E-2</v>
      </c>
      <c r="I784" s="101">
        <f t="shared" si="14"/>
        <v>0.23770491803278687</v>
      </c>
    </row>
    <row r="785" spans="1:9" x14ac:dyDescent="0.3">
      <c r="A785" s="100" t="s">
        <v>10</v>
      </c>
      <c r="B785" s="100" t="s">
        <v>31</v>
      </c>
      <c r="C785" s="100" t="s">
        <v>14</v>
      </c>
      <c r="D785" s="102">
        <v>45961</v>
      </c>
      <c r="E785" s="103">
        <v>3.2258064516129031E-2</v>
      </c>
      <c r="F785" s="100">
        <v>0</v>
      </c>
      <c r="G785" s="100" t="s">
        <v>13</v>
      </c>
      <c r="H785" s="103">
        <v>5.3999999999999999E-2</v>
      </c>
      <c r="I785" s="101">
        <f t="shared" si="14"/>
        <v>-0.31182795698924731</v>
      </c>
    </row>
    <row r="786" spans="1:9" x14ac:dyDescent="0.3">
      <c r="A786" s="100" t="s">
        <v>10</v>
      </c>
      <c r="B786" s="100" t="s">
        <v>31</v>
      </c>
      <c r="C786" s="100" t="s">
        <v>14</v>
      </c>
      <c r="D786" s="102">
        <v>45991</v>
      </c>
      <c r="E786" s="103">
        <v>4.8000000000000001E-2</v>
      </c>
      <c r="F786" s="100">
        <v>0</v>
      </c>
      <c r="G786" s="100" t="s">
        <v>13</v>
      </c>
      <c r="H786" s="103">
        <v>5.3999999999999999E-2</v>
      </c>
      <c r="I786" s="101">
        <f t="shared" si="14"/>
        <v>-0.48800000000000004</v>
      </c>
    </row>
    <row r="787" spans="1:9" x14ac:dyDescent="0.3">
      <c r="A787" s="100" t="s">
        <v>10</v>
      </c>
      <c r="B787" s="100" t="s">
        <v>31</v>
      </c>
      <c r="C787" s="100" t="s">
        <v>15</v>
      </c>
      <c r="D787" s="102">
        <v>45535</v>
      </c>
      <c r="E787" s="103">
        <v>2.6315789473684209E-2</v>
      </c>
      <c r="F787" s="100">
        <v>0</v>
      </c>
      <c r="G787" s="100" t="s">
        <v>13</v>
      </c>
      <c r="H787" s="103">
        <v>6.6000000000000003E-2</v>
      </c>
      <c r="I787" s="101" t="str">
        <f t="shared" si="14"/>
        <v/>
      </c>
    </row>
    <row r="788" spans="1:9" x14ac:dyDescent="0.3">
      <c r="A788" s="100" t="s">
        <v>10</v>
      </c>
      <c r="B788" s="100" t="s">
        <v>31</v>
      </c>
      <c r="C788" s="100" t="s">
        <v>15</v>
      </c>
      <c r="D788" s="102">
        <v>45565</v>
      </c>
      <c r="E788" s="103">
        <v>7.4999999999999997E-2</v>
      </c>
      <c r="F788" s="100">
        <v>0</v>
      </c>
      <c r="G788" s="100" t="s">
        <v>13</v>
      </c>
      <c r="H788" s="103">
        <v>6.6000000000000003E-2</v>
      </c>
      <c r="I788" s="101">
        <f t="shared" si="14"/>
        <v>-1.85</v>
      </c>
    </row>
    <row r="789" spans="1:9" x14ac:dyDescent="0.3">
      <c r="A789" s="100" t="s">
        <v>10</v>
      </c>
      <c r="B789" s="100" t="s">
        <v>31</v>
      </c>
      <c r="C789" s="100" t="s">
        <v>15</v>
      </c>
      <c r="D789" s="102">
        <v>45657</v>
      </c>
      <c r="E789" s="103">
        <v>2.564102564102564E-2</v>
      </c>
      <c r="F789" s="100">
        <v>0</v>
      </c>
      <c r="G789" s="100" t="s">
        <v>13</v>
      </c>
      <c r="H789" s="103">
        <v>6.6000000000000003E-2</v>
      </c>
      <c r="I789" s="101">
        <f t="shared" si="14"/>
        <v>0.65811965811965811</v>
      </c>
    </row>
    <row r="790" spans="1:9" x14ac:dyDescent="0.3">
      <c r="A790" s="100" t="s">
        <v>10</v>
      </c>
      <c r="B790" s="100" t="s">
        <v>31</v>
      </c>
      <c r="C790" s="100" t="s">
        <v>15</v>
      </c>
      <c r="D790" s="102">
        <v>45688</v>
      </c>
      <c r="E790" s="103">
        <v>0.1</v>
      </c>
      <c r="F790" s="100">
        <v>0</v>
      </c>
      <c r="G790" s="100" t="s">
        <v>13</v>
      </c>
      <c r="H790" s="103">
        <v>6.6000000000000003E-2</v>
      </c>
      <c r="I790" s="101">
        <f t="shared" si="14"/>
        <v>-2.9000000000000008</v>
      </c>
    </row>
    <row r="791" spans="1:9" x14ac:dyDescent="0.3">
      <c r="A791" s="100" t="s">
        <v>10</v>
      </c>
      <c r="B791" s="100" t="s">
        <v>31</v>
      </c>
      <c r="C791" s="100" t="s">
        <v>15</v>
      </c>
      <c r="D791" s="102">
        <v>45716</v>
      </c>
      <c r="E791" s="103">
        <v>0.1025641025641026</v>
      </c>
      <c r="F791" s="100">
        <v>0</v>
      </c>
      <c r="G791" s="100" t="s">
        <v>13</v>
      </c>
      <c r="H791" s="103">
        <v>6.6000000000000003E-2</v>
      </c>
      <c r="I791" s="101">
        <f t="shared" si="14"/>
        <v>-2.5641025641025966E-2</v>
      </c>
    </row>
    <row r="792" spans="1:9" x14ac:dyDescent="0.3">
      <c r="A792" s="100" t="s">
        <v>10</v>
      </c>
      <c r="B792" s="100" t="s">
        <v>31</v>
      </c>
      <c r="C792" s="100" t="s">
        <v>15</v>
      </c>
      <c r="D792" s="102">
        <v>45747</v>
      </c>
      <c r="E792" s="103">
        <v>7.8947368421052627E-2</v>
      </c>
      <c r="F792" s="100">
        <v>0</v>
      </c>
      <c r="G792" s="100" t="s">
        <v>13</v>
      </c>
      <c r="H792" s="103">
        <v>6.6000000000000003E-2</v>
      </c>
      <c r="I792" s="101">
        <f t="shared" si="14"/>
        <v>0.23026315789473717</v>
      </c>
    </row>
    <row r="793" spans="1:9" x14ac:dyDescent="0.3">
      <c r="A793" s="100" t="s">
        <v>10</v>
      </c>
      <c r="B793" s="100" t="s">
        <v>31</v>
      </c>
      <c r="C793" s="100" t="s">
        <v>15</v>
      </c>
      <c r="D793" s="102">
        <v>45777</v>
      </c>
      <c r="E793" s="103">
        <v>5.2631578947368418E-2</v>
      </c>
      <c r="F793" s="100">
        <v>0</v>
      </c>
      <c r="G793" s="100" t="s">
        <v>13</v>
      </c>
      <c r="H793" s="103">
        <v>6.6000000000000003E-2</v>
      </c>
      <c r="I793" s="101">
        <f t="shared" si="14"/>
        <v>0.33333333333333331</v>
      </c>
    </row>
    <row r="794" spans="1:9" x14ac:dyDescent="0.3">
      <c r="A794" s="100" t="s">
        <v>10</v>
      </c>
      <c r="B794" s="100" t="s">
        <v>31</v>
      </c>
      <c r="C794" s="100" t="s">
        <v>15</v>
      </c>
      <c r="D794" s="102">
        <v>45808</v>
      </c>
      <c r="E794" s="103">
        <v>8.1081081081081086E-2</v>
      </c>
      <c r="F794" s="100">
        <v>0</v>
      </c>
      <c r="G794" s="100" t="s">
        <v>13</v>
      </c>
      <c r="H794" s="103">
        <v>6.6000000000000003E-2</v>
      </c>
      <c r="I794" s="101">
        <f t="shared" si="14"/>
        <v>-0.54054054054054068</v>
      </c>
    </row>
    <row r="795" spans="1:9" x14ac:dyDescent="0.3">
      <c r="A795" s="100" t="s">
        <v>10</v>
      </c>
      <c r="B795" s="100" t="s">
        <v>31</v>
      </c>
      <c r="C795" s="100" t="s">
        <v>15</v>
      </c>
      <c r="D795" s="102">
        <v>45838</v>
      </c>
      <c r="E795" s="103">
        <v>8.3333333333333329E-2</v>
      </c>
      <c r="F795" s="100">
        <v>0</v>
      </c>
      <c r="G795" s="100" t="s">
        <v>13</v>
      </c>
      <c r="H795" s="103">
        <v>6.6000000000000003E-2</v>
      </c>
      <c r="I795" s="101">
        <f t="shared" si="14"/>
        <v>-2.7777777777777665E-2</v>
      </c>
    </row>
    <row r="796" spans="1:9" x14ac:dyDescent="0.3">
      <c r="A796" s="100" t="s">
        <v>10</v>
      </c>
      <c r="B796" s="100" t="s">
        <v>31</v>
      </c>
      <c r="C796" s="100" t="s">
        <v>15</v>
      </c>
      <c r="D796" s="102">
        <v>45869</v>
      </c>
      <c r="E796" s="103">
        <v>5.4054054054054057E-2</v>
      </c>
      <c r="F796" s="100">
        <v>0</v>
      </c>
      <c r="G796" s="100" t="s">
        <v>13</v>
      </c>
      <c r="H796" s="103">
        <v>6.6000000000000003E-2</v>
      </c>
      <c r="I796" s="101">
        <f t="shared" si="14"/>
        <v>0.35135135135135126</v>
      </c>
    </row>
    <row r="797" spans="1:9" x14ac:dyDescent="0.3">
      <c r="A797" s="100" t="s">
        <v>10</v>
      </c>
      <c r="B797" s="100" t="s">
        <v>31</v>
      </c>
      <c r="C797" s="100" t="s">
        <v>15</v>
      </c>
      <c r="D797" s="102">
        <v>45900</v>
      </c>
      <c r="E797" s="103">
        <v>5.2631578947368418E-2</v>
      </c>
      <c r="F797" s="100">
        <v>0</v>
      </c>
      <c r="G797" s="100" t="s">
        <v>13</v>
      </c>
      <c r="H797" s="103">
        <v>6.6000000000000003E-2</v>
      </c>
      <c r="I797" s="101">
        <f t="shared" si="14"/>
        <v>2.631578947368432E-2</v>
      </c>
    </row>
    <row r="798" spans="1:9" x14ac:dyDescent="0.3">
      <c r="A798" s="100" t="s">
        <v>10</v>
      </c>
      <c r="B798" s="100" t="s">
        <v>31</v>
      </c>
      <c r="C798" s="100" t="s">
        <v>15</v>
      </c>
      <c r="D798" s="102">
        <v>45930</v>
      </c>
      <c r="E798" s="103">
        <v>2.7027027027027029E-2</v>
      </c>
      <c r="F798" s="100">
        <v>0</v>
      </c>
      <c r="G798" s="100" t="s">
        <v>13</v>
      </c>
      <c r="H798" s="103">
        <v>6.6000000000000003E-2</v>
      </c>
      <c r="I798" s="101">
        <f t="shared" si="14"/>
        <v>0.4864864864864864</v>
      </c>
    </row>
    <row r="799" spans="1:9" x14ac:dyDescent="0.3">
      <c r="A799" s="100" t="s">
        <v>10</v>
      </c>
      <c r="B799" s="100" t="s">
        <v>31</v>
      </c>
      <c r="C799" s="100" t="s">
        <v>15</v>
      </c>
      <c r="D799" s="102">
        <v>45961</v>
      </c>
      <c r="E799" s="103">
        <v>2.7027027027027029E-2</v>
      </c>
      <c r="F799" s="100">
        <v>0</v>
      </c>
      <c r="G799" s="100" t="s">
        <v>13</v>
      </c>
      <c r="H799" s="103">
        <v>6.6000000000000003E-2</v>
      </c>
      <c r="I799" s="101">
        <f t="shared" si="14"/>
        <v>0</v>
      </c>
    </row>
    <row r="800" spans="1:9" x14ac:dyDescent="0.3">
      <c r="A800" s="100" t="s">
        <v>10</v>
      </c>
      <c r="B800" s="100" t="s">
        <v>31</v>
      </c>
      <c r="C800" s="100" t="s">
        <v>15</v>
      </c>
      <c r="D800" s="102">
        <v>45991</v>
      </c>
      <c r="E800" s="103">
        <v>2.7027027027027029E-2</v>
      </c>
      <c r="F800" s="100">
        <v>0</v>
      </c>
      <c r="G800" s="100" t="s">
        <v>13</v>
      </c>
      <c r="H800" s="103">
        <v>6.6000000000000003E-2</v>
      </c>
      <c r="I800" s="101">
        <f t="shared" si="14"/>
        <v>0</v>
      </c>
    </row>
    <row r="801" spans="1:9" x14ac:dyDescent="0.3">
      <c r="A801" s="100" t="s">
        <v>10</v>
      </c>
      <c r="B801" s="100" t="s">
        <v>31</v>
      </c>
      <c r="C801" s="100" t="s">
        <v>18</v>
      </c>
      <c r="D801" s="102">
        <v>45535</v>
      </c>
      <c r="E801" s="103">
        <v>5.8051140290255702E-2</v>
      </c>
      <c r="F801" s="100">
        <v>0</v>
      </c>
      <c r="G801" s="100" t="s">
        <v>13</v>
      </c>
      <c r="H801" s="103">
        <v>0.104</v>
      </c>
      <c r="I801" s="101" t="str">
        <f t="shared" si="14"/>
        <v/>
      </c>
    </row>
    <row r="802" spans="1:9" x14ac:dyDescent="0.3">
      <c r="A802" s="100" t="s">
        <v>10</v>
      </c>
      <c r="B802" s="100" t="s">
        <v>31</v>
      </c>
      <c r="C802" s="100" t="s">
        <v>18</v>
      </c>
      <c r="D802" s="102">
        <v>45565</v>
      </c>
      <c r="E802" s="103">
        <v>5.8292852185981958E-2</v>
      </c>
      <c r="F802" s="100">
        <v>0</v>
      </c>
      <c r="G802" s="100" t="s">
        <v>13</v>
      </c>
      <c r="H802" s="103">
        <v>0.104</v>
      </c>
      <c r="I802" s="101">
        <f t="shared" si="14"/>
        <v>-4.1637751561415708E-3</v>
      </c>
    </row>
    <row r="803" spans="1:9" x14ac:dyDescent="0.3">
      <c r="A803" s="100" t="s">
        <v>10</v>
      </c>
      <c r="B803" s="100" t="s">
        <v>31</v>
      </c>
      <c r="C803" s="100" t="s">
        <v>18</v>
      </c>
      <c r="D803" s="102">
        <v>45596</v>
      </c>
      <c r="E803" s="103">
        <v>5.0069541029207243E-2</v>
      </c>
      <c r="F803" s="100">
        <v>0</v>
      </c>
      <c r="G803" s="100" t="s">
        <v>13</v>
      </c>
      <c r="H803" s="103">
        <v>0.104</v>
      </c>
      <c r="I803" s="101">
        <f t="shared" si="14"/>
        <v>0.14106894496324243</v>
      </c>
    </row>
    <row r="804" spans="1:9" x14ac:dyDescent="0.3">
      <c r="A804" s="100" t="s">
        <v>10</v>
      </c>
      <c r="B804" s="100" t="s">
        <v>31</v>
      </c>
      <c r="C804" s="100" t="s">
        <v>18</v>
      </c>
      <c r="D804" s="102">
        <v>45626</v>
      </c>
      <c r="E804" s="103">
        <v>5.0139276000000003E-2</v>
      </c>
      <c r="F804" s="100">
        <v>0</v>
      </c>
      <c r="G804" s="100" t="s">
        <v>13</v>
      </c>
      <c r="H804" s="103">
        <v>0.104</v>
      </c>
      <c r="I804" s="101">
        <f t="shared" si="14"/>
        <v>-1.3927623333331893E-3</v>
      </c>
    </row>
    <row r="805" spans="1:9" x14ac:dyDescent="0.3">
      <c r="A805" s="100" t="s">
        <v>10</v>
      </c>
      <c r="B805" s="100" t="s">
        <v>31</v>
      </c>
      <c r="C805" s="100" t="s">
        <v>18</v>
      </c>
      <c r="D805" s="102">
        <v>45657</v>
      </c>
      <c r="E805" s="103">
        <v>5.027932960893855E-2</v>
      </c>
      <c r="F805" s="100">
        <v>0</v>
      </c>
      <c r="G805" s="100" t="s">
        <v>13</v>
      </c>
      <c r="H805" s="103">
        <v>0.104</v>
      </c>
      <c r="I805" s="101">
        <f t="shared" si="14"/>
        <v>-2.7932914096834285E-3</v>
      </c>
    </row>
    <row r="806" spans="1:9" x14ac:dyDescent="0.3">
      <c r="A806" s="100" t="s">
        <v>10</v>
      </c>
      <c r="B806" s="100" t="s">
        <v>31</v>
      </c>
      <c r="C806" s="100" t="s">
        <v>18</v>
      </c>
      <c r="D806" s="102">
        <v>45688</v>
      </c>
      <c r="E806" s="103">
        <v>5.0526315789473683E-2</v>
      </c>
      <c r="F806" s="100">
        <v>0</v>
      </c>
      <c r="G806" s="100" t="s">
        <v>13</v>
      </c>
      <c r="H806" s="103">
        <v>0.104</v>
      </c>
      <c r="I806" s="101">
        <f t="shared" si="14"/>
        <v>-4.9122807017543133E-3</v>
      </c>
    </row>
    <row r="807" spans="1:9" x14ac:dyDescent="0.3">
      <c r="A807" s="100" t="s">
        <v>10</v>
      </c>
      <c r="B807" s="100" t="s">
        <v>31</v>
      </c>
      <c r="C807" s="100" t="s">
        <v>18</v>
      </c>
      <c r="D807" s="102">
        <v>45716</v>
      </c>
      <c r="E807" s="103">
        <v>6.7892503536067891E-2</v>
      </c>
      <c r="F807" s="100">
        <v>0</v>
      </c>
      <c r="G807" s="100" t="s">
        <v>13</v>
      </c>
      <c r="H807" s="103">
        <v>0.104</v>
      </c>
      <c r="I807" s="101">
        <f t="shared" si="14"/>
        <v>-0.34370579915134369</v>
      </c>
    </row>
    <row r="808" spans="1:9" x14ac:dyDescent="0.3">
      <c r="A808" s="100" t="s">
        <v>10</v>
      </c>
      <c r="B808" s="100" t="s">
        <v>31</v>
      </c>
      <c r="C808" s="100" t="s">
        <v>18</v>
      </c>
      <c r="D808" s="102">
        <v>45747</v>
      </c>
      <c r="E808" s="103">
        <v>4.2643923240938172E-2</v>
      </c>
      <c r="F808" s="100">
        <v>0</v>
      </c>
      <c r="G808" s="100" t="s">
        <v>13</v>
      </c>
      <c r="H808" s="103">
        <v>0.104</v>
      </c>
      <c r="I808" s="101">
        <f t="shared" si="14"/>
        <v>0.37189054726368148</v>
      </c>
    </row>
    <row r="809" spans="1:9" x14ac:dyDescent="0.3">
      <c r="A809" s="100" t="s">
        <v>10</v>
      </c>
      <c r="B809" s="100" t="s">
        <v>31</v>
      </c>
      <c r="C809" s="100" t="s">
        <v>18</v>
      </c>
      <c r="D809" s="102">
        <v>45777</v>
      </c>
      <c r="E809" s="103">
        <v>4.2735042735042743E-2</v>
      </c>
      <c r="F809" s="100">
        <v>0</v>
      </c>
      <c r="G809" s="100" t="s">
        <v>13</v>
      </c>
      <c r="H809" s="103">
        <v>0.104</v>
      </c>
      <c r="I809" s="101">
        <f t="shared" si="14"/>
        <v>-2.1367521367521751E-3</v>
      </c>
    </row>
    <row r="810" spans="1:9" x14ac:dyDescent="0.3">
      <c r="A810" s="100" t="s">
        <v>10</v>
      </c>
      <c r="B810" s="100" t="s">
        <v>31</v>
      </c>
      <c r="C810" s="100" t="s">
        <v>18</v>
      </c>
      <c r="D810" s="102">
        <v>45808</v>
      </c>
      <c r="E810" s="103">
        <v>5.1428571428571428E-2</v>
      </c>
      <c r="F810" s="100">
        <v>0</v>
      </c>
      <c r="G810" s="100" t="s">
        <v>13</v>
      </c>
      <c r="H810" s="103">
        <v>0.104</v>
      </c>
      <c r="I810" s="101">
        <f t="shared" si="14"/>
        <v>-0.20342857142857118</v>
      </c>
    </row>
    <row r="811" spans="1:9" x14ac:dyDescent="0.3">
      <c r="A811" s="100" t="s">
        <v>10</v>
      </c>
      <c r="B811" s="100" t="s">
        <v>31</v>
      </c>
      <c r="C811" s="100" t="s">
        <v>18</v>
      </c>
      <c r="D811" s="102">
        <v>45838</v>
      </c>
      <c r="E811" s="103">
        <v>5.1575931232091692E-2</v>
      </c>
      <c r="F811" s="100">
        <v>0</v>
      </c>
      <c r="G811" s="100" t="s">
        <v>13</v>
      </c>
      <c r="H811" s="103">
        <v>0.104</v>
      </c>
      <c r="I811" s="101">
        <f t="shared" si="14"/>
        <v>-2.8653295128940205E-3</v>
      </c>
    </row>
    <row r="812" spans="1:9" x14ac:dyDescent="0.3">
      <c r="A812" s="100" t="s">
        <v>10</v>
      </c>
      <c r="B812" s="100" t="s">
        <v>31</v>
      </c>
      <c r="C812" s="100" t="s">
        <v>18</v>
      </c>
      <c r="D812" s="102">
        <v>45869</v>
      </c>
      <c r="E812" s="103">
        <v>3.4359341445955621E-2</v>
      </c>
      <c r="F812" s="100">
        <v>0</v>
      </c>
      <c r="G812" s="100" t="s">
        <v>13</v>
      </c>
      <c r="H812" s="103">
        <v>0.104</v>
      </c>
      <c r="I812" s="101">
        <f t="shared" si="14"/>
        <v>0.33381054640897156</v>
      </c>
    </row>
    <row r="813" spans="1:9" x14ac:dyDescent="0.3">
      <c r="A813" s="100" t="s">
        <v>10</v>
      </c>
      <c r="B813" s="100" t="s">
        <v>31</v>
      </c>
      <c r="C813" s="100" t="s">
        <v>18</v>
      </c>
      <c r="D813" s="102">
        <v>45900</v>
      </c>
      <c r="E813" s="103">
        <v>3.4334763948497847E-2</v>
      </c>
      <c r="F813" s="100">
        <v>0</v>
      </c>
      <c r="G813" s="100" t="s">
        <v>13</v>
      </c>
      <c r="H813" s="103">
        <v>0.104</v>
      </c>
      <c r="I813" s="101">
        <f t="shared" si="14"/>
        <v>7.1530758226063694E-4</v>
      </c>
    </row>
    <row r="814" spans="1:9" x14ac:dyDescent="0.3">
      <c r="A814" s="100" t="s">
        <v>10</v>
      </c>
      <c r="B814" s="100" t="s">
        <v>31</v>
      </c>
      <c r="C814" s="100" t="s">
        <v>18</v>
      </c>
      <c r="D814" s="102">
        <v>45930</v>
      </c>
      <c r="E814" s="103">
        <v>3.4334763948497847E-2</v>
      </c>
      <c r="F814" s="100">
        <v>0</v>
      </c>
      <c r="G814" s="100" t="s">
        <v>13</v>
      </c>
      <c r="H814" s="103">
        <v>0.104</v>
      </c>
      <c r="I814" s="101">
        <f t="shared" si="14"/>
        <v>0</v>
      </c>
    </row>
    <row r="815" spans="1:9" x14ac:dyDescent="0.3">
      <c r="A815" s="100" t="s">
        <v>10</v>
      </c>
      <c r="B815" s="100" t="s">
        <v>31</v>
      </c>
      <c r="C815" s="100" t="s">
        <v>18</v>
      </c>
      <c r="D815" s="102">
        <v>45961</v>
      </c>
      <c r="E815" s="103">
        <v>3.4310221586847753E-2</v>
      </c>
      <c r="F815" s="100">
        <v>0</v>
      </c>
      <c r="G815" s="100" t="s">
        <v>13</v>
      </c>
      <c r="H815" s="103">
        <v>0.104</v>
      </c>
      <c r="I815" s="101">
        <f t="shared" si="14"/>
        <v>7.1479628305899407E-4</v>
      </c>
    </row>
    <row r="816" spans="1:9" x14ac:dyDescent="0.3">
      <c r="A816" s="100" t="s">
        <v>10</v>
      </c>
      <c r="B816" s="100" t="s">
        <v>31</v>
      </c>
      <c r="C816" s="100" t="s">
        <v>18</v>
      </c>
      <c r="D816" s="102">
        <v>45991</v>
      </c>
      <c r="E816" s="103">
        <v>5.1502145922746781E-2</v>
      </c>
      <c r="F816" s="100">
        <v>0</v>
      </c>
      <c r="G816" s="100" t="s">
        <v>13</v>
      </c>
      <c r="H816" s="103">
        <v>0.104</v>
      </c>
      <c r="I816" s="101">
        <f t="shared" si="14"/>
        <v>-0.50107296137339041</v>
      </c>
    </row>
    <row r="817" spans="1:9" x14ac:dyDescent="0.3">
      <c r="A817" s="100" t="s">
        <v>10</v>
      </c>
      <c r="B817" s="100" t="s">
        <v>31</v>
      </c>
      <c r="C817" s="100" t="s">
        <v>19</v>
      </c>
      <c r="D817" s="102">
        <v>45535</v>
      </c>
      <c r="E817" s="103">
        <v>0.15789473684210531</v>
      </c>
      <c r="F817" s="100">
        <v>0</v>
      </c>
      <c r="G817" s="100" t="s">
        <v>13</v>
      </c>
      <c r="H817" s="103">
        <v>0.1</v>
      </c>
      <c r="I817" s="101" t="str">
        <f t="shared" si="14"/>
        <v/>
      </c>
    </row>
    <row r="818" spans="1:9" x14ac:dyDescent="0.3">
      <c r="A818" s="100" t="s">
        <v>10</v>
      </c>
      <c r="B818" s="100" t="s">
        <v>31</v>
      </c>
      <c r="C818" s="100" t="s">
        <v>19</v>
      </c>
      <c r="D818" s="102">
        <v>45565</v>
      </c>
      <c r="E818" s="103">
        <v>0.159468438538206</v>
      </c>
      <c r="F818" s="100">
        <v>0</v>
      </c>
      <c r="G818" s="100" t="s">
        <v>13</v>
      </c>
      <c r="H818" s="103">
        <v>0.1</v>
      </c>
      <c r="I818" s="101">
        <f t="shared" si="14"/>
        <v>-9.9667774086376858E-3</v>
      </c>
    </row>
    <row r="819" spans="1:9" x14ac:dyDescent="0.3">
      <c r="A819" s="100" t="s">
        <v>10</v>
      </c>
      <c r="B819" s="100" t="s">
        <v>31</v>
      </c>
      <c r="C819" s="100" t="s">
        <v>19</v>
      </c>
      <c r="D819" s="102">
        <v>45596</v>
      </c>
      <c r="E819" s="103">
        <v>0.1204013377926421</v>
      </c>
      <c r="F819" s="100">
        <v>0</v>
      </c>
      <c r="G819" s="100" t="s">
        <v>13</v>
      </c>
      <c r="H819" s="103">
        <v>0.1</v>
      </c>
      <c r="I819" s="101">
        <f t="shared" si="14"/>
        <v>0.24498327759197358</v>
      </c>
    </row>
    <row r="820" spans="1:9" x14ac:dyDescent="0.3">
      <c r="A820" s="100" t="s">
        <v>10</v>
      </c>
      <c r="B820" s="100" t="s">
        <v>31</v>
      </c>
      <c r="C820" s="100" t="s">
        <v>19</v>
      </c>
      <c r="D820" s="102">
        <v>45626</v>
      </c>
      <c r="E820" s="103">
        <v>0.120805369</v>
      </c>
      <c r="F820" s="100">
        <v>0</v>
      </c>
      <c r="G820" s="100" t="s">
        <v>13</v>
      </c>
      <c r="H820" s="103">
        <v>0.1</v>
      </c>
      <c r="I820" s="101">
        <f t="shared" si="14"/>
        <v>-3.3557036388891753E-3</v>
      </c>
    </row>
    <row r="821" spans="1:9" x14ac:dyDescent="0.3">
      <c r="A821" s="100" t="s">
        <v>10</v>
      </c>
      <c r="B821" s="100" t="s">
        <v>31</v>
      </c>
      <c r="C821" s="100" t="s">
        <v>19</v>
      </c>
      <c r="D821" s="102">
        <v>45657</v>
      </c>
      <c r="E821" s="103">
        <v>0.1212121212121212</v>
      </c>
      <c r="F821" s="100">
        <v>0</v>
      </c>
      <c r="G821" s="100" t="s">
        <v>13</v>
      </c>
      <c r="H821" s="103">
        <v>0.1</v>
      </c>
      <c r="I821" s="101">
        <f t="shared" si="14"/>
        <v>-3.3670044261129308E-3</v>
      </c>
    </row>
    <row r="822" spans="1:9" x14ac:dyDescent="0.3">
      <c r="A822" s="100" t="s">
        <v>10</v>
      </c>
      <c r="B822" s="100" t="s">
        <v>31</v>
      </c>
      <c r="C822" s="100" t="s">
        <v>19</v>
      </c>
      <c r="D822" s="102">
        <v>45688</v>
      </c>
      <c r="E822" s="103">
        <v>0.12203389830508481</v>
      </c>
      <c r="F822" s="100">
        <v>0</v>
      </c>
      <c r="G822" s="100" t="s">
        <v>13</v>
      </c>
      <c r="H822" s="103">
        <v>0.1</v>
      </c>
      <c r="I822" s="101">
        <f t="shared" si="14"/>
        <v>-6.7796610169497404E-3</v>
      </c>
    </row>
    <row r="823" spans="1:9" x14ac:dyDescent="0.3">
      <c r="A823" s="100" t="s">
        <v>10</v>
      </c>
      <c r="B823" s="100" t="s">
        <v>31</v>
      </c>
      <c r="C823" s="100" t="s">
        <v>19</v>
      </c>
      <c r="D823" s="102">
        <v>45716</v>
      </c>
      <c r="E823" s="103">
        <v>0.1224489795918367</v>
      </c>
      <c r="F823" s="100">
        <v>0</v>
      </c>
      <c r="G823" s="100" t="s">
        <v>13</v>
      </c>
      <c r="H823" s="103">
        <v>0.1</v>
      </c>
      <c r="I823" s="101">
        <f t="shared" si="14"/>
        <v>-3.401360544216938E-3</v>
      </c>
    </row>
    <row r="824" spans="1:9" x14ac:dyDescent="0.3">
      <c r="A824" s="100" t="s">
        <v>10</v>
      </c>
      <c r="B824" s="100" t="s">
        <v>31</v>
      </c>
      <c r="C824" s="100" t="s">
        <v>19</v>
      </c>
      <c r="D824" s="102">
        <v>45747</v>
      </c>
      <c r="E824" s="103">
        <v>8.2191780821917818E-2</v>
      </c>
      <c r="F824" s="100">
        <v>0</v>
      </c>
      <c r="G824" s="100" t="s">
        <v>13</v>
      </c>
      <c r="H824" s="103">
        <v>0.1</v>
      </c>
      <c r="I824" s="101">
        <f t="shared" si="14"/>
        <v>0.32876712328767099</v>
      </c>
    </row>
    <row r="825" spans="1:9" x14ac:dyDescent="0.3">
      <c r="A825" s="100" t="s">
        <v>10</v>
      </c>
      <c r="B825" s="100" t="s">
        <v>31</v>
      </c>
      <c r="C825" s="100" t="s">
        <v>19</v>
      </c>
      <c r="D825" s="102">
        <v>45777</v>
      </c>
      <c r="E825" s="103">
        <v>8.2191780821917818E-2</v>
      </c>
      <c r="F825" s="100">
        <v>0</v>
      </c>
      <c r="G825" s="100" t="s">
        <v>13</v>
      </c>
      <c r="H825" s="103">
        <v>0.1</v>
      </c>
      <c r="I825" s="101">
        <f t="shared" si="14"/>
        <v>0</v>
      </c>
    </row>
    <row r="826" spans="1:9" x14ac:dyDescent="0.3">
      <c r="A826" s="100" t="s">
        <v>10</v>
      </c>
      <c r="B826" s="100" t="s">
        <v>31</v>
      </c>
      <c r="C826" s="100" t="s">
        <v>19</v>
      </c>
      <c r="D826" s="102">
        <v>45808</v>
      </c>
      <c r="E826" s="103">
        <v>0.1228668941979522</v>
      </c>
      <c r="F826" s="100">
        <v>0</v>
      </c>
      <c r="G826" s="100" t="s">
        <v>13</v>
      </c>
      <c r="H826" s="103">
        <v>0.1</v>
      </c>
      <c r="I826" s="101">
        <f t="shared" si="14"/>
        <v>-0.49488054607508492</v>
      </c>
    </row>
    <row r="827" spans="1:9" x14ac:dyDescent="0.3">
      <c r="A827" s="100" t="s">
        <v>10</v>
      </c>
      <c r="B827" s="100" t="s">
        <v>31</v>
      </c>
      <c r="C827" s="100" t="s">
        <v>19</v>
      </c>
      <c r="D827" s="102">
        <v>45838</v>
      </c>
      <c r="E827" s="103">
        <v>7.2507552870090641E-2</v>
      </c>
      <c r="F827" s="100">
        <v>0</v>
      </c>
      <c r="G827" s="100" t="s">
        <v>13</v>
      </c>
      <c r="H827" s="103">
        <v>0.1</v>
      </c>
      <c r="I827" s="101">
        <f t="shared" si="14"/>
        <v>0.40986908358509555</v>
      </c>
    </row>
    <row r="828" spans="1:9" x14ac:dyDescent="0.3">
      <c r="A828" s="100" t="s">
        <v>10</v>
      </c>
      <c r="B828" s="100" t="s">
        <v>31</v>
      </c>
      <c r="C828" s="100" t="s">
        <v>19</v>
      </c>
      <c r="D828" s="102">
        <v>45869</v>
      </c>
      <c r="E828" s="103">
        <v>3.3660589060308548E-2</v>
      </c>
      <c r="F828" s="100">
        <v>0</v>
      </c>
      <c r="G828" s="100" t="s">
        <v>13</v>
      </c>
      <c r="H828" s="103">
        <v>0.1</v>
      </c>
      <c r="I828" s="101">
        <f t="shared" si="14"/>
        <v>0.53576437587657799</v>
      </c>
    </row>
    <row r="829" spans="1:9" x14ac:dyDescent="0.3">
      <c r="A829" s="100" t="s">
        <v>10</v>
      </c>
      <c r="B829" s="100" t="s">
        <v>31</v>
      </c>
      <c r="C829" s="100" t="s">
        <v>19</v>
      </c>
      <c r="D829" s="102">
        <v>45900</v>
      </c>
      <c r="E829" s="103">
        <v>3.3660589060308548E-2</v>
      </c>
      <c r="F829" s="100">
        <v>0</v>
      </c>
      <c r="G829" s="100" t="s">
        <v>13</v>
      </c>
      <c r="H829" s="103">
        <v>0.1</v>
      </c>
      <c r="I829" s="101">
        <f t="shared" si="14"/>
        <v>0</v>
      </c>
    </row>
    <row r="830" spans="1:9" x14ac:dyDescent="0.3">
      <c r="A830" s="100" t="s">
        <v>10</v>
      </c>
      <c r="B830" s="100" t="s">
        <v>31</v>
      </c>
      <c r="C830" s="100" t="s">
        <v>19</v>
      </c>
      <c r="D830" s="102">
        <v>45930</v>
      </c>
      <c r="E830" s="103">
        <v>3.3707865168539318E-2</v>
      </c>
      <c r="F830" s="100">
        <v>0</v>
      </c>
      <c r="G830" s="100" t="s">
        <v>13</v>
      </c>
      <c r="H830" s="103">
        <v>0.1</v>
      </c>
      <c r="I830" s="101">
        <f t="shared" si="14"/>
        <v>-1.4044943820224723E-3</v>
      </c>
    </row>
    <row r="831" spans="1:9" x14ac:dyDescent="0.3">
      <c r="A831" s="100" t="s">
        <v>10</v>
      </c>
      <c r="B831" s="100" t="s">
        <v>31</v>
      </c>
      <c r="C831" s="100" t="s">
        <v>19</v>
      </c>
      <c r="D831" s="102">
        <v>45961</v>
      </c>
      <c r="E831" s="103">
        <v>3.3802816901408447E-2</v>
      </c>
      <c r="F831" s="100">
        <v>0</v>
      </c>
      <c r="G831" s="100" t="s">
        <v>13</v>
      </c>
      <c r="H831" s="103">
        <v>0.1</v>
      </c>
      <c r="I831" s="101">
        <f t="shared" si="14"/>
        <v>-2.8169014084508375E-3</v>
      </c>
    </row>
    <row r="832" spans="1:9" x14ac:dyDescent="0.3">
      <c r="A832" s="100" t="s">
        <v>10</v>
      </c>
      <c r="B832" s="100" t="s">
        <v>31</v>
      </c>
      <c r="C832" s="100" t="s">
        <v>19</v>
      </c>
      <c r="D832" s="102">
        <v>45991</v>
      </c>
      <c r="E832" s="103">
        <v>6.8965517241379309E-2</v>
      </c>
      <c r="F832" s="100">
        <v>0</v>
      </c>
      <c r="G832" s="100" t="s">
        <v>13</v>
      </c>
      <c r="H832" s="103">
        <v>0.1</v>
      </c>
      <c r="I832" s="101">
        <f t="shared" si="14"/>
        <v>-1.0402298850574714</v>
      </c>
    </row>
    <row r="833" spans="1:9" x14ac:dyDescent="0.3">
      <c r="A833" s="100" t="s">
        <v>20</v>
      </c>
      <c r="B833" s="100" t="s">
        <v>31</v>
      </c>
      <c r="C833" s="100" t="s">
        <v>21</v>
      </c>
      <c r="D833" s="102">
        <v>45535</v>
      </c>
      <c r="E833" s="103">
        <v>0.14699999999999999</v>
      </c>
      <c r="F833" s="100">
        <v>0</v>
      </c>
      <c r="G833" s="100" t="s">
        <v>13</v>
      </c>
      <c r="H833" s="103">
        <v>0.59</v>
      </c>
      <c r="I833" s="101" t="str">
        <f t="shared" si="14"/>
        <v/>
      </c>
    </row>
    <row r="834" spans="1:9" x14ac:dyDescent="0.3">
      <c r="A834" s="100" t="s">
        <v>20</v>
      </c>
      <c r="B834" s="100" t="s">
        <v>31</v>
      </c>
      <c r="C834" s="100" t="s">
        <v>21</v>
      </c>
      <c r="D834" s="102">
        <v>45565</v>
      </c>
      <c r="E834" s="103">
        <v>0.71199999999999997</v>
      </c>
      <c r="F834" s="100">
        <v>0</v>
      </c>
      <c r="G834" s="100" t="s">
        <v>13</v>
      </c>
      <c r="H834" s="103">
        <v>0.59</v>
      </c>
      <c r="I834" s="101">
        <f t="shared" si="14"/>
        <v>-3.8435374149659864</v>
      </c>
    </row>
    <row r="835" spans="1:9" x14ac:dyDescent="0.3">
      <c r="A835" s="100" t="s">
        <v>20</v>
      </c>
      <c r="B835" s="100" t="s">
        <v>31</v>
      </c>
      <c r="C835" s="100" t="s">
        <v>21</v>
      </c>
      <c r="D835" s="102">
        <v>45596</v>
      </c>
      <c r="E835" s="103">
        <v>0.63</v>
      </c>
      <c r="F835" s="100">
        <v>0</v>
      </c>
      <c r="G835" s="100" t="s">
        <v>13</v>
      </c>
      <c r="H835" s="103">
        <v>0.59</v>
      </c>
      <c r="I835" s="101">
        <f t="shared" ref="I835:I898" si="15">IF(OR(B835&lt;&gt;B834,C835&lt;&gt;C834),"",IF(E834=0,"",IF(G835="UP",(E835-E834)/E834,-((E835-E834)/E834))))</f>
        <v>0.11516853932584264</v>
      </c>
    </row>
    <row r="836" spans="1:9" x14ac:dyDescent="0.3">
      <c r="A836" s="100" t="s">
        <v>20</v>
      </c>
      <c r="B836" s="100" t="s">
        <v>31</v>
      </c>
      <c r="C836" s="100" t="s">
        <v>21</v>
      </c>
      <c r="D836" s="102">
        <v>45626</v>
      </c>
      <c r="E836" s="103">
        <v>0.74</v>
      </c>
      <c r="F836" s="100">
        <v>0</v>
      </c>
      <c r="G836" s="100" t="s">
        <v>13</v>
      </c>
      <c r="H836" s="103">
        <v>0.59</v>
      </c>
      <c r="I836" s="101">
        <f t="shared" si="15"/>
        <v>-0.17460317460317459</v>
      </c>
    </row>
    <row r="837" spans="1:9" x14ac:dyDescent="0.3">
      <c r="A837" s="100" t="s">
        <v>20</v>
      </c>
      <c r="B837" s="100" t="s">
        <v>31</v>
      </c>
      <c r="C837" s="100" t="s">
        <v>21</v>
      </c>
      <c r="D837" s="102">
        <v>45657</v>
      </c>
      <c r="E837" s="103">
        <v>0.64</v>
      </c>
      <c r="F837" s="100">
        <v>0</v>
      </c>
      <c r="G837" s="100" t="s">
        <v>13</v>
      </c>
      <c r="H837" s="103">
        <v>0.59</v>
      </c>
      <c r="I837" s="101">
        <f t="shared" si="15"/>
        <v>0.13513513513513511</v>
      </c>
    </row>
    <row r="838" spans="1:9" x14ac:dyDescent="0.3">
      <c r="A838" s="100" t="s">
        <v>20</v>
      </c>
      <c r="B838" s="100" t="s">
        <v>31</v>
      </c>
      <c r="C838" s="100" t="s">
        <v>21</v>
      </c>
      <c r="D838" s="102">
        <v>45688</v>
      </c>
      <c r="E838" s="103">
        <v>0.77</v>
      </c>
      <c r="F838" s="100">
        <v>0</v>
      </c>
      <c r="G838" s="100" t="s">
        <v>13</v>
      </c>
      <c r="H838" s="103">
        <v>0.59</v>
      </c>
      <c r="I838" s="101">
        <f t="shared" si="15"/>
        <v>-0.203125</v>
      </c>
    </row>
    <row r="839" spans="1:9" x14ac:dyDescent="0.3">
      <c r="A839" s="100" t="s">
        <v>20</v>
      </c>
      <c r="B839" s="100" t="s">
        <v>31</v>
      </c>
      <c r="C839" s="100" t="s">
        <v>21</v>
      </c>
      <c r="D839" s="102">
        <v>45716</v>
      </c>
      <c r="E839" s="103">
        <v>0.8</v>
      </c>
      <c r="F839" s="100">
        <v>0</v>
      </c>
      <c r="G839" s="100" t="s">
        <v>13</v>
      </c>
      <c r="H839" s="103">
        <v>0.59</v>
      </c>
      <c r="I839" s="101">
        <f t="shared" si="15"/>
        <v>-3.8961038961038995E-2</v>
      </c>
    </row>
    <row r="840" spans="1:9" x14ac:dyDescent="0.3">
      <c r="A840" s="100" t="s">
        <v>20</v>
      </c>
      <c r="B840" s="100" t="s">
        <v>31</v>
      </c>
      <c r="C840" s="100" t="s">
        <v>21</v>
      </c>
      <c r="D840" s="102">
        <v>45747</v>
      </c>
      <c r="E840" s="103">
        <v>0.78</v>
      </c>
      <c r="F840" s="100">
        <v>0</v>
      </c>
      <c r="G840" s="100" t="s">
        <v>13</v>
      </c>
      <c r="H840" s="103">
        <v>0.59</v>
      </c>
      <c r="I840" s="101">
        <f t="shared" si="15"/>
        <v>2.5000000000000022E-2</v>
      </c>
    </row>
    <row r="841" spans="1:9" x14ac:dyDescent="0.3">
      <c r="A841" s="100" t="s">
        <v>20</v>
      </c>
      <c r="B841" s="100" t="s">
        <v>31</v>
      </c>
      <c r="C841" s="100" t="s">
        <v>21</v>
      </c>
      <c r="D841" s="102">
        <v>45777</v>
      </c>
      <c r="E841" s="103">
        <v>0.77</v>
      </c>
      <c r="F841" s="100">
        <v>0</v>
      </c>
      <c r="G841" s="100" t="s">
        <v>13</v>
      </c>
      <c r="H841" s="103">
        <v>0.59</v>
      </c>
      <c r="I841" s="101">
        <f t="shared" si="15"/>
        <v>1.2820512820512832E-2</v>
      </c>
    </row>
    <row r="842" spans="1:9" x14ac:dyDescent="0.3">
      <c r="A842" s="100" t="s">
        <v>20</v>
      </c>
      <c r="B842" s="100" t="s">
        <v>31</v>
      </c>
      <c r="C842" s="100" t="s">
        <v>21</v>
      </c>
      <c r="D842" s="102">
        <v>45808</v>
      </c>
      <c r="E842" s="103">
        <v>0.61</v>
      </c>
      <c r="F842" s="100">
        <v>0</v>
      </c>
      <c r="G842" s="100" t="s">
        <v>13</v>
      </c>
      <c r="H842" s="103">
        <v>0.59</v>
      </c>
      <c r="I842" s="101">
        <f t="shared" si="15"/>
        <v>0.20779220779220783</v>
      </c>
    </row>
    <row r="843" spans="1:9" x14ac:dyDescent="0.3">
      <c r="A843" s="100" t="s">
        <v>20</v>
      </c>
      <c r="B843" s="100" t="s">
        <v>31</v>
      </c>
      <c r="C843" s="100" t="s">
        <v>21</v>
      </c>
      <c r="D843" s="102">
        <v>45838</v>
      </c>
      <c r="E843" s="103">
        <v>0.65</v>
      </c>
      <c r="F843" s="100">
        <v>0</v>
      </c>
      <c r="G843" s="100" t="s">
        <v>13</v>
      </c>
      <c r="H843" s="103">
        <v>0.59</v>
      </c>
      <c r="I843" s="101">
        <f t="shared" si="15"/>
        <v>-6.5573770491803338E-2</v>
      </c>
    </row>
    <row r="844" spans="1:9" x14ac:dyDescent="0.3">
      <c r="A844" s="100" t="s">
        <v>20</v>
      </c>
      <c r="B844" s="100" t="s">
        <v>31</v>
      </c>
      <c r="C844" s="100" t="s">
        <v>21</v>
      </c>
      <c r="D844" s="102">
        <v>45869</v>
      </c>
      <c r="E844" s="103">
        <v>0.33</v>
      </c>
      <c r="F844" s="100">
        <v>0</v>
      </c>
      <c r="G844" s="100" t="s">
        <v>13</v>
      </c>
      <c r="H844" s="103">
        <v>0.59</v>
      </c>
      <c r="I844" s="101">
        <f t="shared" si="15"/>
        <v>0.49230769230769228</v>
      </c>
    </row>
    <row r="845" spans="1:9" x14ac:dyDescent="0.3">
      <c r="A845" s="100" t="s">
        <v>20</v>
      </c>
      <c r="B845" s="100" t="s">
        <v>31</v>
      </c>
      <c r="C845" s="100" t="s">
        <v>21</v>
      </c>
      <c r="D845" s="102">
        <v>45900</v>
      </c>
      <c r="E845" s="103">
        <v>0.56999999999999995</v>
      </c>
      <c r="F845" s="100">
        <v>0</v>
      </c>
      <c r="G845" s="100" t="s">
        <v>13</v>
      </c>
      <c r="H845" s="103">
        <v>0.59</v>
      </c>
      <c r="I845" s="101">
        <f t="shared" si="15"/>
        <v>-0.72727272727272707</v>
      </c>
    </row>
    <row r="846" spans="1:9" x14ac:dyDescent="0.3">
      <c r="A846" s="100" t="s">
        <v>20</v>
      </c>
      <c r="B846" s="100" t="s">
        <v>31</v>
      </c>
      <c r="C846" s="100" t="s">
        <v>21</v>
      </c>
      <c r="D846" s="102">
        <v>45930</v>
      </c>
      <c r="E846" s="103">
        <v>1.5720000000000001</v>
      </c>
      <c r="F846" s="100">
        <v>0</v>
      </c>
      <c r="G846" s="100" t="s">
        <v>13</v>
      </c>
      <c r="H846" s="103">
        <v>0.59</v>
      </c>
      <c r="I846" s="101">
        <f t="shared" si="15"/>
        <v>-1.7578947368421058</v>
      </c>
    </row>
    <row r="847" spans="1:9" x14ac:dyDescent="0.3">
      <c r="A847" s="100" t="s">
        <v>20</v>
      </c>
      <c r="B847" s="100" t="s">
        <v>31</v>
      </c>
      <c r="C847" s="100" t="s">
        <v>21</v>
      </c>
      <c r="D847" s="102">
        <v>45961</v>
      </c>
      <c r="E847" s="103">
        <v>0.3</v>
      </c>
      <c r="F847" s="100">
        <v>0</v>
      </c>
      <c r="G847" s="100" t="s">
        <v>13</v>
      </c>
      <c r="H847" s="103">
        <v>0.59</v>
      </c>
      <c r="I847" s="101">
        <f t="shared" si="15"/>
        <v>0.80916030534351147</v>
      </c>
    </row>
    <row r="848" spans="1:9" x14ac:dyDescent="0.3">
      <c r="A848" s="100" t="s">
        <v>20</v>
      </c>
      <c r="B848" s="100" t="s">
        <v>31</v>
      </c>
      <c r="C848" s="100" t="s">
        <v>22</v>
      </c>
      <c r="D848" s="102">
        <v>45535</v>
      </c>
      <c r="E848" s="103">
        <v>0.51700000000000002</v>
      </c>
      <c r="F848" s="100">
        <v>0</v>
      </c>
      <c r="G848" s="100" t="s">
        <v>13</v>
      </c>
      <c r="H848" s="103">
        <v>0.56999999999999995</v>
      </c>
      <c r="I848" s="101" t="str">
        <f t="shared" si="15"/>
        <v/>
      </c>
    </row>
    <row r="849" spans="1:9" x14ac:dyDescent="0.3">
      <c r="A849" s="100" t="s">
        <v>20</v>
      </c>
      <c r="B849" s="100" t="s">
        <v>31</v>
      </c>
      <c r="C849" s="100" t="s">
        <v>22</v>
      </c>
      <c r="D849" s="102">
        <v>45565</v>
      </c>
      <c r="E849" s="103">
        <v>0.47799999999999998</v>
      </c>
      <c r="F849" s="100">
        <v>0</v>
      </c>
      <c r="G849" s="100" t="s">
        <v>13</v>
      </c>
      <c r="H849" s="103">
        <v>0.56999999999999995</v>
      </c>
      <c r="I849" s="101">
        <f t="shared" si="15"/>
        <v>7.5435203094777623E-2</v>
      </c>
    </row>
    <row r="850" spans="1:9" x14ac:dyDescent="0.3">
      <c r="A850" s="100" t="s">
        <v>20</v>
      </c>
      <c r="B850" s="100" t="s">
        <v>31</v>
      </c>
      <c r="C850" s="100" t="s">
        <v>22</v>
      </c>
      <c r="D850" s="102">
        <v>45596</v>
      </c>
      <c r="E850" s="103">
        <v>0.54500000000000004</v>
      </c>
      <c r="F850" s="100">
        <v>0</v>
      </c>
      <c r="G850" s="100" t="s">
        <v>13</v>
      </c>
      <c r="H850" s="103">
        <v>0.56999999999999995</v>
      </c>
      <c r="I850" s="101">
        <f t="shared" si="15"/>
        <v>-0.14016736401673655</v>
      </c>
    </row>
    <row r="851" spans="1:9" x14ac:dyDescent="0.3">
      <c r="A851" s="100" t="s">
        <v>20</v>
      </c>
      <c r="B851" s="100" t="s">
        <v>31</v>
      </c>
      <c r="C851" s="100" t="s">
        <v>22</v>
      </c>
      <c r="D851" s="102">
        <v>45626</v>
      </c>
      <c r="E851" s="103">
        <v>0.44400000000000001</v>
      </c>
      <c r="F851" s="100">
        <v>0</v>
      </c>
      <c r="G851" s="100" t="s">
        <v>13</v>
      </c>
      <c r="H851" s="103">
        <v>0.56999999999999995</v>
      </c>
      <c r="I851" s="101">
        <f t="shared" si="15"/>
        <v>0.18532110091743123</v>
      </c>
    </row>
    <row r="852" spans="1:9" x14ac:dyDescent="0.3">
      <c r="A852" s="100" t="s">
        <v>20</v>
      </c>
      <c r="B852" s="100" t="s">
        <v>31</v>
      </c>
      <c r="C852" s="100" t="s">
        <v>22</v>
      </c>
      <c r="D852" s="102">
        <v>45657</v>
      </c>
      <c r="E852" s="103">
        <v>0.45500000000000002</v>
      </c>
      <c r="F852" s="100">
        <v>0</v>
      </c>
      <c r="G852" s="100" t="s">
        <v>13</v>
      </c>
      <c r="H852" s="103">
        <v>0.56999999999999995</v>
      </c>
      <c r="I852" s="101">
        <f t="shared" si="15"/>
        <v>-2.4774774774774796E-2</v>
      </c>
    </row>
    <row r="853" spans="1:9" x14ac:dyDescent="0.3">
      <c r="A853" s="100" t="s">
        <v>20</v>
      </c>
      <c r="B853" s="100" t="s">
        <v>31</v>
      </c>
      <c r="C853" s="100" t="s">
        <v>22</v>
      </c>
      <c r="D853" s="102">
        <v>45688</v>
      </c>
      <c r="E853" s="103">
        <v>0.64</v>
      </c>
      <c r="F853" s="100">
        <v>0</v>
      </c>
      <c r="G853" s="100" t="s">
        <v>13</v>
      </c>
      <c r="H853" s="103">
        <v>0.56999999999999995</v>
      </c>
      <c r="I853" s="101">
        <f t="shared" si="15"/>
        <v>-0.40659340659340659</v>
      </c>
    </row>
    <row r="854" spans="1:9" x14ac:dyDescent="0.3">
      <c r="A854" s="100" t="s">
        <v>20</v>
      </c>
      <c r="B854" s="100" t="s">
        <v>31</v>
      </c>
      <c r="C854" s="100" t="s">
        <v>22</v>
      </c>
      <c r="D854" s="102">
        <v>45716</v>
      </c>
      <c r="E854" s="103">
        <v>0.54500000000000004</v>
      </c>
      <c r="F854" s="100">
        <v>0</v>
      </c>
      <c r="G854" s="100" t="s">
        <v>13</v>
      </c>
      <c r="H854" s="103">
        <v>0.56999999999999995</v>
      </c>
      <c r="I854" s="101">
        <f t="shared" si="15"/>
        <v>0.14843749999999994</v>
      </c>
    </row>
    <row r="855" spans="1:9" x14ac:dyDescent="0.3">
      <c r="A855" s="100" t="s">
        <v>20</v>
      </c>
      <c r="B855" s="100" t="s">
        <v>31</v>
      </c>
      <c r="C855" s="100" t="s">
        <v>22</v>
      </c>
      <c r="D855" s="102">
        <v>45747</v>
      </c>
      <c r="E855" s="103">
        <v>0.83299999999999996</v>
      </c>
      <c r="F855" s="100">
        <v>0</v>
      </c>
      <c r="G855" s="100" t="s">
        <v>13</v>
      </c>
      <c r="H855" s="103">
        <v>0.56999999999999995</v>
      </c>
      <c r="I855" s="101">
        <f t="shared" si="15"/>
        <v>-0.52844036697247687</v>
      </c>
    </row>
    <row r="856" spans="1:9" x14ac:dyDescent="0.3">
      <c r="A856" s="100" t="s">
        <v>20</v>
      </c>
      <c r="B856" s="100" t="s">
        <v>31</v>
      </c>
      <c r="C856" s="100" t="s">
        <v>22</v>
      </c>
      <c r="D856" s="102">
        <v>45777</v>
      </c>
      <c r="E856" s="103">
        <v>0.72699999999999998</v>
      </c>
      <c r="F856" s="100">
        <v>0</v>
      </c>
      <c r="G856" s="100" t="s">
        <v>13</v>
      </c>
      <c r="H856" s="103">
        <v>0.56999999999999995</v>
      </c>
      <c r="I856" s="101">
        <f t="shared" si="15"/>
        <v>0.12725090036014405</v>
      </c>
    </row>
    <row r="857" spans="1:9" x14ac:dyDescent="0.3">
      <c r="A857" s="100" t="s">
        <v>20</v>
      </c>
      <c r="B857" s="100" t="s">
        <v>31</v>
      </c>
      <c r="C857" s="100" t="s">
        <v>22</v>
      </c>
      <c r="D857" s="102">
        <v>45808</v>
      </c>
      <c r="E857" s="103">
        <v>0.55600000000000005</v>
      </c>
      <c r="F857" s="100">
        <v>0</v>
      </c>
      <c r="G857" s="100" t="s">
        <v>13</v>
      </c>
      <c r="H857" s="103">
        <v>0.56999999999999995</v>
      </c>
      <c r="I857" s="101">
        <f t="shared" si="15"/>
        <v>0.23521320495185685</v>
      </c>
    </row>
    <row r="858" spans="1:9" x14ac:dyDescent="0.3">
      <c r="A858" s="100" t="s">
        <v>20</v>
      </c>
      <c r="B858" s="100" t="s">
        <v>31</v>
      </c>
      <c r="C858" s="100" t="s">
        <v>22</v>
      </c>
      <c r="D858" s="102">
        <v>45838</v>
      </c>
      <c r="E858" s="103">
        <v>0.4</v>
      </c>
      <c r="F858" s="100">
        <v>0</v>
      </c>
      <c r="G858" s="100" t="s">
        <v>13</v>
      </c>
      <c r="H858" s="103">
        <v>0.56999999999999995</v>
      </c>
      <c r="I858" s="101">
        <f t="shared" si="15"/>
        <v>0.28057553956834536</v>
      </c>
    </row>
    <row r="859" spans="1:9" x14ac:dyDescent="0.3">
      <c r="A859" s="100" t="s">
        <v>20</v>
      </c>
      <c r="B859" s="100" t="s">
        <v>31</v>
      </c>
      <c r="C859" s="100" t="s">
        <v>22</v>
      </c>
      <c r="D859" s="102">
        <v>45869</v>
      </c>
      <c r="E859" s="103">
        <v>1.43</v>
      </c>
      <c r="F859" s="100">
        <v>0</v>
      </c>
      <c r="G859" s="100" t="s">
        <v>13</v>
      </c>
      <c r="H859" s="103">
        <v>0.56999999999999995</v>
      </c>
      <c r="I859" s="101">
        <f t="shared" si="15"/>
        <v>-2.5749999999999993</v>
      </c>
    </row>
    <row r="860" spans="1:9" x14ac:dyDescent="0.3">
      <c r="A860" s="100" t="s">
        <v>20</v>
      </c>
      <c r="B860" s="100" t="s">
        <v>31</v>
      </c>
      <c r="C860" s="100" t="s">
        <v>22</v>
      </c>
      <c r="D860" s="102">
        <v>45900</v>
      </c>
      <c r="E860" s="103">
        <v>1.76</v>
      </c>
      <c r="F860" s="100">
        <v>0</v>
      </c>
      <c r="G860" s="100" t="s">
        <v>13</v>
      </c>
      <c r="H860" s="103">
        <v>0.56999999999999995</v>
      </c>
      <c r="I860" s="101">
        <f t="shared" si="15"/>
        <v>-0.23076923076923084</v>
      </c>
    </row>
    <row r="861" spans="1:9" x14ac:dyDescent="0.3">
      <c r="A861" s="100" t="s">
        <v>20</v>
      </c>
      <c r="B861" s="100" t="s">
        <v>31</v>
      </c>
      <c r="C861" s="100" t="s">
        <v>22</v>
      </c>
      <c r="D861" s="102">
        <v>45930</v>
      </c>
      <c r="E861" s="103">
        <v>0.35</v>
      </c>
      <c r="F861" s="100">
        <v>0</v>
      </c>
      <c r="G861" s="100" t="s">
        <v>13</v>
      </c>
      <c r="H861" s="103">
        <v>0.56999999999999995</v>
      </c>
      <c r="I861" s="101">
        <f t="shared" si="15"/>
        <v>0.80113636363636376</v>
      </c>
    </row>
    <row r="862" spans="1:9" x14ac:dyDescent="0.3">
      <c r="A862" s="100" t="s">
        <v>23</v>
      </c>
      <c r="B862" s="100" t="s">
        <v>31</v>
      </c>
      <c r="C862" s="100" t="s">
        <v>24</v>
      </c>
      <c r="D862" s="102">
        <v>45535</v>
      </c>
      <c r="E862" s="103">
        <v>0.93330000000000002</v>
      </c>
      <c r="F862" s="100">
        <v>0</v>
      </c>
      <c r="G862" s="100" t="s">
        <v>17</v>
      </c>
      <c r="H862" s="103">
        <v>0.85</v>
      </c>
      <c r="I862" s="101" t="str">
        <f t="shared" si="15"/>
        <v/>
      </c>
    </row>
    <row r="863" spans="1:9" x14ac:dyDescent="0.3">
      <c r="A863" s="100" t="s">
        <v>23</v>
      </c>
      <c r="B863" s="100" t="s">
        <v>31</v>
      </c>
      <c r="C863" s="100" t="s">
        <v>24</v>
      </c>
      <c r="D863" s="102">
        <v>45565</v>
      </c>
      <c r="E863" s="103">
        <v>0.9</v>
      </c>
      <c r="F863" s="100">
        <v>0</v>
      </c>
      <c r="G863" s="100" t="s">
        <v>17</v>
      </c>
      <c r="H863" s="103">
        <v>0.85</v>
      </c>
      <c r="I863" s="101">
        <f t="shared" si="15"/>
        <v>-3.5679845708775311E-2</v>
      </c>
    </row>
    <row r="864" spans="1:9" x14ac:dyDescent="0.3">
      <c r="A864" s="100" t="s">
        <v>23</v>
      </c>
      <c r="B864" s="100" t="s">
        <v>31</v>
      </c>
      <c r="C864" s="100" t="s">
        <v>24</v>
      </c>
      <c r="D864" s="102">
        <v>45596</v>
      </c>
      <c r="E864" s="103">
        <v>0.89290000000000003</v>
      </c>
      <c r="F864" s="100">
        <v>0</v>
      </c>
      <c r="G864" s="100" t="s">
        <v>17</v>
      </c>
      <c r="H864" s="103">
        <v>0.85</v>
      </c>
      <c r="I864" s="101">
        <f t="shared" si="15"/>
        <v>-7.8888888888888828E-3</v>
      </c>
    </row>
    <row r="865" spans="1:9" x14ac:dyDescent="0.3">
      <c r="A865" s="100" t="s">
        <v>23</v>
      </c>
      <c r="B865" s="100" t="s">
        <v>31</v>
      </c>
      <c r="C865" s="100" t="s">
        <v>24</v>
      </c>
      <c r="D865" s="102">
        <v>45626</v>
      </c>
      <c r="E865" s="103">
        <v>0.84209999999999996</v>
      </c>
      <c r="F865" s="100">
        <v>0</v>
      </c>
      <c r="G865" s="100" t="s">
        <v>17</v>
      </c>
      <c r="H865" s="103">
        <v>0.85</v>
      </c>
      <c r="I865" s="101">
        <f t="shared" si="15"/>
        <v>-5.6893269123082166E-2</v>
      </c>
    </row>
    <row r="866" spans="1:9" x14ac:dyDescent="0.3">
      <c r="A866" s="100" t="s">
        <v>23</v>
      </c>
      <c r="B866" s="100" t="s">
        <v>31</v>
      </c>
      <c r="C866" s="100" t="s">
        <v>24</v>
      </c>
      <c r="D866" s="102">
        <v>45657</v>
      </c>
      <c r="E866" s="103">
        <v>0.92859999999999998</v>
      </c>
      <c r="F866" s="100">
        <v>0</v>
      </c>
      <c r="G866" s="100" t="s">
        <v>17</v>
      </c>
      <c r="H866" s="103">
        <v>0.85</v>
      </c>
      <c r="I866" s="101">
        <f t="shared" si="15"/>
        <v>0.1027193919962</v>
      </c>
    </row>
    <row r="867" spans="1:9" x14ac:dyDescent="0.3">
      <c r="A867" s="100" t="s">
        <v>23</v>
      </c>
      <c r="B867" s="100" t="s">
        <v>31</v>
      </c>
      <c r="C867" s="100" t="s">
        <v>24</v>
      </c>
      <c r="D867" s="102">
        <v>45688</v>
      </c>
      <c r="E867" s="103">
        <v>0.94120000000000004</v>
      </c>
      <c r="F867" s="100">
        <v>0</v>
      </c>
      <c r="G867" s="100" t="s">
        <v>17</v>
      </c>
      <c r="H867" s="103">
        <v>0.85</v>
      </c>
      <c r="I867" s="101">
        <f t="shared" si="15"/>
        <v>1.3568813267284143E-2</v>
      </c>
    </row>
    <row r="868" spans="1:9" x14ac:dyDescent="0.3">
      <c r="A868" s="100" t="s">
        <v>23</v>
      </c>
      <c r="B868" s="100" t="s">
        <v>31</v>
      </c>
      <c r="C868" s="100" t="s">
        <v>24</v>
      </c>
      <c r="D868" s="102">
        <v>45716</v>
      </c>
      <c r="E868" s="103">
        <v>1</v>
      </c>
      <c r="F868" s="100">
        <v>0</v>
      </c>
      <c r="G868" s="100" t="s">
        <v>17</v>
      </c>
      <c r="H868" s="103">
        <v>0.85</v>
      </c>
      <c r="I868" s="101">
        <f t="shared" si="15"/>
        <v>6.2473438164045859E-2</v>
      </c>
    </row>
    <row r="869" spans="1:9" x14ac:dyDescent="0.3">
      <c r="A869" s="100" t="s">
        <v>23</v>
      </c>
      <c r="B869" s="100" t="s">
        <v>31</v>
      </c>
      <c r="C869" s="100" t="s">
        <v>24</v>
      </c>
      <c r="D869" s="102">
        <v>45747</v>
      </c>
      <c r="E869" s="103">
        <v>0.86360000000000003</v>
      </c>
      <c r="F869" s="100">
        <v>0</v>
      </c>
      <c r="G869" s="100" t="s">
        <v>17</v>
      </c>
      <c r="H869" s="103">
        <v>0.85</v>
      </c>
      <c r="I869" s="101">
        <f t="shared" si="15"/>
        <v>-0.13639999999999997</v>
      </c>
    </row>
    <row r="870" spans="1:9" x14ac:dyDescent="0.3">
      <c r="A870" s="100" t="s">
        <v>23</v>
      </c>
      <c r="B870" s="100" t="s">
        <v>31</v>
      </c>
      <c r="C870" s="100" t="s">
        <v>24</v>
      </c>
      <c r="D870" s="102">
        <v>45777</v>
      </c>
      <c r="E870" s="103">
        <v>0.94740000000000002</v>
      </c>
      <c r="F870" s="100">
        <v>0</v>
      </c>
      <c r="G870" s="100" t="s">
        <v>17</v>
      </c>
      <c r="H870" s="103">
        <v>0.85</v>
      </c>
      <c r="I870" s="101">
        <f t="shared" si="15"/>
        <v>9.7035664659564591E-2</v>
      </c>
    </row>
    <row r="871" spans="1:9" x14ac:dyDescent="0.3">
      <c r="A871" s="100" t="s">
        <v>23</v>
      </c>
      <c r="B871" s="100" t="s">
        <v>31</v>
      </c>
      <c r="C871" s="100" t="s">
        <v>24</v>
      </c>
      <c r="D871" s="102">
        <v>45808</v>
      </c>
      <c r="E871" s="103">
        <v>0.88890000000000002</v>
      </c>
      <c r="F871" s="100">
        <v>0</v>
      </c>
      <c r="G871" s="100" t="s">
        <v>17</v>
      </c>
      <c r="H871" s="103">
        <v>0.85</v>
      </c>
      <c r="I871" s="101">
        <f t="shared" si="15"/>
        <v>-6.1747941735275487E-2</v>
      </c>
    </row>
    <row r="872" spans="1:9" x14ac:dyDescent="0.3">
      <c r="A872" s="100" t="s">
        <v>23</v>
      </c>
      <c r="B872" s="100" t="s">
        <v>31</v>
      </c>
      <c r="C872" s="100" t="s">
        <v>24</v>
      </c>
      <c r="D872" s="102">
        <v>45838</v>
      </c>
      <c r="E872" s="103">
        <v>0.77780000000000005</v>
      </c>
      <c r="F872" s="100">
        <v>0</v>
      </c>
      <c r="G872" s="100" t="s">
        <v>17</v>
      </c>
      <c r="H872" s="103">
        <v>0.85</v>
      </c>
      <c r="I872" s="101">
        <f t="shared" si="15"/>
        <v>-0.12498593767577902</v>
      </c>
    </row>
    <row r="873" spans="1:9" x14ac:dyDescent="0.3">
      <c r="A873" s="100" t="s">
        <v>23</v>
      </c>
      <c r="B873" s="100" t="s">
        <v>31</v>
      </c>
      <c r="C873" s="100" t="s">
        <v>24</v>
      </c>
      <c r="D873" s="102">
        <v>45869</v>
      </c>
      <c r="E873" s="103">
        <v>0.89700000000000002</v>
      </c>
      <c r="F873" s="100">
        <v>0</v>
      </c>
      <c r="G873" s="100" t="s">
        <v>17</v>
      </c>
      <c r="H873" s="103">
        <v>0.85</v>
      </c>
      <c r="I873" s="101">
        <f t="shared" si="15"/>
        <v>0.15325276420673692</v>
      </c>
    </row>
    <row r="874" spans="1:9" x14ac:dyDescent="0.3">
      <c r="A874" s="100" t="s">
        <v>23</v>
      </c>
      <c r="B874" s="100" t="s">
        <v>31</v>
      </c>
      <c r="C874" s="100" t="s">
        <v>24</v>
      </c>
      <c r="D874" s="102">
        <v>45900</v>
      </c>
      <c r="E874" s="103">
        <v>1</v>
      </c>
      <c r="F874" s="100">
        <v>0</v>
      </c>
      <c r="G874" s="100" t="s">
        <v>17</v>
      </c>
      <c r="H874" s="103">
        <v>0.85</v>
      </c>
      <c r="I874" s="101">
        <f t="shared" si="15"/>
        <v>0.11482720178372349</v>
      </c>
    </row>
    <row r="875" spans="1:9" x14ac:dyDescent="0.3">
      <c r="A875" s="100" t="s">
        <v>23</v>
      </c>
      <c r="B875" s="100" t="s">
        <v>31</v>
      </c>
      <c r="C875" s="100" t="s">
        <v>24</v>
      </c>
      <c r="D875" s="102">
        <v>45930</v>
      </c>
      <c r="E875" s="103">
        <v>0.9</v>
      </c>
      <c r="F875" s="100">
        <v>0</v>
      </c>
      <c r="G875" s="100" t="s">
        <v>17</v>
      </c>
      <c r="H875" s="103">
        <v>0.85</v>
      </c>
      <c r="I875" s="101">
        <f t="shared" si="15"/>
        <v>-9.9999999999999978E-2</v>
      </c>
    </row>
    <row r="876" spans="1:9" x14ac:dyDescent="0.3">
      <c r="A876" s="100" t="s">
        <v>23</v>
      </c>
      <c r="B876" s="100" t="s">
        <v>31</v>
      </c>
      <c r="C876" s="100" t="s">
        <v>24</v>
      </c>
      <c r="D876" s="102">
        <v>45961</v>
      </c>
      <c r="E876" s="103">
        <v>0.95199999999999996</v>
      </c>
      <c r="F876" s="100">
        <v>0</v>
      </c>
      <c r="G876" s="100" t="s">
        <v>17</v>
      </c>
      <c r="H876" s="103">
        <v>0.85</v>
      </c>
      <c r="I876" s="101">
        <f t="shared" si="15"/>
        <v>5.7777777777777706E-2</v>
      </c>
    </row>
    <row r="877" spans="1:9" x14ac:dyDescent="0.3">
      <c r="A877" s="100" t="s">
        <v>23</v>
      </c>
      <c r="B877" s="100" t="s">
        <v>31</v>
      </c>
      <c r="C877" s="100" t="s">
        <v>24</v>
      </c>
      <c r="D877" s="102">
        <v>45991</v>
      </c>
      <c r="E877" s="103">
        <v>1</v>
      </c>
      <c r="F877" s="100">
        <v>0</v>
      </c>
      <c r="G877" s="100" t="s">
        <v>17</v>
      </c>
      <c r="H877" s="103">
        <v>0.85</v>
      </c>
      <c r="I877" s="101">
        <f t="shared" si="15"/>
        <v>5.0420168067226941E-2</v>
      </c>
    </row>
    <row r="878" spans="1:9" x14ac:dyDescent="0.3">
      <c r="A878" s="100" t="s">
        <v>23</v>
      </c>
      <c r="B878" s="100" t="s">
        <v>31</v>
      </c>
      <c r="C878" s="100" t="s">
        <v>25</v>
      </c>
      <c r="D878" s="102">
        <v>45565</v>
      </c>
      <c r="E878" s="103">
        <v>0.66669999999999996</v>
      </c>
      <c r="F878" s="100">
        <v>0</v>
      </c>
      <c r="G878" s="100" t="s">
        <v>17</v>
      </c>
      <c r="H878" s="103">
        <v>0.65</v>
      </c>
      <c r="I878" s="101" t="str">
        <f t="shared" si="15"/>
        <v/>
      </c>
    </row>
    <row r="879" spans="1:9" x14ac:dyDescent="0.3">
      <c r="A879" s="100" t="s">
        <v>23</v>
      </c>
      <c r="B879" s="100" t="s">
        <v>31</v>
      </c>
      <c r="C879" s="100" t="s">
        <v>25</v>
      </c>
      <c r="D879" s="102">
        <v>45596</v>
      </c>
      <c r="E879" s="103">
        <v>0.75</v>
      </c>
      <c r="F879" s="100">
        <v>0</v>
      </c>
      <c r="G879" s="100" t="s">
        <v>17</v>
      </c>
      <c r="H879" s="103">
        <v>0.65</v>
      </c>
      <c r="I879" s="101">
        <f t="shared" si="15"/>
        <v>0.12494375281235945</v>
      </c>
    </row>
    <row r="880" spans="1:9" x14ac:dyDescent="0.3">
      <c r="A880" s="100" t="s">
        <v>23</v>
      </c>
      <c r="B880" s="100" t="s">
        <v>31</v>
      </c>
      <c r="C880" s="100" t="s">
        <v>25</v>
      </c>
      <c r="D880" s="102">
        <v>45626</v>
      </c>
      <c r="E880" s="103">
        <v>0.6</v>
      </c>
      <c r="F880" s="100">
        <v>0</v>
      </c>
      <c r="G880" s="100" t="s">
        <v>17</v>
      </c>
      <c r="H880" s="103">
        <v>0.65</v>
      </c>
      <c r="I880" s="101">
        <f t="shared" si="15"/>
        <v>-0.20000000000000004</v>
      </c>
    </row>
    <row r="881" spans="1:9" x14ac:dyDescent="0.3">
      <c r="A881" s="100" t="s">
        <v>23</v>
      </c>
      <c r="B881" s="100" t="s">
        <v>31</v>
      </c>
      <c r="C881" s="100" t="s">
        <v>25</v>
      </c>
      <c r="D881" s="102">
        <v>45657</v>
      </c>
      <c r="E881" s="103">
        <v>0.5</v>
      </c>
      <c r="F881" s="100">
        <v>0</v>
      </c>
      <c r="G881" s="100" t="s">
        <v>17</v>
      </c>
      <c r="H881" s="103">
        <v>0.65</v>
      </c>
      <c r="I881" s="101">
        <f t="shared" si="15"/>
        <v>-0.16666666666666663</v>
      </c>
    </row>
    <row r="882" spans="1:9" x14ac:dyDescent="0.3">
      <c r="A882" s="100" t="s">
        <v>23</v>
      </c>
      <c r="B882" s="100" t="s">
        <v>31</v>
      </c>
      <c r="C882" s="100" t="s">
        <v>25</v>
      </c>
      <c r="D882" s="102">
        <v>45688</v>
      </c>
      <c r="E882" s="103">
        <v>0.42859999999999998</v>
      </c>
      <c r="F882" s="100">
        <v>0</v>
      </c>
      <c r="G882" s="100" t="s">
        <v>17</v>
      </c>
      <c r="H882" s="103">
        <v>0.65</v>
      </c>
      <c r="I882" s="101">
        <f t="shared" si="15"/>
        <v>-0.14280000000000004</v>
      </c>
    </row>
    <row r="883" spans="1:9" x14ac:dyDescent="0.3">
      <c r="A883" s="100" t="s">
        <v>23</v>
      </c>
      <c r="B883" s="100" t="s">
        <v>31</v>
      </c>
      <c r="C883" s="100" t="s">
        <v>25</v>
      </c>
      <c r="D883" s="102">
        <v>45716</v>
      </c>
      <c r="E883" s="103">
        <v>0.66669999999999996</v>
      </c>
      <c r="F883" s="100">
        <v>0</v>
      </c>
      <c r="G883" s="100" t="s">
        <v>17</v>
      </c>
      <c r="H883" s="103">
        <v>0.65</v>
      </c>
      <c r="I883" s="101">
        <f t="shared" si="15"/>
        <v>0.55552963135790945</v>
      </c>
    </row>
    <row r="884" spans="1:9" x14ac:dyDescent="0.3">
      <c r="A884" s="100" t="s">
        <v>23</v>
      </c>
      <c r="B884" s="100" t="s">
        <v>31</v>
      </c>
      <c r="C884" s="100" t="s">
        <v>25</v>
      </c>
      <c r="D884" s="102">
        <v>45747</v>
      </c>
      <c r="E884" s="103">
        <v>1</v>
      </c>
      <c r="F884" s="100">
        <v>0</v>
      </c>
      <c r="G884" s="100" t="s">
        <v>17</v>
      </c>
      <c r="H884" s="103">
        <v>0.65</v>
      </c>
      <c r="I884" s="101">
        <f t="shared" si="15"/>
        <v>0.49992500374981258</v>
      </c>
    </row>
    <row r="885" spans="1:9" x14ac:dyDescent="0.3">
      <c r="A885" s="100" t="s">
        <v>23</v>
      </c>
      <c r="B885" s="100" t="s">
        <v>31</v>
      </c>
      <c r="C885" s="100" t="s">
        <v>25</v>
      </c>
      <c r="D885" s="102">
        <v>45777</v>
      </c>
      <c r="E885" s="103">
        <v>0.75</v>
      </c>
      <c r="F885" s="100">
        <v>0</v>
      </c>
      <c r="G885" s="100" t="s">
        <v>17</v>
      </c>
      <c r="H885" s="103">
        <v>0.65</v>
      </c>
      <c r="I885" s="101">
        <f t="shared" si="15"/>
        <v>-0.25</v>
      </c>
    </row>
    <row r="886" spans="1:9" x14ac:dyDescent="0.3">
      <c r="A886" s="100" t="s">
        <v>23</v>
      </c>
      <c r="B886" s="100" t="s">
        <v>31</v>
      </c>
      <c r="C886" s="100" t="s">
        <v>25</v>
      </c>
      <c r="D886" s="102">
        <v>45808</v>
      </c>
      <c r="E886" s="103">
        <v>0.4</v>
      </c>
      <c r="F886" s="100">
        <v>0</v>
      </c>
      <c r="G886" s="100" t="s">
        <v>17</v>
      </c>
      <c r="H886" s="103">
        <v>0.65</v>
      </c>
      <c r="I886" s="101">
        <f t="shared" si="15"/>
        <v>-0.46666666666666662</v>
      </c>
    </row>
    <row r="887" spans="1:9" x14ac:dyDescent="0.3">
      <c r="A887" s="100" t="s">
        <v>23</v>
      </c>
      <c r="B887" s="100" t="s">
        <v>31</v>
      </c>
      <c r="C887" s="100" t="s">
        <v>25</v>
      </c>
      <c r="D887" s="102">
        <v>45838</v>
      </c>
      <c r="E887" s="103">
        <v>0.33329999999999999</v>
      </c>
      <c r="F887" s="100">
        <v>0</v>
      </c>
      <c r="G887" s="100" t="s">
        <v>17</v>
      </c>
      <c r="H887" s="103">
        <v>0.65</v>
      </c>
      <c r="I887" s="101">
        <f t="shared" si="15"/>
        <v>-0.16675000000000009</v>
      </c>
    </row>
    <row r="888" spans="1:9" x14ac:dyDescent="0.3">
      <c r="A888" s="100" t="s">
        <v>23</v>
      </c>
      <c r="B888" s="100" t="s">
        <v>31</v>
      </c>
      <c r="C888" s="100" t="s">
        <v>25</v>
      </c>
      <c r="D888" s="102">
        <v>45900</v>
      </c>
      <c r="E888" s="103">
        <v>0.75</v>
      </c>
      <c r="F888" s="100">
        <v>0</v>
      </c>
      <c r="G888" s="100" t="s">
        <v>17</v>
      </c>
      <c r="H888" s="103">
        <v>0.65</v>
      </c>
      <c r="I888" s="101">
        <f t="shared" si="15"/>
        <v>1.2502250225022504</v>
      </c>
    </row>
    <row r="889" spans="1:9" x14ac:dyDescent="0.3">
      <c r="A889" s="100" t="s">
        <v>23</v>
      </c>
      <c r="B889" s="100" t="s">
        <v>31</v>
      </c>
      <c r="C889" s="100" t="s">
        <v>25</v>
      </c>
      <c r="D889" s="102">
        <v>45961</v>
      </c>
      <c r="E889" s="103">
        <v>1</v>
      </c>
      <c r="F889" s="100">
        <v>0</v>
      </c>
      <c r="G889" s="100" t="s">
        <v>17</v>
      </c>
      <c r="H889" s="103">
        <v>0.65</v>
      </c>
      <c r="I889" s="101">
        <f t="shared" si="15"/>
        <v>0.33333333333333331</v>
      </c>
    </row>
    <row r="890" spans="1:9" x14ac:dyDescent="0.3">
      <c r="A890" s="100" t="s">
        <v>23</v>
      </c>
      <c r="B890" s="100" t="s">
        <v>31</v>
      </c>
      <c r="C890" s="100" t="s">
        <v>25</v>
      </c>
      <c r="D890" s="102">
        <v>45991</v>
      </c>
      <c r="E890" s="103">
        <v>0.66700000000000004</v>
      </c>
      <c r="F890" s="100">
        <v>0</v>
      </c>
      <c r="G890" s="100" t="s">
        <v>17</v>
      </c>
      <c r="H890" s="103">
        <v>0.65</v>
      </c>
      <c r="I890" s="101">
        <f t="shared" si="15"/>
        <v>-0.33299999999999996</v>
      </c>
    </row>
    <row r="891" spans="1:9" x14ac:dyDescent="0.3">
      <c r="A891" s="100" t="s">
        <v>23</v>
      </c>
      <c r="B891" s="100" t="s">
        <v>31</v>
      </c>
      <c r="C891" s="100" t="s">
        <v>26</v>
      </c>
      <c r="D891" s="102">
        <v>45565</v>
      </c>
      <c r="E891" s="103">
        <v>1</v>
      </c>
      <c r="F891" s="100">
        <v>0</v>
      </c>
      <c r="G891" s="100" t="s">
        <v>17</v>
      </c>
      <c r="H891" s="103">
        <v>0.85</v>
      </c>
      <c r="I891" s="101" t="str">
        <f t="shared" si="15"/>
        <v/>
      </c>
    </row>
    <row r="892" spans="1:9" x14ac:dyDescent="0.3">
      <c r="A892" s="100" t="s">
        <v>23</v>
      </c>
      <c r="B892" s="100" t="s">
        <v>31</v>
      </c>
      <c r="C892" s="100" t="s">
        <v>26</v>
      </c>
      <c r="D892" s="102">
        <v>45596</v>
      </c>
      <c r="E892" s="103">
        <v>0.75</v>
      </c>
      <c r="F892" s="100">
        <v>0</v>
      </c>
      <c r="G892" s="100" t="s">
        <v>17</v>
      </c>
      <c r="H892" s="103">
        <v>0.85</v>
      </c>
      <c r="I892" s="101">
        <f t="shared" si="15"/>
        <v>-0.25</v>
      </c>
    </row>
    <row r="893" spans="1:9" x14ac:dyDescent="0.3">
      <c r="A893" s="100" t="s">
        <v>23</v>
      </c>
      <c r="B893" s="100" t="s">
        <v>31</v>
      </c>
      <c r="C893" s="100" t="s">
        <v>26</v>
      </c>
      <c r="D893" s="102">
        <v>45626</v>
      </c>
      <c r="E893" s="103">
        <v>0.8</v>
      </c>
      <c r="F893" s="100">
        <v>0</v>
      </c>
      <c r="G893" s="100" t="s">
        <v>17</v>
      </c>
      <c r="H893" s="103">
        <v>0.85</v>
      </c>
      <c r="I893" s="101">
        <f t="shared" si="15"/>
        <v>6.6666666666666721E-2</v>
      </c>
    </row>
    <row r="894" spans="1:9" x14ac:dyDescent="0.3">
      <c r="A894" s="100" t="s">
        <v>23</v>
      </c>
      <c r="B894" s="100" t="s">
        <v>31</v>
      </c>
      <c r="C894" s="100" t="s">
        <v>26</v>
      </c>
      <c r="D894" s="102">
        <v>45688</v>
      </c>
      <c r="E894" s="103">
        <v>1</v>
      </c>
      <c r="F894" s="100">
        <v>0</v>
      </c>
      <c r="G894" s="100" t="s">
        <v>17</v>
      </c>
      <c r="H894" s="103">
        <v>0.85</v>
      </c>
      <c r="I894" s="101">
        <f t="shared" si="15"/>
        <v>0.24999999999999994</v>
      </c>
    </row>
    <row r="895" spans="1:9" x14ac:dyDescent="0.3">
      <c r="A895" s="100" t="s">
        <v>23</v>
      </c>
      <c r="B895" s="100" t="s">
        <v>31</v>
      </c>
      <c r="C895" s="100" t="s">
        <v>26</v>
      </c>
      <c r="D895" s="102">
        <v>45716</v>
      </c>
      <c r="E895" s="103">
        <v>0.33329999999999999</v>
      </c>
      <c r="F895" s="100">
        <v>0</v>
      </c>
      <c r="G895" s="100" t="s">
        <v>17</v>
      </c>
      <c r="H895" s="103">
        <v>0.85</v>
      </c>
      <c r="I895" s="101">
        <f t="shared" si="15"/>
        <v>-0.66670000000000007</v>
      </c>
    </row>
    <row r="896" spans="1:9" x14ac:dyDescent="0.3">
      <c r="A896" s="100" t="s">
        <v>23</v>
      </c>
      <c r="B896" s="100" t="s">
        <v>31</v>
      </c>
      <c r="C896" s="100" t="s">
        <v>26</v>
      </c>
      <c r="D896" s="102">
        <v>45747</v>
      </c>
      <c r="E896" s="103">
        <v>1</v>
      </c>
      <c r="F896" s="100">
        <v>0</v>
      </c>
      <c r="G896" s="100" t="s">
        <v>17</v>
      </c>
      <c r="H896" s="103">
        <v>0.85</v>
      </c>
      <c r="I896" s="101">
        <f t="shared" si="15"/>
        <v>2.0003000300030007</v>
      </c>
    </row>
    <row r="897" spans="1:9" x14ac:dyDescent="0.3">
      <c r="A897" s="100" t="s">
        <v>23</v>
      </c>
      <c r="B897" s="100" t="s">
        <v>31</v>
      </c>
      <c r="C897" s="100" t="s">
        <v>26</v>
      </c>
      <c r="D897" s="102">
        <v>45777</v>
      </c>
      <c r="E897" s="103">
        <v>0.71430000000000005</v>
      </c>
      <c r="F897" s="100">
        <v>0</v>
      </c>
      <c r="G897" s="100" t="s">
        <v>17</v>
      </c>
      <c r="H897" s="103">
        <v>0.85</v>
      </c>
      <c r="I897" s="101">
        <f t="shared" si="15"/>
        <v>-0.28569999999999995</v>
      </c>
    </row>
    <row r="898" spans="1:9" x14ac:dyDescent="0.3">
      <c r="A898" s="100" t="s">
        <v>23</v>
      </c>
      <c r="B898" s="100" t="s">
        <v>31</v>
      </c>
      <c r="C898" s="100" t="s">
        <v>26</v>
      </c>
      <c r="D898" s="102">
        <v>45808</v>
      </c>
      <c r="E898" s="103">
        <v>0.6</v>
      </c>
      <c r="F898" s="100">
        <v>0</v>
      </c>
      <c r="G898" s="100" t="s">
        <v>17</v>
      </c>
      <c r="H898" s="103">
        <v>0.85</v>
      </c>
      <c r="I898" s="101">
        <f t="shared" si="15"/>
        <v>-0.16001679966400681</v>
      </c>
    </row>
    <row r="899" spans="1:9" x14ac:dyDescent="0.3">
      <c r="A899" s="100" t="s">
        <v>23</v>
      </c>
      <c r="B899" s="100" t="s">
        <v>31</v>
      </c>
      <c r="C899" s="100" t="s">
        <v>26</v>
      </c>
      <c r="D899" s="102">
        <v>45838</v>
      </c>
      <c r="E899" s="103">
        <v>1</v>
      </c>
      <c r="F899" s="100">
        <v>0</v>
      </c>
      <c r="G899" s="100" t="s">
        <v>17</v>
      </c>
      <c r="H899" s="103">
        <v>0.85</v>
      </c>
      <c r="I899" s="101">
        <f t="shared" ref="I899:I962" si="16">IF(OR(B899&lt;&gt;B898,C899&lt;&gt;C898),"",IF(E898=0,"",IF(G899="UP",(E899-E898)/E898,-((E899-E898)/E898))))</f>
        <v>0.66666666666666674</v>
      </c>
    </row>
    <row r="900" spans="1:9" x14ac:dyDescent="0.3">
      <c r="A900" s="100" t="s">
        <v>23</v>
      </c>
      <c r="B900" s="100" t="s">
        <v>31</v>
      </c>
      <c r="C900" s="100" t="s">
        <v>26</v>
      </c>
      <c r="D900" s="102">
        <v>45869</v>
      </c>
      <c r="E900" s="103">
        <v>0.75</v>
      </c>
      <c r="F900" s="100">
        <v>0</v>
      </c>
      <c r="G900" s="100" t="s">
        <v>17</v>
      </c>
      <c r="H900" s="103">
        <v>0.85</v>
      </c>
      <c r="I900" s="101">
        <f t="shared" si="16"/>
        <v>-0.25</v>
      </c>
    </row>
    <row r="901" spans="1:9" x14ac:dyDescent="0.3">
      <c r="A901" s="100" t="s">
        <v>23</v>
      </c>
      <c r="B901" s="100" t="s">
        <v>31</v>
      </c>
      <c r="C901" s="100" t="s">
        <v>26</v>
      </c>
      <c r="D901" s="102">
        <v>45900</v>
      </c>
      <c r="E901" s="103">
        <v>0.75</v>
      </c>
      <c r="F901" s="100">
        <v>0</v>
      </c>
      <c r="G901" s="100" t="s">
        <v>17</v>
      </c>
      <c r="H901" s="103">
        <v>0.85</v>
      </c>
      <c r="I901" s="101">
        <f t="shared" si="16"/>
        <v>0</v>
      </c>
    </row>
    <row r="902" spans="1:9" x14ac:dyDescent="0.3">
      <c r="A902" s="100" t="s">
        <v>23</v>
      </c>
      <c r="B902" s="100" t="s">
        <v>31</v>
      </c>
      <c r="C902" s="100" t="s">
        <v>26</v>
      </c>
      <c r="D902" s="102">
        <v>45961</v>
      </c>
      <c r="E902" s="103">
        <v>1</v>
      </c>
      <c r="F902" s="100">
        <v>0</v>
      </c>
      <c r="G902" s="100" t="s">
        <v>17</v>
      </c>
      <c r="H902" s="103">
        <v>0.85</v>
      </c>
      <c r="I902" s="101">
        <f t="shared" si="16"/>
        <v>0.33333333333333331</v>
      </c>
    </row>
    <row r="903" spans="1:9" x14ac:dyDescent="0.3">
      <c r="A903" s="100" t="s">
        <v>23</v>
      </c>
      <c r="B903" s="100" t="s">
        <v>31</v>
      </c>
      <c r="C903" s="100" t="s">
        <v>26</v>
      </c>
      <c r="D903" s="102">
        <v>45991</v>
      </c>
      <c r="E903" s="103">
        <v>1</v>
      </c>
      <c r="F903" s="100">
        <v>0</v>
      </c>
      <c r="G903" s="100" t="s">
        <v>17</v>
      </c>
      <c r="H903" s="103">
        <v>0.85</v>
      </c>
      <c r="I903" s="101">
        <f t="shared" si="16"/>
        <v>0</v>
      </c>
    </row>
    <row r="904" spans="1:9" x14ac:dyDescent="0.3">
      <c r="A904" s="100" t="s">
        <v>23</v>
      </c>
      <c r="B904" s="100" t="s">
        <v>31</v>
      </c>
      <c r="C904" s="100" t="s">
        <v>27</v>
      </c>
      <c r="D904" s="102">
        <v>45565</v>
      </c>
      <c r="E904" s="103">
        <v>1</v>
      </c>
      <c r="F904" s="100">
        <v>0</v>
      </c>
      <c r="G904" s="100" t="s">
        <v>17</v>
      </c>
      <c r="H904" s="103">
        <v>0.7</v>
      </c>
      <c r="I904" s="101" t="str">
        <f t="shared" si="16"/>
        <v/>
      </c>
    </row>
    <row r="905" spans="1:9" x14ac:dyDescent="0.3">
      <c r="A905" s="100" t="s">
        <v>23</v>
      </c>
      <c r="B905" s="100" t="s">
        <v>31</v>
      </c>
      <c r="C905" s="100" t="s">
        <v>27</v>
      </c>
      <c r="D905" s="102">
        <v>45596</v>
      </c>
      <c r="E905" s="103">
        <v>0.66669999999999996</v>
      </c>
      <c r="F905" s="100">
        <v>0</v>
      </c>
      <c r="G905" s="100" t="s">
        <v>17</v>
      </c>
      <c r="H905" s="103">
        <v>0.7</v>
      </c>
      <c r="I905" s="101">
        <f t="shared" si="16"/>
        <v>-0.33330000000000004</v>
      </c>
    </row>
    <row r="906" spans="1:9" x14ac:dyDescent="0.3">
      <c r="A906" s="100" t="s">
        <v>23</v>
      </c>
      <c r="B906" s="100" t="s">
        <v>31</v>
      </c>
      <c r="C906" s="100" t="s">
        <v>27</v>
      </c>
      <c r="D906" s="102">
        <v>45626</v>
      </c>
      <c r="E906" s="103">
        <v>0.6</v>
      </c>
      <c r="F906" s="100">
        <v>0</v>
      </c>
      <c r="G906" s="100" t="s">
        <v>17</v>
      </c>
      <c r="H906" s="103">
        <v>0.7</v>
      </c>
      <c r="I906" s="101">
        <f t="shared" si="16"/>
        <v>-0.10004499775011247</v>
      </c>
    </row>
    <row r="907" spans="1:9" x14ac:dyDescent="0.3">
      <c r="A907" s="100" t="s">
        <v>23</v>
      </c>
      <c r="B907" s="100" t="s">
        <v>31</v>
      </c>
      <c r="C907" s="100" t="s">
        <v>27</v>
      </c>
      <c r="D907" s="102">
        <v>45657</v>
      </c>
      <c r="E907" s="103">
        <v>1</v>
      </c>
      <c r="F907" s="100">
        <v>0</v>
      </c>
      <c r="G907" s="100" t="s">
        <v>17</v>
      </c>
      <c r="H907" s="103">
        <v>0.7</v>
      </c>
      <c r="I907" s="101">
        <f t="shared" si="16"/>
        <v>0.66666666666666674</v>
      </c>
    </row>
    <row r="908" spans="1:9" x14ac:dyDescent="0.3">
      <c r="A908" s="100" t="s">
        <v>23</v>
      </c>
      <c r="B908" s="100" t="s">
        <v>31</v>
      </c>
      <c r="C908" s="100" t="s">
        <v>27</v>
      </c>
      <c r="D908" s="102">
        <v>45688</v>
      </c>
      <c r="E908" s="103">
        <v>0.71430000000000005</v>
      </c>
      <c r="F908" s="100">
        <v>0</v>
      </c>
      <c r="G908" s="100" t="s">
        <v>17</v>
      </c>
      <c r="H908" s="103">
        <v>0.7</v>
      </c>
      <c r="I908" s="101">
        <f t="shared" si="16"/>
        <v>-0.28569999999999995</v>
      </c>
    </row>
    <row r="909" spans="1:9" x14ac:dyDescent="0.3">
      <c r="A909" s="100" t="s">
        <v>23</v>
      </c>
      <c r="B909" s="100" t="s">
        <v>31</v>
      </c>
      <c r="C909" s="100" t="s">
        <v>27</v>
      </c>
      <c r="D909" s="102">
        <v>45716</v>
      </c>
      <c r="E909" s="103">
        <v>0.33329999999999999</v>
      </c>
      <c r="F909" s="100">
        <v>0</v>
      </c>
      <c r="G909" s="100" t="s">
        <v>17</v>
      </c>
      <c r="H909" s="103">
        <v>0.7</v>
      </c>
      <c r="I909" s="101">
        <f t="shared" si="16"/>
        <v>-0.53338933221335583</v>
      </c>
    </row>
    <row r="910" spans="1:9" x14ac:dyDescent="0.3">
      <c r="A910" s="100" t="s">
        <v>23</v>
      </c>
      <c r="B910" s="100" t="s">
        <v>31</v>
      </c>
      <c r="C910" s="100" t="s">
        <v>27</v>
      </c>
      <c r="D910" s="102">
        <v>45747</v>
      </c>
      <c r="E910" s="103">
        <v>1</v>
      </c>
      <c r="F910" s="100">
        <v>0</v>
      </c>
      <c r="G910" s="100" t="s">
        <v>17</v>
      </c>
      <c r="H910" s="103">
        <v>0.7</v>
      </c>
      <c r="I910" s="101">
        <f t="shared" si="16"/>
        <v>2.0003000300030007</v>
      </c>
    </row>
    <row r="911" spans="1:9" x14ac:dyDescent="0.3">
      <c r="A911" s="100" t="s">
        <v>23</v>
      </c>
      <c r="B911" s="100" t="s">
        <v>31</v>
      </c>
      <c r="C911" s="100" t="s">
        <v>27</v>
      </c>
      <c r="D911" s="102">
        <v>45777</v>
      </c>
      <c r="E911" s="103">
        <v>0.85709999999999997</v>
      </c>
      <c r="F911" s="100">
        <v>0</v>
      </c>
      <c r="G911" s="100" t="s">
        <v>17</v>
      </c>
      <c r="H911" s="103">
        <v>0.7</v>
      </c>
      <c r="I911" s="101">
        <f t="shared" si="16"/>
        <v>-0.14290000000000003</v>
      </c>
    </row>
    <row r="912" spans="1:9" x14ac:dyDescent="0.3">
      <c r="A912" s="100" t="s">
        <v>23</v>
      </c>
      <c r="B912" s="100" t="s">
        <v>31</v>
      </c>
      <c r="C912" s="100" t="s">
        <v>27</v>
      </c>
      <c r="D912" s="102">
        <v>45808</v>
      </c>
      <c r="E912" s="103">
        <v>0.4</v>
      </c>
      <c r="F912" s="100">
        <v>0</v>
      </c>
      <c r="G912" s="100" t="s">
        <v>17</v>
      </c>
      <c r="H912" s="103">
        <v>0.7</v>
      </c>
      <c r="I912" s="101">
        <f t="shared" si="16"/>
        <v>-0.53330999883327501</v>
      </c>
    </row>
    <row r="913" spans="1:9" x14ac:dyDescent="0.3">
      <c r="A913" s="100" t="s">
        <v>23</v>
      </c>
      <c r="B913" s="100" t="s">
        <v>31</v>
      </c>
      <c r="C913" s="100" t="s">
        <v>27</v>
      </c>
      <c r="D913" s="102">
        <v>45838</v>
      </c>
      <c r="E913" s="103">
        <v>1</v>
      </c>
      <c r="F913" s="100">
        <v>0</v>
      </c>
      <c r="G913" s="100" t="s">
        <v>17</v>
      </c>
      <c r="H913" s="103">
        <v>0.7</v>
      </c>
      <c r="I913" s="101">
        <f t="shared" si="16"/>
        <v>1.4999999999999998</v>
      </c>
    </row>
    <row r="914" spans="1:9" x14ac:dyDescent="0.3">
      <c r="A914" s="100" t="s">
        <v>23</v>
      </c>
      <c r="B914" s="100" t="s">
        <v>31</v>
      </c>
      <c r="C914" s="100" t="s">
        <v>27</v>
      </c>
      <c r="D914" s="102">
        <v>45869</v>
      </c>
      <c r="E914" s="103">
        <v>1</v>
      </c>
      <c r="F914" s="100">
        <v>0</v>
      </c>
      <c r="G914" s="100" t="s">
        <v>17</v>
      </c>
      <c r="H914" s="103">
        <v>0.7</v>
      </c>
      <c r="I914" s="101">
        <f t="shared" si="16"/>
        <v>0</v>
      </c>
    </row>
    <row r="915" spans="1:9" x14ac:dyDescent="0.3">
      <c r="A915" s="100" t="s">
        <v>23</v>
      </c>
      <c r="B915" s="100" t="s">
        <v>31</v>
      </c>
      <c r="C915" s="100" t="s">
        <v>27</v>
      </c>
      <c r="D915" s="102">
        <v>45900</v>
      </c>
      <c r="E915" s="103">
        <v>0.75</v>
      </c>
      <c r="F915" s="100">
        <v>0</v>
      </c>
      <c r="G915" s="100" t="s">
        <v>17</v>
      </c>
      <c r="H915" s="103">
        <v>0.7</v>
      </c>
      <c r="I915" s="101">
        <f t="shared" si="16"/>
        <v>-0.25</v>
      </c>
    </row>
    <row r="916" spans="1:9" x14ac:dyDescent="0.3">
      <c r="A916" s="100" t="s">
        <v>23</v>
      </c>
      <c r="B916" s="100" t="s">
        <v>31</v>
      </c>
      <c r="C916" s="100" t="s">
        <v>27</v>
      </c>
      <c r="D916" s="102">
        <v>45961</v>
      </c>
      <c r="E916" s="103">
        <v>0.5</v>
      </c>
      <c r="F916" s="100">
        <v>0</v>
      </c>
      <c r="G916" s="100" t="s">
        <v>17</v>
      </c>
      <c r="H916" s="103">
        <v>0.7</v>
      </c>
      <c r="I916" s="101">
        <f t="shared" si="16"/>
        <v>-0.33333333333333331</v>
      </c>
    </row>
    <row r="917" spans="1:9" x14ac:dyDescent="0.3">
      <c r="A917" s="100" t="s">
        <v>23</v>
      </c>
      <c r="B917" s="100" t="s">
        <v>31</v>
      </c>
      <c r="C917" s="100" t="s">
        <v>27</v>
      </c>
      <c r="D917" s="102">
        <v>45991</v>
      </c>
      <c r="E917" s="103">
        <v>0.33300000000000002</v>
      </c>
      <c r="F917" s="100">
        <v>0</v>
      </c>
      <c r="G917" s="100" t="s">
        <v>17</v>
      </c>
      <c r="H917" s="103">
        <v>0.7</v>
      </c>
      <c r="I917" s="101">
        <f t="shared" si="16"/>
        <v>-0.33399999999999996</v>
      </c>
    </row>
    <row r="918" spans="1:9" x14ac:dyDescent="0.3">
      <c r="A918" s="100" t="s">
        <v>10</v>
      </c>
      <c r="B918" s="100" t="s">
        <v>32</v>
      </c>
      <c r="C918" s="100" t="s">
        <v>12</v>
      </c>
      <c r="D918" s="102">
        <v>45535</v>
      </c>
      <c r="E918" s="103">
        <v>0.17165847116674121</v>
      </c>
      <c r="F918" s="100">
        <v>0</v>
      </c>
      <c r="G918" s="100" t="s">
        <v>13</v>
      </c>
      <c r="H918" s="103">
        <v>0.27</v>
      </c>
      <c r="I918" s="101" t="str">
        <f t="shared" si="16"/>
        <v/>
      </c>
    </row>
    <row r="919" spans="1:9" x14ac:dyDescent="0.3">
      <c r="A919" s="100" t="s">
        <v>10</v>
      </c>
      <c r="B919" s="100" t="s">
        <v>32</v>
      </c>
      <c r="C919" s="100" t="s">
        <v>12</v>
      </c>
      <c r="D919" s="102">
        <v>45565</v>
      </c>
      <c r="E919" s="103">
        <v>0.1707264496658763</v>
      </c>
      <c r="F919" s="100">
        <v>0</v>
      </c>
      <c r="G919" s="100" t="s">
        <v>13</v>
      </c>
      <c r="H919" s="103">
        <v>0.27</v>
      </c>
      <c r="I919" s="101">
        <f t="shared" si="16"/>
        <v>5.4295106704031343E-3</v>
      </c>
    </row>
    <row r="920" spans="1:9" x14ac:dyDescent="0.3">
      <c r="A920" s="100" t="s">
        <v>10</v>
      </c>
      <c r="B920" s="100" t="s">
        <v>32</v>
      </c>
      <c r="C920" s="100" t="s">
        <v>12</v>
      </c>
      <c r="D920" s="102">
        <v>45596</v>
      </c>
      <c r="E920" s="103">
        <v>0.17562254259501969</v>
      </c>
      <c r="F920" s="100">
        <v>0</v>
      </c>
      <c r="G920" s="100" t="s">
        <v>13</v>
      </c>
      <c r="H920" s="103">
        <v>0.27</v>
      </c>
      <c r="I920" s="101">
        <f t="shared" si="16"/>
        <v>-2.8677998861485088E-2</v>
      </c>
    </row>
    <row r="921" spans="1:9" x14ac:dyDescent="0.3">
      <c r="A921" s="100" t="s">
        <v>10</v>
      </c>
      <c r="B921" s="100" t="s">
        <v>32</v>
      </c>
      <c r="C921" s="100" t="s">
        <v>12</v>
      </c>
      <c r="D921" s="102">
        <v>45626</v>
      </c>
      <c r="E921" s="103">
        <v>0.18030948599999999</v>
      </c>
      <c r="F921" s="100">
        <v>0</v>
      </c>
      <c r="G921" s="100" t="s">
        <v>13</v>
      </c>
      <c r="H921" s="103">
        <v>0.27</v>
      </c>
      <c r="I921" s="101">
        <f t="shared" si="16"/>
        <v>-2.6687595656716172E-2</v>
      </c>
    </row>
    <row r="922" spans="1:9" x14ac:dyDescent="0.3">
      <c r="A922" s="100" t="s">
        <v>10</v>
      </c>
      <c r="B922" s="100" t="s">
        <v>32</v>
      </c>
      <c r="C922" s="100" t="s">
        <v>12</v>
      </c>
      <c r="D922" s="102">
        <v>45657</v>
      </c>
      <c r="E922" s="103">
        <v>0.1780250347705146</v>
      </c>
      <c r="F922" s="100">
        <v>0</v>
      </c>
      <c r="G922" s="100" t="s">
        <v>13</v>
      </c>
      <c r="H922" s="103">
        <v>0.27</v>
      </c>
      <c r="I922" s="101">
        <f t="shared" si="16"/>
        <v>1.2669612010792355E-2</v>
      </c>
    </row>
    <row r="923" spans="1:9" x14ac:dyDescent="0.3">
      <c r="A923" s="100" t="s">
        <v>10</v>
      </c>
      <c r="B923" s="100" t="s">
        <v>32</v>
      </c>
      <c r="C923" s="100" t="s">
        <v>12</v>
      </c>
      <c r="D923" s="102">
        <v>45688</v>
      </c>
      <c r="E923" s="103">
        <v>0.1737032569360675</v>
      </c>
      <c r="F923" s="100">
        <v>0</v>
      </c>
      <c r="G923" s="100" t="s">
        <v>13</v>
      </c>
      <c r="H923" s="103">
        <v>0.27</v>
      </c>
      <c r="I923" s="101">
        <f t="shared" si="16"/>
        <v>2.4276236429433284E-2</v>
      </c>
    </row>
    <row r="924" spans="1:9" x14ac:dyDescent="0.3">
      <c r="A924" s="100" t="s">
        <v>10</v>
      </c>
      <c r="B924" s="100" t="s">
        <v>32</v>
      </c>
      <c r="C924" s="100" t="s">
        <v>12</v>
      </c>
      <c r="D924" s="102">
        <v>45716</v>
      </c>
      <c r="E924" s="103">
        <v>0.1672579827673594</v>
      </c>
      <c r="F924" s="100">
        <v>0</v>
      </c>
      <c r="G924" s="100" t="s">
        <v>13</v>
      </c>
      <c r="H924" s="103">
        <v>0.27</v>
      </c>
      <c r="I924" s="101">
        <f t="shared" si="16"/>
        <v>3.7105085318465417E-2</v>
      </c>
    </row>
    <row r="925" spans="1:9" x14ac:dyDescent="0.3">
      <c r="A925" s="100" t="s">
        <v>10</v>
      </c>
      <c r="B925" s="100" t="s">
        <v>32</v>
      </c>
      <c r="C925" s="100" t="s">
        <v>12</v>
      </c>
      <c r="D925" s="102">
        <v>45747</v>
      </c>
      <c r="E925" s="103">
        <v>0.16085790884718501</v>
      </c>
      <c r="F925" s="100">
        <v>0</v>
      </c>
      <c r="G925" s="100" t="s">
        <v>13</v>
      </c>
      <c r="H925" s="103">
        <v>0.27</v>
      </c>
      <c r="I925" s="101">
        <f t="shared" si="16"/>
        <v>3.8264684377285037E-2</v>
      </c>
    </row>
    <row r="926" spans="1:9" x14ac:dyDescent="0.3">
      <c r="A926" s="100" t="s">
        <v>10</v>
      </c>
      <c r="B926" s="100" t="s">
        <v>32</v>
      </c>
      <c r="C926" s="100" t="s">
        <v>12</v>
      </c>
      <c r="D926" s="102">
        <v>45777</v>
      </c>
      <c r="E926" s="103">
        <v>0.157849585358879</v>
      </c>
      <c r="F926" s="100">
        <v>0</v>
      </c>
      <c r="G926" s="100" t="s">
        <v>13</v>
      </c>
      <c r="H926" s="103">
        <v>0.27</v>
      </c>
      <c r="I926" s="101">
        <f t="shared" si="16"/>
        <v>1.8701744352302384E-2</v>
      </c>
    </row>
    <row r="927" spans="1:9" x14ac:dyDescent="0.3">
      <c r="A927" s="100" t="s">
        <v>10</v>
      </c>
      <c r="B927" s="100" t="s">
        <v>32</v>
      </c>
      <c r="C927" s="100" t="s">
        <v>12</v>
      </c>
      <c r="D927" s="102">
        <v>45808</v>
      </c>
      <c r="E927" s="103">
        <v>0.15403422982885079</v>
      </c>
      <c r="F927" s="100">
        <v>0</v>
      </c>
      <c r="G927" s="100" t="s">
        <v>13</v>
      </c>
      <c r="H927" s="103">
        <v>0.27</v>
      </c>
      <c r="I927" s="101">
        <f t="shared" si="16"/>
        <v>2.4170830232805522E-2</v>
      </c>
    </row>
    <row r="928" spans="1:9" x14ac:dyDescent="0.3">
      <c r="A928" s="100" t="s">
        <v>10</v>
      </c>
      <c r="B928" s="100" t="s">
        <v>32</v>
      </c>
      <c r="C928" s="100" t="s">
        <v>12</v>
      </c>
      <c r="D928" s="102">
        <v>45838</v>
      </c>
      <c r="E928" s="103">
        <v>0.1661173368490442</v>
      </c>
      <c r="F928" s="100">
        <v>0</v>
      </c>
      <c r="G928" s="100" t="s">
        <v>13</v>
      </c>
      <c r="H928" s="103">
        <v>0.27</v>
      </c>
      <c r="I928" s="101">
        <f t="shared" si="16"/>
        <v>-7.8444297956493769E-2</v>
      </c>
    </row>
    <row r="929" spans="1:9" x14ac:dyDescent="0.3">
      <c r="A929" s="100" t="s">
        <v>10</v>
      </c>
      <c r="B929" s="100" t="s">
        <v>32</v>
      </c>
      <c r="C929" s="100" t="s">
        <v>12</v>
      </c>
      <c r="D929" s="102">
        <v>45869</v>
      </c>
      <c r="E929" s="103">
        <v>0.17069701280227589</v>
      </c>
      <c r="F929" s="100">
        <v>0</v>
      </c>
      <c r="G929" s="100" t="s">
        <v>13</v>
      </c>
      <c r="H929" s="103">
        <v>0.27</v>
      </c>
      <c r="I929" s="101">
        <f t="shared" si="16"/>
        <v>-2.7568922305763799E-2</v>
      </c>
    </row>
    <row r="930" spans="1:9" x14ac:dyDescent="0.3">
      <c r="A930" s="100" t="s">
        <v>10</v>
      </c>
      <c r="B930" s="100" t="s">
        <v>32</v>
      </c>
      <c r="C930" s="100" t="s">
        <v>12</v>
      </c>
      <c r="D930" s="102">
        <v>45900</v>
      </c>
      <c r="E930" s="103">
        <v>0.17378048780487809</v>
      </c>
      <c r="F930" s="100">
        <v>0</v>
      </c>
      <c r="G930" s="100" t="s">
        <v>13</v>
      </c>
      <c r="H930" s="103">
        <v>0.27</v>
      </c>
      <c r="I930" s="101">
        <f t="shared" si="16"/>
        <v>-1.8064024390244553E-2</v>
      </c>
    </row>
    <row r="931" spans="1:9" x14ac:dyDescent="0.3">
      <c r="A931" s="100" t="s">
        <v>10</v>
      </c>
      <c r="B931" s="100" t="s">
        <v>32</v>
      </c>
      <c r="C931" s="100" t="s">
        <v>12</v>
      </c>
      <c r="D931" s="102">
        <v>45930</v>
      </c>
      <c r="E931" s="103">
        <v>0.1791767554479419</v>
      </c>
      <c r="F931" s="100">
        <v>0</v>
      </c>
      <c r="G931" s="100" t="s">
        <v>13</v>
      </c>
      <c r="H931" s="103">
        <v>0.27</v>
      </c>
      <c r="I931" s="101">
        <f t="shared" si="16"/>
        <v>-3.1052206788156636E-2</v>
      </c>
    </row>
    <row r="932" spans="1:9" x14ac:dyDescent="0.3">
      <c r="A932" s="100" t="s">
        <v>10</v>
      </c>
      <c r="B932" s="100" t="s">
        <v>32</v>
      </c>
      <c r="C932" s="100" t="s">
        <v>12</v>
      </c>
      <c r="D932" s="102">
        <v>45961</v>
      </c>
      <c r="E932" s="103">
        <v>0.1892901618929016</v>
      </c>
      <c r="F932" s="100">
        <v>0</v>
      </c>
      <c r="G932" s="100" t="s">
        <v>13</v>
      </c>
      <c r="H932" s="103">
        <v>0.27</v>
      </c>
      <c r="I932" s="101">
        <f t="shared" si="16"/>
        <v>-5.6443741375248047E-2</v>
      </c>
    </row>
    <row r="933" spans="1:9" x14ac:dyDescent="0.3">
      <c r="A933" s="100" t="s">
        <v>10</v>
      </c>
      <c r="B933" s="100" t="s">
        <v>32</v>
      </c>
      <c r="C933" s="100" t="s">
        <v>12</v>
      </c>
      <c r="D933" s="102">
        <v>45991</v>
      </c>
      <c r="E933" s="103">
        <v>0.18950064020486559</v>
      </c>
      <c r="F933" s="100">
        <v>0</v>
      </c>
      <c r="G933" s="100" t="s">
        <v>13</v>
      </c>
      <c r="H933" s="103">
        <v>0.27</v>
      </c>
      <c r="I933" s="101">
        <f t="shared" si="16"/>
        <v>-1.1119347664940071E-3</v>
      </c>
    </row>
    <row r="934" spans="1:9" x14ac:dyDescent="0.3">
      <c r="A934" s="100" t="s">
        <v>10</v>
      </c>
      <c r="B934" s="100" t="s">
        <v>32</v>
      </c>
      <c r="C934" s="100" t="s">
        <v>14</v>
      </c>
      <c r="D934" s="102">
        <v>45535</v>
      </c>
      <c r="E934" s="103">
        <v>7.5512405609492989E-2</v>
      </c>
      <c r="F934" s="100">
        <v>0</v>
      </c>
      <c r="G934" s="100" t="s">
        <v>13</v>
      </c>
      <c r="H934" s="103">
        <v>5.3999999999999999E-2</v>
      </c>
      <c r="I934" s="101" t="str">
        <f t="shared" si="16"/>
        <v/>
      </c>
    </row>
    <row r="935" spans="1:9" x14ac:dyDescent="0.3">
      <c r="A935" s="100" t="s">
        <v>10</v>
      </c>
      <c r="B935" s="100" t="s">
        <v>32</v>
      </c>
      <c r="C935" s="100" t="s">
        <v>14</v>
      </c>
      <c r="D935" s="102">
        <v>45565</v>
      </c>
      <c r="E935" s="103">
        <v>7.6759061833688705E-2</v>
      </c>
      <c r="F935" s="100">
        <v>0</v>
      </c>
      <c r="G935" s="100" t="s">
        <v>13</v>
      </c>
      <c r="H935" s="103">
        <v>5.3999999999999999E-2</v>
      </c>
      <c r="I935" s="101">
        <f t="shared" si="16"/>
        <v>-1.6509290283277557E-2</v>
      </c>
    </row>
    <row r="936" spans="1:9" x14ac:dyDescent="0.3">
      <c r="A936" s="100" t="s">
        <v>10</v>
      </c>
      <c r="B936" s="100" t="s">
        <v>32</v>
      </c>
      <c r="C936" s="100" t="s">
        <v>14</v>
      </c>
      <c r="D936" s="102">
        <v>45596</v>
      </c>
      <c r="E936" s="103">
        <v>6.1767838125665601E-2</v>
      </c>
      <c r="F936" s="100">
        <v>0</v>
      </c>
      <c r="G936" s="100" t="s">
        <v>13</v>
      </c>
      <c r="H936" s="103">
        <v>5.3999999999999999E-2</v>
      </c>
      <c r="I936" s="101">
        <f t="shared" si="16"/>
        <v>0.19530233108507875</v>
      </c>
    </row>
    <row r="937" spans="1:9" x14ac:dyDescent="0.3">
      <c r="A937" s="100" t="s">
        <v>10</v>
      </c>
      <c r="B937" s="100" t="s">
        <v>32</v>
      </c>
      <c r="C937" s="100" t="s">
        <v>14</v>
      </c>
      <c r="D937" s="102">
        <v>45626</v>
      </c>
      <c r="E937" s="103">
        <v>5.8885383999999999E-2</v>
      </c>
      <c r="F937" s="100">
        <v>0</v>
      </c>
      <c r="G937" s="100" t="s">
        <v>13</v>
      </c>
      <c r="H937" s="103">
        <v>5.3999999999999999E-2</v>
      </c>
      <c r="I937" s="101">
        <f t="shared" si="16"/>
        <v>4.6665938344827601E-2</v>
      </c>
    </row>
    <row r="938" spans="1:9" x14ac:dyDescent="0.3">
      <c r="A938" s="100" t="s">
        <v>10</v>
      </c>
      <c r="B938" s="100" t="s">
        <v>32</v>
      </c>
      <c r="C938" s="100" t="s">
        <v>14</v>
      </c>
      <c r="D938" s="102">
        <v>45657</v>
      </c>
      <c r="E938" s="103">
        <v>5.9071729957805907E-2</v>
      </c>
      <c r="F938" s="100">
        <v>0</v>
      </c>
      <c r="G938" s="100" t="s">
        <v>13</v>
      </c>
      <c r="H938" s="103">
        <v>5.3999999999999999E-2</v>
      </c>
      <c r="I938" s="101">
        <f t="shared" si="16"/>
        <v>-3.1645536659132335E-3</v>
      </c>
    </row>
    <row r="939" spans="1:9" x14ac:dyDescent="0.3">
      <c r="A939" s="100" t="s">
        <v>10</v>
      </c>
      <c r="B939" s="100" t="s">
        <v>32</v>
      </c>
      <c r="C939" s="100" t="s">
        <v>14</v>
      </c>
      <c r="D939" s="102">
        <v>45688</v>
      </c>
      <c r="E939" s="103">
        <v>5.9190031152647968E-2</v>
      </c>
      <c r="F939" s="100">
        <v>0</v>
      </c>
      <c r="G939" s="100" t="s">
        <v>13</v>
      </c>
      <c r="H939" s="103">
        <v>5.3999999999999999E-2</v>
      </c>
      <c r="I939" s="101">
        <f t="shared" si="16"/>
        <v>-2.0026702269691646E-3</v>
      </c>
    </row>
    <row r="940" spans="1:9" x14ac:dyDescent="0.3">
      <c r="A940" s="100" t="s">
        <v>10</v>
      </c>
      <c r="B940" s="100" t="s">
        <v>32</v>
      </c>
      <c r="C940" s="100" t="s">
        <v>14</v>
      </c>
      <c r="D940" s="102">
        <v>45716</v>
      </c>
      <c r="E940" s="103">
        <v>6.5775950668037E-2</v>
      </c>
      <c r="F940" s="100">
        <v>0</v>
      </c>
      <c r="G940" s="100" t="s">
        <v>13</v>
      </c>
      <c r="H940" s="103">
        <v>5.3999999999999999E-2</v>
      </c>
      <c r="I940" s="101">
        <f t="shared" si="16"/>
        <v>-0.11126737707578314</v>
      </c>
    </row>
    <row r="941" spans="1:9" x14ac:dyDescent="0.3">
      <c r="A941" s="100" t="s">
        <v>10</v>
      </c>
      <c r="B941" s="100" t="s">
        <v>32</v>
      </c>
      <c r="C941" s="100" t="s">
        <v>14</v>
      </c>
      <c r="D941" s="102">
        <v>45747</v>
      </c>
      <c r="E941" s="103">
        <v>6.5439672801635998E-2</v>
      </c>
      <c r="F941" s="100">
        <v>0</v>
      </c>
      <c r="G941" s="100" t="s">
        <v>13</v>
      </c>
      <c r="H941" s="103">
        <v>5.3999999999999999E-2</v>
      </c>
      <c r="I941" s="101">
        <f t="shared" si="16"/>
        <v>5.1124744376277401E-3</v>
      </c>
    </row>
    <row r="942" spans="1:9" x14ac:dyDescent="0.3">
      <c r="A942" s="100" t="s">
        <v>10</v>
      </c>
      <c r="B942" s="100" t="s">
        <v>32</v>
      </c>
      <c r="C942" s="100" t="s">
        <v>14</v>
      </c>
      <c r="D942" s="102">
        <v>45777</v>
      </c>
      <c r="E942" s="103">
        <v>6.7882472137791292E-2</v>
      </c>
      <c r="F942" s="100">
        <v>0</v>
      </c>
      <c r="G942" s="100" t="s">
        <v>13</v>
      </c>
      <c r="H942" s="103">
        <v>5.3999999999999999E-2</v>
      </c>
      <c r="I942" s="101">
        <f t="shared" si="16"/>
        <v>-3.7329027355623073E-2</v>
      </c>
    </row>
    <row r="943" spans="1:9" x14ac:dyDescent="0.3">
      <c r="A943" s="100" t="s">
        <v>10</v>
      </c>
      <c r="B943" s="100" t="s">
        <v>32</v>
      </c>
      <c r="C943" s="100" t="s">
        <v>14</v>
      </c>
      <c r="D943" s="102">
        <v>45808</v>
      </c>
      <c r="E943" s="103">
        <v>5.0359712230215833E-2</v>
      </c>
      <c r="F943" s="100">
        <v>0</v>
      </c>
      <c r="G943" s="100" t="s">
        <v>13</v>
      </c>
      <c r="H943" s="103">
        <v>5.3999999999999999E-2</v>
      </c>
      <c r="I943" s="101">
        <f t="shared" si="16"/>
        <v>0.25813379147428323</v>
      </c>
    </row>
    <row r="944" spans="1:9" x14ac:dyDescent="0.3">
      <c r="A944" s="100" t="s">
        <v>10</v>
      </c>
      <c r="B944" s="100" t="s">
        <v>32</v>
      </c>
      <c r="C944" s="100" t="s">
        <v>14</v>
      </c>
      <c r="D944" s="102">
        <v>45838</v>
      </c>
      <c r="E944" s="103">
        <v>4.49438202247191E-2</v>
      </c>
      <c r="F944" s="100">
        <v>0</v>
      </c>
      <c r="G944" s="100" t="s">
        <v>13</v>
      </c>
      <c r="H944" s="103">
        <v>5.3999999999999999E-2</v>
      </c>
      <c r="I944" s="101">
        <f t="shared" si="16"/>
        <v>0.10754414125200655</v>
      </c>
    </row>
    <row r="945" spans="1:9" x14ac:dyDescent="0.3">
      <c r="A945" s="100" t="s">
        <v>10</v>
      </c>
      <c r="B945" s="100" t="s">
        <v>32</v>
      </c>
      <c r="C945" s="100" t="s">
        <v>14</v>
      </c>
      <c r="D945" s="102">
        <v>45869</v>
      </c>
      <c r="E945" s="103">
        <v>4.6464646464646472E-2</v>
      </c>
      <c r="F945" s="100">
        <v>0</v>
      </c>
      <c r="G945" s="100" t="s">
        <v>13</v>
      </c>
      <c r="H945" s="103">
        <v>5.3999999999999999E-2</v>
      </c>
      <c r="I945" s="101">
        <f t="shared" si="16"/>
        <v>-3.3838383838384042E-2</v>
      </c>
    </row>
    <row r="946" spans="1:9" x14ac:dyDescent="0.3">
      <c r="A946" s="100" t="s">
        <v>10</v>
      </c>
      <c r="B946" s="100" t="s">
        <v>32</v>
      </c>
      <c r="C946" s="100" t="s">
        <v>14</v>
      </c>
      <c r="D946" s="102">
        <v>45900</v>
      </c>
      <c r="E946" s="103">
        <v>5.9701492537313432E-2</v>
      </c>
      <c r="F946" s="100">
        <v>0</v>
      </c>
      <c r="G946" s="100" t="s">
        <v>13</v>
      </c>
      <c r="H946" s="103">
        <v>5.3999999999999999E-2</v>
      </c>
      <c r="I946" s="101">
        <f t="shared" si="16"/>
        <v>-0.28487994808565842</v>
      </c>
    </row>
    <row r="947" spans="1:9" x14ac:dyDescent="0.3">
      <c r="A947" s="100" t="s">
        <v>10</v>
      </c>
      <c r="B947" s="100" t="s">
        <v>32</v>
      </c>
      <c r="C947" s="100" t="s">
        <v>14</v>
      </c>
      <c r="D947" s="102">
        <v>45930</v>
      </c>
      <c r="E947" s="103">
        <v>5.3053053053053051E-2</v>
      </c>
      <c r="F947" s="100">
        <v>0</v>
      </c>
      <c r="G947" s="100" t="s">
        <v>13</v>
      </c>
      <c r="H947" s="103">
        <v>5.3999999999999999E-2</v>
      </c>
      <c r="I947" s="101">
        <f t="shared" si="16"/>
        <v>0.11136136136136138</v>
      </c>
    </row>
    <row r="948" spans="1:9" x14ac:dyDescent="0.3">
      <c r="A948" s="100" t="s">
        <v>10</v>
      </c>
      <c r="B948" s="100" t="s">
        <v>32</v>
      </c>
      <c r="C948" s="100" t="s">
        <v>14</v>
      </c>
      <c r="D948" s="102">
        <v>45961</v>
      </c>
      <c r="E948" s="103">
        <v>5.7711442786069649E-2</v>
      </c>
      <c r="F948" s="100">
        <v>0</v>
      </c>
      <c r="G948" s="100" t="s">
        <v>13</v>
      </c>
      <c r="H948" s="103">
        <v>5.3999999999999999E-2</v>
      </c>
      <c r="I948" s="101">
        <f t="shared" si="16"/>
        <v>-8.7806251760067566E-2</v>
      </c>
    </row>
    <row r="949" spans="1:9" x14ac:dyDescent="0.3">
      <c r="A949" s="100" t="s">
        <v>10</v>
      </c>
      <c r="B949" s="100" t="s">
        <v>32</v>
      </c>
      <c r="C949" s="100" t="s">
        <v>14</v>
      </c>
      <c r="D949" s="102">
        <v>45991</v>
      </c>
      <c r="E949" s="103">
        <v>5.5118110236220472E-2</v>
      </c>
      <c r="F949" s="100">
        <v>0</v>
      </c>
      <c r="G949" s="100" t="s">
        <v>13</v>
      </c>
      <c r="H949" s="103">
        <v>5.3999999999999999E-2</v>
      </c>
      <c r="I949" s="101">
        <f t="shared" si="16"/>
        <v>4.4936193320662461E-2</v>
      </c>
    </row>
    <row r="950" spans="1:9" x14ac:dyDescent="0.3">
      <c r="A950" s="100" t="s">
        <v>10</v>
      </c>
      <c r="B950" s="100" t="s">
        <v>32</v>
      </c>
      <c r="C950" s="100" t="s">
        <v>15</v>
      </c>
      <c r="D950" s="102">
        <v>45535</v>
      </c>
      <c r="E950" s="103">
        <v>6.9277108433734941E-2</v>
      </c>
      <c r="F950" s="100">
        <v>0</v>
      </c>
      <c r="G950" s="100" t="s">
        <v>13</v>
      </c>
      <c r="H950" s="103">
        <v>6.6000000000000003E-2</v>
      </c>
      <c r="I950" s="101" t="str">
        <f t="shared" si="16"/>
        <v/>
      </c>
    </row>
    <row r="951" spans="1:9" x14ac:dyDescent="0.3">
      <c r="A951" s="100" t="s">
        <v>10</v>
      </c>
      <c r="B951" s="100" t="s">
        <v>32</v>
      </c>
      <c r="C951" s="100" t="s">
        <v>15</v>
      </c>
      <c r="D951" s="102">
        <v>45565</v>
      </c>
      <c r="E951" s="103">
        <v>9.9431818181818177E-2</v>
      </c>
      <c r="F951" s="100">
        <v>0</v>
      </c>
      <c r="G951" s="100" t="s">
        <v>13</v>
      </c>
      <c r="H951" s="103">
        <v>6.6000000000000003E-2</v>
      </c>
      <c r="I951" s="101">
        <f t="shared" si="16"/>
        <v>-0.43527667984189716</v>
      </c>
    </row>
    <row r="952" spans="1:9" x14ac:dyDescent="0.3">
      <c r="A952" s="100" t="s">
        <v>10</v>
      </c>
      <c r="B952" s="100" t="s">
        <v>32</v>
      </c>
      <c r="C952" s="100" t="s">
        <v>15</v>
      </c>
      <c r="D952" s="102">
        <v>45596</v>
      </c>
      <c r="E952" s="103">
        <v>7.8651685393258425E-2</v>
      </c>
      <c r="F952" s="100">
        <v>0</v>
      </c>
      <c r="G952" s="100" t="s">
        <v>13</v>
      </c>
      <c r="H952" s="103">
        <v>6.6000000000000003E-2</v>
      </c>
      <c r="I952" s="101">
        <f t="shared" si="16"/>
        <v>0.20898876404494379</v>
      </c>
    </row>
    <row r="953" spans="1:9" x14ac:dyDescent="0.3">
      <c r="A953" s="100" t="s">
        <v>10</v>
      </c>
      <c r="B953" s="100" t="s">
        <v>32</v>
      </c>
      <c r="C953" s="100" t="s">
        <v>15</v>
      </c>
      <c r="D953" s="102">
        <v>45626</v>
      </c>
      <c r="E953" s="103">
        <v>5.8988763999999999E-2</v>
      </c>
      <c r="F953" s="100">
        <v>0</v>
      </c>
      <c r="G953" s="100" t="s">
        <v>13</v>
      </c>
      <c r="H953" s="103">
        <v>6.6000000000000003E-2</v>
      </c>
      <c r="I953" s="101">
        <f t="shared" si="16"/>
        <v>0.25000000057142857</v>
      </c>
    </row>
    <row r="954" spans="1:9" x14ac:dyDescent="0.3">
      <c r="A954" s="100" t="s">
        <v>10</v>
      </c>
      <c r="B954" s="100" t="s">
        <v>32</v>
      </c>
      <c r="C954" s="100" t="s">
        <v>15</v>
      </c>
      <c r="D954" s="102">
        <v>45657</v>
      </c>
      <c r="E954" s="103">
        <v>7.2222222222222215E-2</v>
      </c>
      <c r="F954" s="100">
        <v>0</v>
      </c>
      <c r="G954" s="100" t="s">
        <v>13</v>
      </c>
      <c r="H954" s="103">
        <v>6.6000000000000003E-2</v>
      </c>
      <c r="I954" s="101">
        <f t="shared" si="16"/>
        <v>-0.22433862527145368</v>
      </c>
    </row>
    <row r="955" spans="1:9" x14ac:dyDescent="0.3">
      <c r="A955" s="100" t="s">
        <v>10</v>
      </c>
      <c r="B955" s="100" t="s">
        <v>32</v>
      </c>
      <c r="C955" s="100" t="s">
        <v>15</v>
      </c>
      <c r="D955" s="102">
        <v>45688</v>
      </c>
      <c r="E955" s="103">
        <v>6.2330623306233061E-2</v>
      </c>
      <c r="F955" s="100">
        <v>0</v>
      </c>
      <c r="G955" s="100" t="s">
        <v>13</v>
      </c>
      <c r="H955" s="103">
        <v>6.6000000000000003E-2</v>
      </c>
      <c r="I955" s="101">
        <f t="shared" si="16"/>
        <v>0.13696060037523444</v>
      </c>
    </row>
    <row r="956" spans="1:9" x14ac:dyDescent="0.3">
      <c r="A956" s="100" t="s">
        <v>10</v>
      </c>
      <c r="B956" s="100" t="s">
        <v>32</v>
      </c>
      <c r="C956" s="100" t="s">
        <v>15</v>
      </c>
      <c r="D956" s="102">
        <v>45716</v>
      </c>
      <c r="E956" s="103">
        <v>6.6489361702127658E-2</v>
      </c>
      <c r="F956" s="100">
        <v>0</v>
      </c>
      <c r="G956" s="100" t="s">
        <v>13</v>
      </c>
      <c r="H956" s="103">
        <v>6.6000000000000003E-2</v>
      </c>
      <c r="I956" s="101">
        <f t="shared" si="16"/>
        <v>-6.6720629047178528E-2</v>
      </c>
    </row>
    <row r="957" spans="1:9" x14ac:dyDescent="0.3">
      <c r="A957" s="100" t="s">
        <v>10</v>
      </c>
      <c r="B957" s="100" t="s">
        <v>32</v>
      </c>
      <c r="C957" s="100" t="s">
        <v>15</v>
      </c>
      <c r="D957" s="102">
        <v>45747</v>
      </c>
      <c r="E957" s="103">
        <v>6.8783068783068779E-2</v>
      </c>
      <c r="F957" s="100">
        <v>0</v>
      </c>
      <c r="G957" s="100" t="s">
        <v>13</v>
      </c>
      <c r="H957" s="103">
        <v>6.6000000000000003E-2</v>
      </c>
      <c r="I957" s="101">
        <f t="shared" si="16"/>
        <v>-3.4497354497354457E-2</v>
      </c>
    </row>
    <row r="958" spans="1:9" x14ac:dyDescent="0.3">
      <c r="A958" s="100" t="s">
        <v>10</v>
      </c>
      <c r="B958" s="100" t="s">
        <v>32</v>
      </c>
      <c r="C958" s="100" t="s">
        <v>15</v>
      </c>
      <c r="D958" s="102">
        <v>45777</v>
      </c>
      <c r="E958" s="103">
        <v>6.4000000000000001E-2</v>
      </c>
      <c r="F958" s="100">
        <v>0</v>
      </c>
      <c r="G958" s="100" t="s">
        <v>13</v>
      </c>
      <c r="H958" s="103">
        <v>6.6000000000000003E-2</v>
      </c>
      <c r="I958" s="101">
        <f t="shared" si="16"/>
        <v>6.9538461538461466E-2</v>
      </c>
    </row>
    <row r="959" spans="1:9" x14ac:dyDescent="0.3">
      <c r="A959" s="100" t="s">
        <v>10</v>
      </c>
      <c r="B959" s="100" t="s">
        <v>32</v>
      </c>
      <c r="C959" s="100" t="s">
        <v>15</v>
      </c>
      <c r="D959" s="102">
        <v>45808</v>
      </c>
      <c r="E959" s="103">
        <v>4.3126684636118601E-2</v>
      </c>
      <c r="F959" s="100">
        <v>0</v>
      </c>
      <c r="G959" s="100" t="s">
        <v>13</v>
      </c>
      <c r="H959" s="103">
        <v>6.6000000000000003E-2</v>
      </c>
      <c r="I959" s="101">
        <f t="shared" si="16"/>
        <v>0.32614555256064687</v>
      </c>
    </row>
    <row r="960" spans="1:9" x14ac:dyDescent="0.3">
      <c r="A960" s="100" t="s">
        <v>10</v>
      </c>
      <c r="B960" s="100" t="s">
        <v>32</v>
      </c>
      <c r="C960" s="100" t="s">
        <v>15</v>
      </c>
      <c r="D960" s="102">
        <v>45838</v>
      </c>
      <c r="E960" s="103">
        <v>4.8387096774193547E-2</v>
      </c>
      <c r="F960" s="100">
        <v>0</v>
      </c>
      <c r="G960" s="100" t="s">
        <v>13</v>
      </c>
      <c r="H960" s="103">
        <v>6.6000000000000003E-2</v>
      </c>
      <c r="I960" s="101">
        <f t="shared" si="16"/>
        <v>-0.12197580645161281</v>
      </c>
    </row>
    <row r="961" spans="1:9" x14ac:dyDescent="0.3">
      <c r="A961" s="100" t="s">
        <v>10</v>
      </c>
      <c r="B961" s="100" t="s">
        <v>32</v>
      </c>
      <c r="C961" s="100" t="s">
        <v>15</v>
      </c>
      <c r="D961" s="102">
        <v>45869</v>
      </c>
      <c r="E961" s="103">
        <v>4.7872340425531908E-2</v>
      </c>
      <c r="F961" s="100">
        <v>0</v>
      </c>
      <c r="G961" s="100" t="s">
        <v>13</v>
      </c>
      <c r="H961" s="103">
        <v>6.6000000000000003E-2</v>
      </c>
      <c r="I961" s="101">
        <f t="shared" si="16"/>
        <v>1.0638297872340548E-2</v>
      </c>
    </row>
    <row r="962" spans="1:9" x14ac:dyDescent="0.3">
      <c r="A962" s="100" t="s">
        <v>10</v>
      </c>
      <c r="B962" s="100" t="s">
        <v>32</v>
      </c>
      <c r="C962" s="100" t="s">
        <v>15</v>
      </c>
      <c r="D962" s="102">
        <v>45900</v>
      </c>
      <c r="E962" s="103">
        <v>8.6956521739130432E-2</v>
      </c>
      <c r="F962" s="100">
        <v>0</v>
      </c>
      <c r="G962" s="100" t="s">
        <v>13</v>
      </c>
      <c r="H962" s="103">
        <v>6.6000000000000003E-2</v>
      </c>
      <c r="I962" s="101">
        <f t="shared" si="16"/>
        <v>-0.81642512077294704</v>
      </c>
    </row>
    <row r="963" spans="1:9" x14ac:dyDescent="0.3">
      <c r="A963" s="100" t="s">
        <v>10</v>
      </c>
      <c r="B963" s="100" t="s">
        <v>32</v>
      </c>
      <c r="C963" s="100" t="s">
        <v>15</v>
      </c>
      <c r="D963" s="102">
        <v>45930</v>
      </c>
      <c r="E963" s="103">
        <v>7.9487179487179482E-2</v>
      </c>
      <c r="F963" s="100">
        <v>0</v>
      </c>
      <c r="G963" s="100" t="s">
        <v>13</v>
      </c>
      <c r="H963" s="103">
        <v>6.6000000000000003E-2</v>
      </c>
      <c r="I963" s="101">
        <f t="shared" ref="I963:I1026" si="17">IF(OR(B963&lt;&gt;B962,C963&lt;&gt;C962),"",IF(E962=0,"",IF(G963="UP",(E963-E962)/E962,-((E963-E962)/E962))))</f>
        <v>8.5897435897435925E-2</v>
      </c>
    </row>
    <row r="964" spans="1:9" x14ac:dyDescent="0.3">
      <c r="A964" s="100" t="s">
        <v>10</v>
      </c>
      <c r="B964" s="100" t="s">
        <v>32</v>
      </c>
      <c r="C964" s="100" t="s">
        <v>15</v>
      </c>
      <c r="D964" s="102">
        <v>45961</v>
      </c>
      <c r="E964" s="103">
        <v>7.3417721518987344E-2</v>
      </c>
      <c r="F964" s="100">
        <v>0</v>
      </c>
      <c r="G964" s="100" t="s">
        <v>13</v>
      </c>
      <c r="H964" s="103">
        <v>6.6000000000000003E-2</v>
      </c>
      <c r="I964" s="101">
        <f t="shared" si="17"/>
        <v>7.6357697019191415E-2</v>
      </c>
    </row>
    <row r="965" spans="1:9" x14ac:dyDescent="0.3">
      <c r="A965" s="100" t="s">
        <v>10</v>
      </c>
      <c r="B965" s="100" t="s">
        <v>32</v>
      </c>
      <c r="C965" s="100" t="s">
        <v>15</v>
      </c>
      <c r="D965" s="102">
        <v>45991</v>
      </c>
      <c r="E965" s="103">
        <v>6.6666666666666666E-2</v>
      </c>
      <c r="F965" s="100">
        <v>0</v>
      </c>
      <c r="G965" s="100" t="s">
        <v>13</v>
      </c>
      <c r="H965" s="103">
        <v>6.6000000000000003E-2</v>
      </c>
      <c r="I965" s="101">
        <f t="shared" si="17"/>
        <v>9.1954022988505787E-2</v>
      </c>
    </row>
    <row r="966" spans="1:9" x14ac:dyDescent="0.3">
      <c r="A966" s="100" t="s">
        <v>10</v>
      </c>
      <c r="B966" s="100" t="s">
        <v>32</v>
      </c>
      <c r="C966" s="100" t="s">
        <v>16</v>
      </c>
      <c r="D966" s="102">
        <v>45535</v>
      </c>
      <c r="E966" s="103">
        <v>0.17948717948717949</v>
      </c>
      <c r="F966" s="100">
        <v>0</v>
      </c>
      <c r="G966" s="100" t="s">
        <v>17</v>
      </c>
      <c r="H966" s="103">
        <v>0.16400000000000001</v>
      </c>
      <c r="I966" s="101" t="str">
        <f t="shared" si="17"/>
        <v/>
      </c>
    </row>
    <row r="967" spans="1:9" x14ac:dyDescent="0.3">
      <c r="A967" s="100" t="s">
        <v>10</v>
      </c>
      <c r="B967" s="100" t="s">
        <v>32</v>
      </c>
      <c r="C967" s="100" t="s">
        <v>16</v>
      </c>
      <c r="D967" s="102">
        <v>45565</v>
      </c>
      <c r="E967" s="103">
        <v>0.17499999999999999</v>
      </c>
      <c r="F967" s="100">
        <v>0</v>
      </c>
      <c r="G967" s="100" t="s">
        <v>17</v>
      </c>
      <c r="H967" s="103">
        <v>0.16400000000000001</v>
      </c>
      <c r="I967" s="101">
        <f t="shared" si="17"/>
        <v>-2.5000000000000067E-2</v>
      </c>
    </row>
    <row r="968" spans="1:9" x14ac:dyDescent="0.3">
      <c r="A968" s="100" t="s">
        <v>10</v>
      </c>
      <c r="B968" s="100" t="s">
        <v>32</v>
      </c>
      <c r="C968" s="100" t="s">
        <v>16</v>
      </c>
      <c r="D968" s="102">
        <v>45596</v>
      </c>
      <c r="E968" s="103">
        <v>0.17073170731707321</v>
      </c>
      <c r="F968" s="100">
        <v>0</v>
      </c>
      <c r="G968" s="100" t="s">
        <v>17</v>
      </c>
      <c r="H968" s="103">
        <v>0.16400000000000001</v>
      </c>
      <c r="I968" s="101">
        <f t="shared" si="17"/>
        <v>-2.439024390243873E-2</v>
      </c>
    </row>
    <row r="969" spans="1:9" x14ac:dyDescent="0.3">
      <c r="A969" s="100" t="s">
        <v>10</v>
      </c>
      <c r="B969" s="100" t="s">
        <v>32</v>
      </c>
      <c r="C969" s="100" t="s">
        <v>16</v>
      </c>
      <c r="D969" s="102">
        <v>45626</v>
      </c>
      <c r="E969" s="103">
        <v>0.17073170700000001</v>
      </c>
      <c r="F969" s="100">
        <v>0</v>
      </c>
      <c r="G969" s="100" t="s">
        <v>17</v>
      </c>
      <c r="H969" s="103">
        <v>0.16400000000000001</v>
      </c>
      <c r="I969" s="101">
        <f t="shared" si="17"/>
        <v>-1.857143034594039E-9</v>
      </c>
    </row>
    <row r="970" spans="1:9" x14ac:dyDescent="0.3">
      <c r="A970" s="100" t="s">
        <v>10</v>
      </c>
      <c r="B970" s="100" t="s">
        <v>32</v>
      </c>
      <c r="C970" s="100" t="s">
        <v>16</v>
      </c>
      <c r="D970" s="102">
        <v>45657</v>
      </c>
      <c r="E970" s="103">
        <v>0.17073170731707321</v>
      </c>
      <c r="F970" s="100">
        <v>0</v>
      </c>
      <c r="G970" s="100" t="s">
        <v>17</v>
      </c>
      <c r="H970" s="103">
        <v>0.16400000000000001</v>
      </c>
      <c r="I970" s="101">
        <f t="shared" si="17"/>
        <v>1.8571430380430193E-9</v>
      </c>
    </row>
    <row r="971" spans="1:9" x14ac:dyDescent="0.3">
      <c r="A971" s="100" t="s">
        <v>10</v>
      </c>
      <c r="B971" s="100" t="s">
        <v>32</v>
      </c>
      <c r="C971" s="100" t="s">
        <v>16</v>
      </c>
      <c r="D971" s="102">
        <v>45688</v>
      </c>
      <c r="E971" s="103">
        <v>0.17073170731707321</v>
      </c>
      <c r="F971" s="100">
        <v>0</v>
      </c>
      <c r="G971" s="100" t="s">
        <v>17</v>
      </c>
      <c r="H971" s="103">
        <v>0.16400000000000001</v>
      </c>
      <c r="I971" s="101">
        <f t="shared" si="17"/>
        <v>0</v>
      </c>
    </row>
    <row r="972" spans="1:9" x14ac:dyDescent="0.3">
      <c r="A972" s="100" t="s">
        <v>10</v>
      </c>
      <c r="B972" s="100" t="s">
        <v>32</v>
      </c>
      <c r="C972" s="100" t="s">
        <v>16</v>
      </c>
      <c r="D972" s="102">
        <v>45716</v>
      </c>
      <c r="E972" s="103">
        <v>0.17499999999999999</v>
      </c>
      <c r="F972" s="100">
        <v>0</v>
      </c>
      <c r="G972" s="100" t="s">
        <v>17</v>
      </c>
      <c r="H972" s="103">
        <v>0.16400000000000001</v>
      </c>
      <c r="I972" s="101">
        <f t="shared" si="17"/>
        <v>2.4999999999999693E-2</v>
      </c>
    </row>
    <row r="973" spans="1:9" x14ac:dyDescent="0.3">
      <c r="A973" s="100" t="s">
        <v>10</v>
      </c>
      <c r="B973" s="100" t="s">
        <v>32</v>
      </c>
      <c r="C973" s="100" t="s">
        <v>16</v>
      </c>
      <c r="D973" s="102">
        <v>45747</v>
      </c>
      <c r="E973" s="103">
        <v>0.17073170731707321</v>
      </c>
      <c r="F973" s="100">
        <v>0</v>
      </c>
      <c r="G973" s="100" t="s">
        <v>17</v>
      </c>
      <c r="H973" s="103">
        <v>0.16400000000000001</v>
      </c>
      <c r="I973" s="101">
        <f t="shared" si="17"/>
        <v>-2.439024390243873E-2</v>
      </c>
    </row>
    <row r="974" spans="1:9" x14ac:dyDescent="0.3">
      <c r="A974" s="100" t="s">
        <v>10</v>
      </c>
      <c r="B974" s="100" t="s">
        <v>32</v>
      </c>
      <c r="C974" s="100" t="s">
        <v>16</v>
      </c>
      <c r="D974" s="102">
        <v>45777</v>
      </c>
      <c r="E974" s="103">
        <v>0.17073170731707321</v>
      </c>
      <c r="F974" s="100">
        <v>0</v>
      </c>
      <c r="G974" s="100" t="s">
        <v>17</v>
      </c>
      <c r="H974" s="103">
        <v>0.16400000000000001</v>
      </c>
      <c r="I974" s="101">
        <f t="shared" si="17"/>
        <v>0</v>
      </c>
    </row>
    <row r="975" spans="1:9" x14ac:dyDescent="0.3">
      <c r="A975" s="100" t="s">
        <v>10</v>
      </c>
      <c r="B975" s="100" t="s">
        <v>32</v>
      </c>
      <c r="C975" s="100" t="s">
        <v>16</v>
      </c>
      <c r="D975" s="102">
        <v>45808</v>
      </c>
      <c r="E975" s="103">
        <v>0.17499999999999999</v>
      </c>
      <c r="F975" s="100">
        <v>0</v>
      </c>
      <c r="G975" s="100" t="s">
        <v>17</v>
      </c>
      <c r="H975" s="103">
        <v>0.16400000000000001</v>
      </c>
      <c r="I975" s="101">
        <f t="shared" si="17"/>
        <v>2.4999999999999693E-2</v>
      </c>
    </row>
    <row r="976" spans="1:9" x14ac:dyDescent="0.3">
      <c r="A976" s="100" t="s">
        <v>10</v>
      </c>
      <c r="B976" s="100" t="s">
        <v>32</v>
      </c>
      <c r="C976" s="100" t="s">
        <v>16</v>
      </c>
      <c r="D976" s="102">
        <v>45838</v>
      </c>
      <c r="E976" s="103">
        <v>0.17499999999999999</v>
      </c>
      <c r="F976" s="100">
        <v>0</v>
      </c>
      <c r="G976" s="100" t="s">
        <v>17</v>
      </c>
      <c r="H976" s="103">
        <v>0.16400000000000001</v>
      </c>
      <c r="I976" s="101">
        <f t="shared" si="17"/>
        <v>0</v>
      </c>
    </row>
    <row r="977" spans="1:9" x14ac:dyDescent="0.3">
      <c r="A977" s="100" t="s">
        <v>10</v>
      </c>
      <c r="B977" s="100" t="s">
        <v>32</v>
      </c>
      <c r="C977" s="100" t="s">
        <v>16</v>
      </c>
      <c r="D977" s="102">
        <v>45869</v>
      </c>
      <c r="E977" s="103">
        <v>0.17073170731707321</v>
      </c>
      <c r="F977" s="100">
        <v>0</v>
      </c>
      <c r="G977" s="100" t="s">
        <v>17</v>
      </c>
      <c r="H977" s="103">
        <v>0.16400000000000001</v>
      </c>
      <c r="I977" s="101">
        <f t="shared" si="17"/>
        <v>-2.439024390243873E-2</v>
      </c>
    </row>
    <row r="978" spans="1:9" x14ac:dyDescent="0.3">
      <c r="A978" s="100" t="s">
        <v>10</v>
      </c>
      <c r="B978" s="100" t="s">
        <v>32</v>
      </c>
      <c r="C978" s="100" t="s">
        <v>16</v>
      </c>
      <c r="D978" s="102">
        <v>45900</v>
      </c>
      <c r="E978" s="103">
        <v>0.16666666666666671</v>
      </c>
      <c r="F978" s="100">
        <v>0</v>
      </c>
      <c r="G978" s="100" t="s">
        <v>17</v>
      </c>
      <c r="H978" s="103">
        <v>0.16400000000000001</v>
      </c>
      <c r="I978" s="101">
        <f t="shared" si="17"/>
        <v>-2.380952380952377E-2</v>
      </c>
    </row>
    <row r="979" spans="1:9" x14ac:dyDescent="0.3">
      <c r="A979" s="100" t="s">
        <v>10</v>
      </c>
      <c r="B979" s="100" t="s">
        <v>32</v>
      </c>
      <c r="C979" s="100" t="s">
        <v>16</v>
      </c>
      <c r="D979" s="102">
        <v>45930</v>
      </c>
      <c r="E979" s="103">
        <v>0.16666666666666671</v>
      </c>
      <c r="F979" s="100">
        <v>0</v>
      </c>
      <c r="G979" s="100" t="s">
        <v>17</v>
      </c>
      <c r="H979" s="103">
        <v>0.16400000000000001</v>
      </c>
      <c r="I979" s="101">
        <f t="shared" si="17"/>
        <v>0</v>
      </c>
    </row>
    <row r="980" spans="1:9" x14ac:dyDescent="0.3">
      <c r="A980" s="100" t="s">
        <v>10</v>
      </c>
      <c r="B980" s="100" t="s">
        <v>32</v>
      </c>
      <c r="C980" s="100" t="s">
        <v>16</v>
      </c>
      <c r="D980" s="102">
        <v>45961</v>
      </c>
      <c r="E980" s="103">
        <v>0.17073170731707321</v>
      </c>
      <c r="F980" s="100">
        <v>0</v>
      </c>
      <c r="G980" s="100" t="s">
        <v>17</v>
      </c>
      <c r="H980" s="103">
        <v>0.16400000000000001</v>
      </c>
      <c r="I980" s="101">
        <f t="shared" si="17"/>
        <v>2.4390243902438984E-2</v>
      </c>
    </row>
    <row r="981" spans="1:9" x14ac:dyDescent="0.3">
      <c r="A981" s="100" t="s">
        <v>10</v>
      </c>
      <c r="B981" s="100" t="s">
        <v>32</v>
      </c>
      <c r="C981" s="100" t="s">
        <v>16</v>
      </c>
      <c r="D981" s="102">
        <v>45991</v>
      </c>
      <c r="E981" s="103">
        <v>0.19047619047619049</v>
      </c>
      <c r="F981" s="100">
        <v>0</v>
      </c>
      <c r="G981" s="100" t="s">
        <v>17</v>
      </c>
      <c r="H981" s="103">
        <v>0.16400000000000001</v>
      </c>
      <c r="I981" s="101">
        <f t="shared" si="17"/>
        <v>0.1156462585034012</v>
      </c>
    </row>
    <row r="982" spans="1:9" x14ac:dyDescent="0.3">
      <c r="A982" s="100" t="s">
        <v>10</v>
      </c>
      <c r="B982" s="100" t="s">
        <v>32</v>
      </c>
      <c r="C982" s="100" t="s">
        <v>18</v>
      </c>
      <c r="D982" s="102">
        <v>45535</v>
      </c>
      <c r="E982" s="103">
        <v>0.1127589720366806</v>
      </c>
      <c r="F982" s="100">
        <v>0</v>
      </c>
      <c r="G982" s="100" t="s">
        <v>13</v>
      </c>
      <c r="H982" s="103">
        <v>0.104</v>
      </c>
      <c r="I982" s="101" t="str">
        <f t="shared" si="17"/>
        <v/>
      </c>
    </row>
    <row r="983" spans="1:9" x14ac:dyDescent="0.3">
      <c r="A983" s="100" t="s">
        <v>10</v>
      </c>
      <c r="B983" s="100" t="s">
        <v>32</v>
      </c>
      <c r="C983" s="100" t="s">
        <v>18</v>
      </c>
      <c r="D983" s="102">
        <v>45565</v>
      </c>
      <c r="E983" s="103">
        <v>0.11723027375201291</v>
      </c>
      <c r="F983" s="100">
        <v>0</v>
      </c>
      <c r="G983" s="100" t="s">
        <v>13</v>
      </c>
      <c r="H983" s="103">
        <v>0.104</v>
      </c>
      <c r="I983" s="101">
        <f t="shared" si="17"/>
        <v>-3.9653622541697041E-2</v>
      </c>
    </row>
    <row r="984" spans="1:9" x14ac:dyDescent="0.3">
      <c r="A984" s="100" t="s">
        <v>10</v>
      </c>
      <c r="B984" s="100" t="s">
        <v>32</v>
      </c>
      <c r="C984" s="100" t="s">
        <v>18</v>
      </c>
      <c r="D984" s="102">
        <v>45596</v>
      </c>
      <c r="E984" s="103">
        <v>0.1152400835073069</v>
      </c>
      <c r="F984" s="100">
        <v>0</v>
      </c>
      <c r="G984" s="100" t="s">
        <v>13</v>
      </c>
      <c r="H984" s="103">
        <v>0.104</v>
      </c>
      <c r="I984" s="101">
        <f t="shared" si="17"/>
        <v>1.6976760191791632E-2</v>
      </c>
    </row>
    <row r="985" spans="1:9" x14ac:dyDescent="0.3">
      <c r="A985" s="100" t="s">
        <v>10</v>
      </c>
      <c r="B985" s="100" t="s">
        <v>32</v>
      </c>
      <c r="C985" s="100" t="s">
        <v>18</v>
      </c>
      <c r="D985" s="102">
        <v>45626</v>
      </c>
      <c r="E985" s="103">
        <v>0.11514903999999999</v>
      </c>
      <c r="F985" s="100">
        <v>0</v>
      </c>
      <c r="G985" s="100" t="s">
        <v>13</v>
      </c>
      <c r="H985" s="103">
        <v>0.104</v>
      </c>
      <c r="I985" s="101">
        <f t="shared" si="17"/>
        <v>7.900333333334587E-4</v>
      </c>
    </row>
    <row r="986" spans="1:9" x14ac:dyDescent="0.3">
      <c r="A986" s="100" t="s">
        <v>10</v>
      </c>
      <c r="B986" s="100" t="s">
        <v>32</v>
      </c>
      <c r="C986" s="100" t="s">
        <v>18</v>
      </c>
      <c r="D986" s="102">
        <v>45657</v>
      </c>
      <c r="E986" s="103">
        <v>0.1117564590426597</v>
      </c>
      <c r="F986" s="100">
        <v>0</v>
      </c>
      <c r="G986" s="100" t="s">
        <v>13</v>
      </c>
      <c r="H986" s="103">
        <v>0.104</v>
      </c>
      <c r="I986" s="101">
        <f t="shared" si="17"/>
        <v>2.9462520550239034E-2</v>
      </c>
    </row>
    <row r="987" spans="1:9" x14ac:dyDescent="0.3">
      <c r="A987" s="100" t="s">
        <v>10</v>
      </c>
      <c r="B987" s="100" t="s">
        <v>32</v>
      </c>
      <c r="C987" s="100" t="s">
        <v>18</v>
      </c>
      <c r="D987" s="102">
        <v>45688</v>
      </c>
      <c r="E987" s="103">
        <v>0.1074485880153498</v>
      </c>
      <c r="F987" s="100">
        <v>0</v>
      </c>
      <c r="G987" s="100" t="s">
        <v>13</v>
      </c>
      <c r="H987" s="103">
        <v>0.104</v>
      </c>
      <c r="I987" s="101">
        <f t="shared" si="17"/>
        <v>3.854695347555253E-2</v>
      </c>
    </row>
    <row r="988" spans="1:9" x14ac:dyDescent="0.3">
      <c r="A988" s="100" t="s">
        <v>10</v>
      </c>
      <c r="B988" s="100" t="s">
        <v>32</v>
      </c>
      <c r="C988" s="100" t="s">
        <v>18</v>
      </c>
      <c r="D988" s="102">
        <v>45716</v>
      </c>
      <c r="E988" s="103">
        <v>0.10471204188481679</v>
      </c>
      <c r="F988" s="100">
        <v>0</v>
      </c>
      <c r="G988" s="100" t="s">
        <v>13</v>
      </c>
      <c r="H988" s="103">
        <v>0.104</v>
      </c>
      <c r="I988" s="101">
        <f t="shared" si="17"/>
        <v>2.5468423374182193E-2</v>
      </c>
    </row>
    <row r="989" spans="1:9" x14ac:dyDescent="0.3">
      <c r="A989" s="100" t="s">
        <v>10</v>
      </c>
      <c r="B989" s="100" t="s">
        <v>32</v>
      </c>
      <c r="C989" s="100" t="s">
        <v>18</v>
      </c>
      <c r="D989" s="102">
        <v>45747</v>
      </c>
      <c r="E989" s="103">
        <v>0.1011106855610877</v>
      </c>
      <c r="F989" s="100">
        <v>0</v>
      </c>
      <c r="G989" s="100" t="s">
        <v>13</v>
      </c>
      <c r="H989" s="103">
        <v>0.104</v>
      </c>
      <c r="I989" s="101">
        <f t="shared" si="17"/>
        <v>3.4392952891612885E-2</v>
      </c>
    </row>
    <row r="990" spans="1:9" x14ac:dyDescent="0.3">
      <c r="A990" s="100" t="s">
        <v>10</v>
      </c>
      <c r="B990" s="100" t="s">
        <v>32</v>
      </c>
      <c r="C990" s="100" t="s">
        <v>18</v>
      </c>
      <c r="D990" s="102">
        <v>45777</v>
      </c>
      <c r="E990" s="103">
        <v>9.6664139499620924E-2</v>
      </c>
      <c r="F990" s="100">
        <v>0</v>
      </c>
      <c r="G990" s="100" t="s">
        <v>13</v>
      </c>
      <c r="H990" s="103">
        <v>0.104</v>
      </c>
      <c r="I990" s="101">
        <f t="shared" si="17"/>
        <v>4.3977014267006599E-2</v>
      </c>
    </row>
    <row r="991" spans="1:9" x14ac:dyDescent="0.3">
      <c r="A991" s="100" t="s">
        <v>10</v>
      </c>
      <c r="B991" s="100" t="s">
        <v>32</v>
      </c>
      <c r="C991" s="100" t="s">
        <v>18</v>
      </c>
      <c r="D991" s="102">
        <v>45808</v>
      </c>
      <c r="E991" s="103">
        <v>0.1024582473259523</v>
      </c>
      <c r="F991" s="100">
        <v>0</v>
      </c>
      <c r="G991" s="100" t="s">
        <v>13</v>
      </c>
      <c r="H991" s="103">
        <v>0.104</v>
      </c>
      <c r="I991" s="101">
        <f t="shared" si="17"/>
        <v>-5.9940613513184929E-2</v>
      </c>
    </row>
    <row r="992" spans="1:9" x14ac:dyDescent="0.3">
      <c r="A992" s="100" t="s">
        <v>10</v>
      </c>
      <c r="B992" s="100" t="s">
        <v>32</v>
      </c>
      <c r="C992" s="100" t="s">
        <v>18</v>
      </c>
      <c r="D992" s="102">
        <v>45838</v>
      </c>
      <c r="E992" s="103">
        <v>0.10493023255813951</v>
      </c>
      <c r="F992" s="100">
        <v>0</v>
      </c>
      <c r="G992" s="100" t="s">
        <v>13</v>
      </c>
      <c r="H992" s="103">
        <v>0.104</v>
      </c>
      <c r="I992" s="101">
        <f t="shared" si="17"/>
        <v>-2.4126756963966385E-2</v>
      </c>
    </row>
    <row r="993" spans="1:9" x14ac:dyDescent="0.3">
      <c r="A993" s="100" t="s">
        <v>10</v>
      </c>
      <c r="B993" s="100" t="s">
        <v>32</v>
      </c>
      <c r="C993" s="100" t="s">
        <v>18</v>
      </c>
      <c r="D993" s="102">
        <v>45869</v>
      </c>
      <c r="E993" s="103">
        <v>0.1051466519092418</v>
      </c>
      <c r="F993" s="100">
        <v>0</v>
      </c>
      <c r="G993" s="100" t="s">
        <v>13</v>
      </c>
      <c r="H993" s="103">
        <v>0.104</v>
      </c>
      <c r="I993" s="101">
        <f t="shared" si="17"/>
        <v>-2.0625071137851747E-3</v>
      </c>
    </row>
    <row r="994" spans="1:9" x14ac:dyDescent="0.3">
      <c r="A994" s="100" t="s">
        <v>10</v>
      </c>
      <c r="B994" s="100" t="s">
        <v>32</v>
      </c>
      <c r="C994" s="100" t="s">
        <v>18</v>
      </c>
      <c r="D994" s="102">
        <v>45900</v>
      </c>
      <c r="E994" s="103">
        <v>0.10429054981246</v>
      </c>
      <c r="F994" s="100">
        <v>0</v>
      </c>
      <c r="G994" s="100" t="s">
        <v>13</v>
      </c>
      <c r="H994" s="103">
        <v>0.104</v>
      </c>
      <c r="I994" s="101">
        <f t="shared" si="17"/>
        <v>8.1419815204458804E-3</v>
      </c>
    </row>
    <row r="995" spans="1:9" x14ac:dyDescent="0.3">
      <c r="A995" s="100" t="s">
        <v>10</v>
      </c>
      <c r="B995" s="100" t="s">
        <v>32</v>
      </c>
      <c r="C995" s="100" t="s">
        <v>18</v>
      </c>
      <c r="D995" s="102">
        <v>45930</v>
      </c>
      <c r="E995" s="103">
        <v>0.1002451648052302</v>
      </c>
      <c r="F995" s="100">
        <v>0</v>
      </c>
      <c r="G995" s="100" t="s">
        <v>13</v>
      </c>
      <c r="H995" s="103">
        <v>0.104</v>
      </c>
      <c r="I995" s="101">
        <f t="shared" si="17"/>
        <v>3.8789564485990281E-2</v>
      </c>
    </row>
    <row r="996" spans="1:9" x14ac:dyDescent="0.3">
      <c r="A996" s="100" t="s">
        <v>10</v>
      </c>
      <c r="B996" s="100" t="s">
        <v>32</v>
      </c>
      <c r="C996" s="100" t="s">
        <v>18</v>
      </c>
      <c r="D996" s="102">
        <v>45961</v>
      </c>
      <c r="E996" s="103">
        <v>0.1028880866425993</v>
      </c>
      <c r="F996" s="100">
        <v>0</v>
      </c>
      <c r="G996" s="100" t="s">
        <v>13</v>
      </c>
      <c r="H996" s="103">
        <v>0.104</v>
      </c>
      <c r="I996" s="101">
        <f t="shared" si="17"/>
        <v>-2.6364581698320528E-2</v>
      </c>
    </row>
    <row r="997" spans="1:9" x14ac:dyDescent="0.3">
      <c r="A997" s="100" t="s">
        <v>10</v>
      </c>
      <c r="B997" s="100" t="s">
        <v>32</v>
      </c>
      <c r="C997" s="100" t="s">
        <v>18</v>
      </c>
      <c r="D997" s="102">
        <v>45991</v>
      </c>
      <c r="E997" s="103">
        <v>0.104544638045626</v>
      </c>
      <c r="F997" s="100">
        <v>0</v>
      </c>
      <c r="G997" s="100" t="s">
        <v>13</v>
      </c>
      <c r="H997" s="103">
        <v>0.104</v>
      </c>
      <c r="I997" s="101">
        <f t="shared" si="17"/>
        <v>-1.6100517145206886E-2</v>
      </c>
    </row>
    <row r="998" spans="1:9" x14ac:dyDescent="0.3">
      <c r="A998" s="100" t="s">
        <v>10</v>
      </c>
      <c r="B998" s="100" t="s">
        <v>32</v>
      </c>
      <c r="C998" s="100" t="s">
        <v>19</v>
      </c>
      <c r="D998" s="102">
        <v>45535</v>
      </c>
      <c r="E998" s="103">
        <v>4.7430830039525688E-2</v>
      </c>
      <c r="F998" s="100">
        <v>0</v>
      </c>
      <c r="G998" s="100" t="s">
        <v>13</v>
      </c>
      <c r="H998" s="103">
        <v>0.1</v>
      </c>
      <c r="I998" s="101" t="str">
        <f t="shared" si="17"/>
        <v/>
      </c>
    </row>
    <row r="999" spans="1:9" x14ac:dyDescent="0.3">
      <c r="A999" s="100" t="s">
        <v>10</v>
      </c>
      <c r="B999" s="100" t="s">
        <v>32</v>
      </c>
      <c r="C999" s="100" t="s">
        <v>19</v>
      </c>
      <c r="D999" s="102">
        <v>45565</v>
      </c>
      <c r="E999" s="103">
        <v>5.3299492385786802E-2</v>
      </c>
      <c r="F999" s="100">
        <v>0</v>
      </c>
      <c r="G999" s="100" t="s">
        <v>13</v>
      </c>
      <c r="H999" s="103">
        <v>0.1</v>
      </c>
      <c r="I999" s="101">
        <f t="shared" si="17"/>
        <v>-0.12373096446700516</v>
      </c>
    </row>
    <row r="1000" spans="1:9" x14ac:dyDescent="0.3">
      <c r="A1000" s="100" t="s">
        <v>10</v>
      </c>
      <c r="B1000" s="100" t="s">
        <v>32</v>
      </c>
      <c r="C1000" s="100" t="s">
        <v>19</v>
      </c>
      <c r="D1000" s="102">
        <v>45596</v>
      </c>
      <c r="E1000" s="103">
        <v>5.2336448598130837E-2</v>
      </c>
      <c r="F1000" s="100">
        <v>0</v>
      </c>
      <c r="G1000" s="100" t="s">
        <v>13</v>
      </c>
      <c r="H1000" s="103">
        <v>0.1</v>
      </c>
      <c r="I1000" s="101">
        <f t="shared" si="17"/>
        <v>1.8068535825545247E-2</v>
      </c>
    </row>
    <row r="1001" spans="1:9" x14ac:dyDescent="0.3">
      <c r="A1001" s="100" t="s">
        <v>10</v>
      </c>
      <c r="B1001" s="100" t="s">
        <v>32</v>
      </c>
      <c r="C1001" s="100" t="s">
        <v>19</v>
      </c>
      <c r="D1001" s="102">
        <v>45626</v>
      </c>
      <c r="E1001" s="103">
        <v>6.6502462999999998E-2</v>
      </c>
      <c r="F1001" s="100">
        <v>0</v>
      </c>
      <c r="G1001" s="100" t="s">
        <v>13</v>
      </c>
      <c r="H1001" s="103">
        <v>0.1</v>
      </c>
      <c r="I1001" s="101">
        <f t="shared" si="17"/>
        <v>-0.27067206089285717</v>
      </c>
    </row>
    <row r="1002" spans="1:9" x14ac:dyDescent="0.3">
      <c r="A1002" s="100" t="s">
        <v>10</v>
      </c>
      <c r="B1002" s="100" t="s">
        <v>32</v>
      </c>
      <c r="C1002" s="100" t="s">
        <v>19</v>
      </c>
      <c r="D1002" s="102">
        <v>45657</v>
      </c>
      <c r="E1002" s="103">
        <v>7.3304825901038484E-2</v>
      </c>
      <c r="F1002" s="100">
        <v>0</v>
      </c>
      <c r="G1002" s="100" t="s">
        <v>13</v>
      </c>
      <c r="H1002" s="103">
        <v>0.1</v>
      </c>
      <c r="I1002" s="101">
        <f t="shared" si="17"/>
        <v>-0.1022873829656277</v>
      </c>
    </row>
    <row r="1003" spans="1:9" x14ac:dyDescent="0.3">
      <c r="A1003" s="100" t="s">
        <v>10</v>
      </c>
      <c r="B1003" s="100" t="s">
        <v>32</v>
      </c>
      <c r="C1003" s="100" t="s">
        <v>19</v>
      </c>
      <c r="D1003" s="102">
        <v>45688</v>
      </c>
      <c r="E1003" s="103">
        <v>6.545454545454546E-2</v>
      </c>
      <c r="F1003" s="100">
        <v>0</v>
      </c>
      <c r="G1003" s="100" t="s">
        <v>13</v>
      </c>
      <c r="H1003" s="103">
        <v>0.1</v>
      </c>
      <c r="I1003" s="101">
        <f t="shared" si="17"/>
        <v>0.107090909090909</v>
      </c>
    </row>
    <row r="1004" spans="1:9" x14ac:dyDescent="0.3">
      <c r="A1004" s="100" t="s">
        <v>10</v>
      </c>
      <c r="B1004" s="100" t="s">
        <v>32</v>
      </c>
      <c r="C1004" s="100" t="s">
        <v>19</v>
      </c>
      <c r="D1004" s="102">
        <v>45716</v>
      </c>
      <c r="E1004" s="103">
        <v>6.5335753176043551E-2</v>
      </c>
      <c r="F1004" s="100">
        <v>0</v>
      </c>
      <c r="G1004" s="100" t="s">
        <v>13</v>
      </c>
      <c r="H1004" s="103">
        <v>0.1</v>
      </c>
      <c r="I1004" s="101">
        <f t="shared" si="17"/>
        <v>1.814882032668047E-3</v>
      </c>
    </row>
    <row r="1005" spans="1:9" x14ac:dyDescent="0.3">
      <c r="A1005" s="100" t="s">
        <v>10</v>
      </c>
      <c r="B1005" s="100" t="s">
        <v>32</v>
      </c>
      <c r="C1005" s="100" t="s">
        <v>19</v>
      </c>
      <c r="D1005" s="102">
        <v>45747</v>
      </c>
      <c r="E1005" s="103">
        <v>5.7831325301204807E-2</v>
      </c>
      <c r="F1005" s="100">
        <v>0</v>
      </c>
      <c r="G1005" s="100" t="s">
        <v>13</v>
      </c>
      <c r="H1005" s="103">
        <v>0.1</v>
      </c>
      <c r="I1005" s="101">
        <f t="shared" si="17"/>
        <v>0.11485943775100413</v>
      </c>
    </row>
    <row r="1006" spans="1:9" x14ac:dyDescent="0.3">
      <c r="A1006" s="100" t="s">
        <v>10</v>
      </c>
      <c r="B1006" s="100" t="s">
        <v>32</v>
      </c>
      <c r="C1006" s="100" t="s">
        <v>19</v>
      </c>
      <c r="D1006" s="102">
        <v>45777</v>
      </c>
      <c r="E1006" s="103">
        <v>4.3087971274685818E-2</v>
      </c>
      <c r="F1006" s="100">
        <v>0</v>
      </c>
      <c r="G1006" s="100" t="s">
        <v>13</v>
      </c>
      <c r="H1006" s="103">
        <v>0.1</v>
      </c>
      <c r="I1006" s="101">
        <f t="shared" si="17"/>
        <v>0.25493716337522421</v>
      </c>
    </row>
    <row r="1007" spans="1:9" x14ac:dyDescent="0.3">
      <c r="A1007" s="100" t="s">
        <v>10</v>
      </c>
      <c r="B1007" s="100" t="s">
        <v>32</v>
      </c>
      <c r="C1007" s="100" t="s">
        <v>19</v>
      </c>
      <c r="D1007" s="102">
        <v>45808</v>
      </c>
      <c r="E1007" s="103">
        <v>7.1599045346062054E-2</v>
      </c>
      <c r="F1007" s="100">
        <v>0</v>
      </c>
      <c r="G1007" s="100" t="s">
        <v>13</v>
      </c>
      <c r="H1007" s="103">
        <v>0.1</v>
      </c>
      <c r="I1007" s="101">
        <f t="shared" si="17"/>
        <v>-0.66169451073985674</v>
      </c>
    </row>
    <row r="1008" spans="1:9" x14ac:dyDescent="0.3">
      <c r="A1008" s="100" t="s">
        <v>10</v>
      </c>
      <c r="B1008" s="100" t="s">
        <v>32</v>
      </c>
      <c r="C1008" s="100" t="s">
        <v>19</v>
      </c>
      <c r="D1008" s="102">
        <v>45838</v>
      </c>
      <c r="E1008" s="103">
        <v>7.3825503355704702E-2</v>
      </c>
      <c r="F1008" s="100">
        <v>0</v>
      </c>
      <c r="G1008" s="100" t="s">
        <v>13</v>
      </c>
      <c r="H1008" s="103">
        <v>0.1</v>
      </c>
      <c r="I1008" s="101">
        <f t="shared" si="17"/>
        <v>-3.1096196868008987E-2</v>
      </c>
    </row>
    <row r="1009" spans="1:9" x14ac:dyDescent="0.3">
      <c r="A1009" s="100" t="s">
        <v>10</v>
      </c>
      <c r="B1009" s="100" t="s">
        <v>32</v>
      </c>
      <c r="C1009" s="100" t="s">
        <v>19</v>
      </c>
      <c r="D1009" s="102">
        <v>45869</v>
      </c>
      <c r="E1009" s="103">
        <v>0.1032443090159527</v>
      </c>
      <c r="F1009" s="100">
        <v>0</v>
      </c>
      <c r="G1009" s="100" t="s">
        <v>13</v>
      </c>
      <c r="H1009" s="103">
        <v>0.1</v>
      </c>
      <c r="I1009" s="101">
        <f t="shared" si="17"/>
        <v>-0.39849109485245016</v>
      </c>
    </row>
    <row r="1010" spans="1:9" x14ac:dyDescent="0.3">
      <c r="A1010" s="100" t="s">
        <v>10</v>
      </c>
      <c r="B1010" s="100" t="s">
        <v>32</v>
      </c>
      <c r="C1010" s="100" t="s">
        <v>19</v>
      </c>
      <c r="D1010" s="102">
        <v>45900</v>
      </c>
      <c r="E1010" s="103">
        <v>0.1043848748446654</v>
      </c>
      <c r="F1010" s="100">
        <v>0</v>
      </c>
      <c r="G1010" s="100" t="s">
        <v>13</v>
      </c>
      <c r="H1010" s="103">
        <v>0.1</v>
      </c>
      <c r="I1010" s="101">
        <f t="shared" si="17"/>
        <v>-1.1047251316646018E-2</v>
      </c>
    </row>
    <row r="1011" spans="1:9" x14ac:dyDescent="0.3">
      <c r="A1011" s="100" t="s">
        <v>10</v>
      </c>
      <c r="B1011" s="100" t="s">
        <v>32</v>
      </c>
      <c r="C1011" s="100" t="s">
        <v>19</v>
      </c>
      <c r="D1011" s="102">
        <v>45930</v>
      </c>
      <c r="E1011" s="103">
        <v>9.7165991902834009E-2</v>
      </c>
      <c r="F1011" s="100">
        <v>0</v>
      </c>
      <c r="G1011" s="100" t="s">
        <v>13</v>
      </c>
      <c r="H1011" s="103">
        <v>0.1</v>
      </c>
      <c r="I1011" s="101">
        <f t="shared" si="17"/>
        <v>6.9156407502272435E-2</v>
      </c>
    </row>
    <row r="1012" spans="1:9" x14ac:dyDescent="0.3">
      <c r="A1012" s="100" t="s">
        <v>10</v>
      </c>
      <c r="B1012" s="100" t="s">
        <v>32</v>
      </c>
      <c r="C1012" s="100" t="s">
        <v>19</v>
      </c>
      <c r="D1012" s="102">
        <v>45961</v>
      </c>
      <c r="E1012" s="103">
        <v>0.1007697690692792</v>
      </c>
      <c r="F1012" s="100">
        <v>0</v>
      </c>
      <c r="G1012" s="100" t="s">
        <v>13</v>
      </c>
      <c r="H1012" s="103">
        <v>0.1</v>
      </c>
      <c r="I1012" s="101">
        <f t="shared" si="17"/>
        <v>-3.708887333799845E-2</v>
      </c>
    </row>
    <row r="1013" spans="1:9" x14ac:dyDescent="0.3">
      <c r="A1013" s="100" t="s">
        <v>10</v>
      </c>
      <c r="B1013" s="100" t="s">
        <v>32</v>
      </c>
      <c r="C1013" s="100" t="s">
        <v>19</v>
      </c>
      <c r="D1013" s="102">
        <v>45991</v>
      </c>
      <c r="E1013" s="103">
        <v>0.10765171503957779</v>
      </c>
      <c r="F1013" s="100">
        <v>0</v>
      </c>
      <c r="G1013" s="100" t="s">
        <v>13</v>
      </c>
      <c r="H1013" s="103">
        <v>0.1</v>
      </c>
      <c r="I1013" s="101">
        <f t="shared" si="17"/>
        <v>-6.8293755496921446E-2</v>
      </c>
    </row>
    <row r="1014" spans="1:9" x14ac:dyDescent="0.3">
      <c r="A1014" s="100" t="s">
        <v>20</v>
      </c>
      <c r="B1014" s="100" t="s">
        <v>32</v>
      </c>
      <c r="C1014" s="100" t="s">
        <v>21</v>
      </c>
      <c r="D1014" s="102">
        <v>45535</v>
      </c>
      <c r="E1014" s="103">
        <v>0.47</v>
      </c>
      <c r="F1014" s="100">
        <v>0</v>
      </c>
      <c r="G1014" s="100" t="s">
        <v>13</v>
      </c>
      <c r="H1014" s="103">
        <v>0.59</v>
      </c>
      <c r="I1014" s="101" t="str">
        <f t="shared" si="17"/>
        <v/>
      </c>
    </row>
    <row r="1015" spans="1:9" x14ac:dyDescent="0.3">
      <c r="A1015" s="100" t="s">
        <v>20</v>
      </c>
      <c r="B1015" s="100" t="s">
        <v>32</v>
      </c>
      <c r="C1015" s="100" t="s">
        <v>21</v>
      </c>
      <c r="D1015" s="102">
        <v>45565</v>
      </c>
      <c r="E1015" s="103">
        <v>0.43</v>
      </c>
      <c r="F1015" s="100">
        <v>0</v>
      </c>
      <c r="G1015" s="100" t="s">
        <v>13</v>
      </c>
      <c r="H1015" s="103">
        <v>0.59</v>
      </c>
      <c r="I1015" s="101">
        <f t="shared" si="17"/>
        <v>8.5106382978723361E-2</v>
      </c>
    </row>
    <row r="1016" spans="1:9" x14ac:dyDescent="0.3">
      <c r="A1016" s="100" t="s">
        <v>20</v>
      </c>
      <c r="B1016" s="100" t="s">
        <v>32</v>
      </c>
      <c r="C1016" s="100" t="s">
        <v>21</v>
      </c>
      <c r="D1016" s="102">
        <v>45596</v>
      </c>
      <c r="E1016" s="103">
        <v>0.5</v>
      </c>
      <c r="F1016" s="100">
        <v>0</v>
      </c>
      <c r="G1016" s="100" t="s">
        <v>13</v>
      </c>
      <c r="H1016" s="103">
        <v>0.59</v>
      </c>
      <c r="I1016" s="101">
        <f t="shared" si="17"/>
        <v>-0.16279069767441862</v>
      </c>
    </row>
    <row r="1017" spans="1:9" x14ac:dyDescent="0.3">
      <c r="A1017" s="100" t="s">
        <v>20</v>
      </c>
      <c r="B1017" s="100" t="s">
        <v>32</v>
      </c>
      <c r="C1017" s="100" t="s">
        <v>21</v>
      </c>
      <c r="D1017" s="102">
        <v>45626</v>
      </c>
      <c r="E1017" s="103">
        <v>0.47</v>
      </c>
      <c r="F1017" s="100">
        <v>0</v>
      </c>
      <c r="G1017" s="100" t="s">
        <v>13</v>
      </c>
      <c r="H1017" s="103">
        <v>0.59</v>
      </c>
      <c r="I1017" s="101">
        <f t="shared" si="17"/>
        <v>6.0000000000000053E-2</v>
      </c>
    </row>
    <row r="1018" spans="1:9" x14ac:dyDescent="0.3">
      <c r="A1018" s="100" t="s">
        <v>20</v>
      </c>
      <c r="B1018" s="100" t="s">
        <v>32</v>
      </c>
      <c r="C1018" s="100" t="s">
        <v>21</v>
      </c>
      <c r="D1018" s="102">
        <v>45657</v>
      </c>
      <c r="E1018" s="103">
        <v>0.52</v>
      </c>
      <c r="F1018" s="100">
        <v>0</v>
      </c>
      <c r="G1018" s="100" t="s">
        <v>13</v>
      </c>
      <c r="H1018" s="103">
        <v>0.59</v>
      </c>
      <c r="I1018" s="101">
        <f t="shared" si="17"/>
        <v>-0.10638297872340435</v>
      </c>
    </row>
    <row r="1019" spans="1:9" x14ac:dyDescent="0.3">
      <c r="A1019" s="100" t="s">
        <v>20</v>
      </c>
      <c r="B1019" s="100" t="s">
        <v>32</v>
      </c>
      <c r="C1019" s="100" t="s">
        <v>21</v>
      </c>
      <c r="D1019" s="102">
        <v>45688</v>
      </c>
      <c r="E1019" s="103">
        <v>0.57999999999999996</v>
      </c>
      <c r="F1019" s="100">
        <v>0</v>
      </c>
      <c r="G1019" s="100" t="s">
        <v>13</v>
      </c>
      <c r="H1019" s="103">
        <v>0.59</v>
      </c>
      <c r="I1019" s="101">
        <f t="shared" si="17"/>
        <v>-0.11538461538461527</v>
      </c>
    </row>
    <row r="1020" spans="1:9" x14ac:dyDescent="0.3">
      <c r="A1020" s="100" t="s">
        <v>20</v>
      </c>
      <c r="B1020" s="100" t="s">
        <v>32</v>
      </c>
      <c r="C1020" s="100" t="s">
        <v>21</v>
      </c>
      <c r="D1020" s="102">
        <v>45716</v>
      </c>
      <c r="E1020" s="103">
        <v>0.54</v>
      </c>
      <c r="F1020" s="100">
        <v>0</v>
      </c>
      <c r="G1020" s="100" t="s">
        <v>13</v>
      </c>
      <c r="H1020" s="103">
        <v>0.59</v>
      </c>
      <c r="I1020" s="101">
        <f t="shared" si="17"/>
        <v>6.8965517241379184E-2</v>
      </c>
    </row>
    <row r="1021" spans="1:9" x14ac:dyDescent="0.3">
      <c r="A1021" s="100" t="s">
        <v>20</v>
      </c>
      <c r="B1021" s="100" t="s">
        <v>32</v>
      </c>
      <c r="C1021" s="100" t="s">
        <v>21</v>
      </c>
      <c r="D1021" s="102">
        <v>45747</v>
      </c>
      <c r="E1021" s="103">
        <v>0.77</v>
      </c>
      <c r="F1021" s="100">
        <v>0</v>
      </c>
      <c r="G1021" s="100" t="s">
        <v>13</v>
      </c>
      <c r="H1021" s="103">
        <v>0.59</v>
      </c>
      <c r="I1021" s="101">
        <f t="shared" si="17"/>
        <v>-0.42592592592592587</v>
      </c>
    </row>
    <row r="1022" spans="1:9" x14ac:dyDescent="0.3">
      <c r="A1022" s="100" t="s">
        <v>20</v>
      </c>
      <c r="B1022" s="100" t="s">
        <v>32</v>
      </c>
      <c r="C1022" s="100" t="s">
        <v>21</v>
      </c>
      <c r="D1022" s="102">
        <v>45777</v>
      </c>
      <c r="E1022" s="103">
        <v>0.81</v>
      </c>
      <c r="F1022" s="100">
        <v>0</v>
      </c>
      <c r="G1022" s="100" t="s">
        <v>13</v>
      </c>
      <c r="H1022" s="103">
        <v>0.59</v>
      </c>
      <c r="I1022" s="101">
        <f t="shared" si="17"/>
        <v>-5.1948051948051993E-2</v>
      </c>
    </row>
    <row r="1023" spans="1:9" x14ac:dyDescent="0.3">
      <c r="A1023" s="100" t="s">
        <v>20</v>
      </c>
      <c r="B1023" s="100" t="s">
        <v>32</v>
      </c>
      <c r="C1023" s="100" t="s">
        <v>21</v>
      </c>
      <c r="D1023" s="102">
        <v>45808</v>
      </c>
      <c r="E1023" s="103">
        <v>0.63</v>
      </c>
      <c r="F1023" s="100">
        <v>0</v>
      </c>
      <c r="G1023" s="100" t="s">
        <v>13</v>
      </c>
      <c r="H1023" s="103">
        <v>0.59</v>
      </c>
      <c r="I1023" s="101">
        <f t="shared" si="17"/>
        <v>0.22222222222222227</v>
      </c>
    </row>
    <row r="1024" spans="1:9" x14ac:dyDescent="0.3">
      <c r="A1024" s="100" t="s">
        <v>20</v>
      </c>
      <c r="B1024" s="100" t="s">
        <v>32</v>
      </c>
      <c r="C1024" s="100" t="s">
        <v>21</v>
      </c>
      <c r="D1024" s="102">
        <v>45838</v>
      </c>
      <c r="E1024" s="103">
        <v>0.56999999999999995</v>
      </c>
      <c r="F1024" s="100">
        <v>0</v>
      </c>
      <c r="G1024" s="100" t="s">
        <v>13</v>
      </c>
      <c r="H1024" s="103">
        <v>0.59</v>
      </c>
      <c r="I1024" s="101">
        <f t="shared" si="17"/>
        <v>9.5238095238095316E-2</v>
      </c>
    </row>
    <row r="1025" spans="1:9" x14ac:dyDescent="0.3">
      <c r="A1025" s="100" t="s">
        <v>20</v>
      </c>
      <c r="B1025" s="100" t="s">
        <v>32</v>
      </c>
      <c r="C1025" s="100" t="s">
        <v>21</v>
      </c>
      <c r="D1025" s="102">
        <v>45869</v>
      </c>
      <c r="E1025" s="103">
        <v>0.63</v>
      </c>
      <c r="F1025" s="100">
        <v>0</v>
      </c>
      <c r="G1025" s="100" t="s">
        <v>13</v>
      </c>
      <c r="H1025" s="103">
        <v>0.59</v>
      </c>
      <c r="I1025" s="101">
        <f t="shared" si="17"/>
        <v>-0.10526315789473695</v>
      </c>
    </row>
    <row r="1026" spans="1:9" x14ac:dyDescent="0.3">
      <c r="A1026" s="100" t="s">
        <v>20</v>
      </c>
      <c r="B1026" s="100" t="s">
        <v>32</v>
      </c>
      <c r="C1026" s="100" t="s">
        <v>21</v>
      </c>
      <c r="D1026" s="102">
        <v>45900</v>
      </c>
      <c r="E1026" s="103">
        <v>0.69</v>
      </c>
      <c r="F1026" s="100">
        <v>0</v>
      </c>
      <c r="G1026" s="100" t="s">
        <v>13</v>
      </c>
      <c r="H1026" s="103">
        <v>0.59</v>
      </c>
      <c r="I1026" s="101">
        <f t="shared" si="17"/>
        <v>-9.523809523809515E-2</v>
      </c>
    </row>
    <row r="1027" spans="1:9" x14ac:dyDescent="0.3">
      <c r="A1027" s="100" t="s">
        <v>20</v>
      </c>
      <c r="B1027" s="100" t="s">
        <v>32</v>
      </c>
      <c r="C1027" s="100" t="s">
        <v>21</v>
      </c>
      <c r="D1027" s="102">
        <v>45930</v>
      </c>
      <c r="E1027" s="103">
        <v>0.57999999999999996</v>
      </c>
      <c r="F1027" s="100">
        <v>0</v>
      </c>
      <c r="G1027" s="100" t="s">
        <v>13</v>
      </c>
      <c r="H1027" s="103">
        <v>0.59</v>
      </c>
      <c r="I1027" s="101">
        <f t="shared" ref="I1027:I1090" si="18">IF(OR(B1027&lt;&gt;B1026,C1027&lt;&gt;C1026),"",IF(E1026=0,"",IF(G1027="UP",(E1027-E1026)/E1026,-((E1027-E1026)/E1026))))</f>
        <v>0.15942028985507245</v>
      </c>
    </row>
    <row r="1028" spans="1:9" x14ac:dyDescent="0.3">
      <c r="A1028" s="100" t="s">
        <v>20</v>
      </c>
      <c r="B1028" s="100" t="s">
        <v>32</v>
      </c>
      <c r="C1028" s="100" t="s">
        <v>21</v>
      </c>
      <c r="D1028" s="102">
        <v>45961</v>
      </c>
      <c r="E1028" s="103">
        <v>0.6</v>
      </c>
      <c r="F1028" s="100">
        <v>0</v>
      </c>
      <c r="G1028" s="100" t="s">
        <v>13</v>
      </c>
      <c r="H1028" s="103">
        <v>0.59</v>
      </c>
      <c r="I1028" s="101">
        <f t="shared" si="18"/>
        <v>-3.4482758620689689E-2</v>
      </c>
    </row>
    <row r="1029" spans="1:9" x14ac:dyDescent="0.3">
      <c r="A1029" s="100" t="s">
        <v>20</v>
      </c>
      <c r="B1029" s="100" t="s">
        <v>32</v>
      </c>
      <c r="C1029" s="100" t="s">
        <v>22</v>
      </c>
      <c r="D1029" s="102">
        <v>45535</v>
      </c>
      <c r="E1029" s="103">
        <v>0.79300000000000004</v>
      </c>
      <c r="F1029" s="100">
        <v>0</v>
      </c>
      <c r="G1029" s="100" t="s">
        <v>13</v>
      </c>
      <c r="H1029" s="103">
        <v>0.56999999999999995</v>
      </c>
      <c r="I1029" s="101" t="str">
        <f t="shared" si="18"/>
        <v/>
      </c>
    </row>
    <row r="1030" spans="1:9" x14ac:dyDescent="0.3">
      <c r="A1030" s="100" t="s">
        <v>20</v>
      </c>
      <c r="B1030" s="100" t="s">
        <v>32</v>
      </c>
      <c r="C1030" s="100" t="s">
        <v>22</v>
      </c>
      <c r="D1030" s="102">
        <v>45565</v>
      </c>
      <c r="E1030" s="103">
        <v>0.79500000000000004</v>
      </c>
      <c r="F1030" s="100">
        <v>0</v>
      </c>
      <c r="G1030" s="100" t="s">
        <v>13</v>
      </c>
      <c r="H1030" s="103">
        <v>0.56999999999999995</v>
      </c>
      <c r="I1030" s="101">
        <f t="shared" si="18"/>
        <v>-2.5220680958385898E-3</v>
      </c>
    </row>
    <row r="1031" spans="1:9" x14ac:dyDescent="0.3">
      <c r="A1031" s="100" t="s">
        <v>20</v>
      </c>
      <c r="B1031" s="100" t="s">
        <v>32</v>
      </c>
      <c r="C1031" s="100" t="s">
        <v>22</v>
      </c>
      <c r="D1031" s="102">
        <v>45596</v>
      </c>
      <c r="E1031" s="103">
        <v>0.88500000000000001</v>
      </c>
      <c r="F1031" s="100">
        <v>0</v>
      </c>
      <c r="G1031" s="100" t="s">
        <v>13</v>
      </c>
      <c r="H1031" s="103">
        <v>0.56999999999999995</v>
      </c>
      <c r="I1031" s="101">
        <f t="shared" si="18"/>
        <v>-0.11320754716981128</v>
      </c>
    </row>
    <row r="1032" spans="1:9" x14ac:dyDescent="0.3">
      <c r="A1032" s="100" t="s">
        <v>20</v>
      </c>
      <c r="B1032" s="100" t="s">
        <v>32</v>
      </c>
      <c r="C1032" s="100" t="s">
        <v>22</v>
      </c>
      <c r="D1032" s="102">
        <v>45626</v>
      </c>
      <c r="E1032" s="103">
        <v>0.83799999999999997</v>
      </c>
      <c r="F1032" s="100">
        <v>1</v>
      </c>
      <c r="G1032" s="100" t="s">
        <v>13</v>
      </c>
      <c r="H1032" s="103">
        <v>0.56999999999999995</v>
      </c>
      <c r="I1032" s="101">
        <f t="shared" si="18"/>
        <v>5.3107344632768408E-2</v>
      </c>
    </row>
    <row r="1033" spans="1:9" x14ac:dyDescent="0.3">
      <c r="A1033" s="100" t="s">
        <v>20</v>
      </c>
      <c r="B1033" s="100" t="s">
        <v>32</v>
      </c>
      <c r="C1033" s="100" t="s">
        <v>22</v>
      </c>
      <c r="D1033" s="102">
        <v>45657</v>
      </c>
      <c r="E1033" s="103">
        <v>0.83199999999999996</v>
      </c>
      <c r="F1033" s="100">
        <v>1</v>
      </c>
      <c r="G1033" s="100" t="s">
        <v>13</v>
      </c>
      <c r="H1033" s="103">
        <v>0.56999999999999995</v>
      </c>
      <c r="I1033" s="101">
        <f t="shared" si="18"/>
        <v>7.1599045346062117E-3</v>
      </c>
    </row>
    <row r="1034" spans="1:9" x14ac:dyDescent="0.3">
      <c r="A1034" s="100" t="s">
        <v>20</v>
      </c>
      <c r="B1034" s="100" t="s">
        <v>32</v>
      </c>
      <c r="C1034" s="100" t="s">
        <v>22</v>
      </c>
      <c r="D1034" s="102">
        <v>45688</v>
      </c>
      <c r="E1034" s="103">
        <v>0.82099999999999995</v>
      </c>
      <c r="F1034" s="100">
        <v>0</v>
      </c>
      <c r="G1034" s="100" t="s">
        <v>13</v>
      </c>
      <c r="H1034" s="103">
        <v>0.56999999999999995</v>
      </c>
      <c r="I1034" s="101">
        <f t="shared" si="18"/>
        <v>1.3221153846153858E-2</v>
      </c>
    </row>
    <row r="1035" spans="1:9" x14ac:dyDescent="0.3">
      <c r="A1035" s="100" t="s">
        <v>20</v>
      </c>
      <c r="B1035" s="100" t="s">
        <v>32</v>
      </c>
      <c r="C1035" s="100" t="s">
        <v>22</v>
      </c>
      <c r="D1035" s="102">
        <v>45716</v>
      </c>
      <c r="E1035" s="103">
        <v>0.81399999999999995</v>
      </c>
      <c r="F1035" s="100">
        <v>1</v>
      </c>
      <c r="G1035" s="100" t="s">
        <v>13</v>
      </c>
      <c r="H1035" s="103">
        <v>0.56999999999999995</v>
      </c>
      <c r="I1035" s="101">
        <f t="shared" si="18"/>
        <v>8.5261875761266821E-3</v>
      </c>
    </row>
    <row r="1036" spans="1:9" x14ac:dyDescent="0.3">
      <c r="A1036" s="100" t="s">
        <v>20</v>
      </c>
      <c r="B1036" s="100" t="s">
        <v>32</v>
      </c>
      <c r="C1036" s="100" t="s">
        <v>22</v>
      </c>
      <c r="D1036" s="102">
        <v>45747</v>
      </c>
      <c r="E1036" s="103">
        <v>0.77600000000000002</v>
      </c>
      <c r="F1036" s="100">
        <v>0</v>
      </c>
      <c r="G1036" s="100" t="s">
        <v>13</v>
      </c>
      <c r="H1036" s="103">
        <v>0.56999999999999995</v>
      </c>
      <c r="I1036" s="101">
        <f t="shared" si="18"/>
        <v>4.668304668304659E-2</v>
      </c>
    </row>
    <row r="1037" spans="1:9" x14ac:dyDescent="0.3">
      <c r="A1037" s="100" t="s">
        <v>20</v>
      </c>
      <c r="B1037" s="100" t="s">
        <v>32</v>
      </c>
      <c r="C1037" s="100" t="s">
        <v>22</v>
      </c>
      <c r="D1037" s="102">
        <v>45777</v>
      </c>
      <c r="E1037" s="103">
        <v>0.81299999999999994</v>
      </c>
      <c r="F1037" s="100">
        <v>0</v>
      </c>
      <c r="G1037" s="100" t="s">
        <v>13</v>
      </c>
      <c r="H1037" s="103">
        <v>0.56999999999999995</v>
      </c>
      <c r="I1037" s="101">
        <f t="shared" si="18"/>
        <v>-4.7680412371133921E-2</v>
      </c>
    </row>
    <row r="1038" spans="1:9" x14ac:dyDescent="0.3">
      <c r="A1038" s="100" t="s">
        <v>20</v>
      </c>
      <c r="B1038" s="100" t="s">
        <v>32</v>
      </c>
      <c r="C1038" s="100" t="s">
        <v>22</v>
      </c>
      <c r="D1038" s="102">
        <v>45808</v>
      </c>
      <c r="E1038" s="103">
        <v>0.83899999999999997</v>
      </c>
      <c r="F1038" s="100">
        <v>0</v>
      </c>
      <c r="G1038" s="100" t="s">
        <v>13</v>
      </c>
      <c r="H1038" s="103">
        <v>0.56999999999999995</v>
      </c>
      <c r="I1038" s="101">
        <f t="shared" si="18"/>
        <v>-3.1980319803198064E-2</v>
      </c>
    </row>
    <row r="1039" spans="1:9" x14ac:dyDescent="0.3">
      <c r="A1039" s="100" t="s">
        <v>20</v>
      </c>
      <c r="B1039" s="100" t="s">
        <v>32</v>
      </c>
      <c r="C1039" s="100" t="s">
        <v>22</v>
      </c>
      <c r="D1039" s="102">
        <v>45838</v>
      </c>
      <c r="E1039" s="103">
        <v>0.79600000000000004</v>
      </c>
      <c r="F1039" s="100">
        <v>0</v>
      </c>
      <c r="G1039" s="100" t="s">
        <v>13</v>
      </c>
      <c r="H1039" s="103">
        <v>0.56999999999999995</v>
      </c>
      <c r="I1039" s="101">
        <f t="shared" si="18"/>
        <v>5.1251489868891456E-2</v>
      </c>
    </row>
    <row r="1040" spans="1:9" x14ac:dyDescent="0.3">
      <c r="A1040" s="100" t="s">
        <v>20</v>
      </c>
      <c r="B1040" s="100" t="s">
        <v>32</v>
      </c>
      <c r="C1040" s="100" t="s">
        <v>22</v>
      </c>
      <c r="D1040" s="102">
        <v>45869</v>
      </c>
      <c r="E1040" s="103">
        <v>0.61</v>
      </c>
      <c r="F1040" s="100">
        <v>0</v>
      </c>
      <c r="G1040" s="100" t="s">
        <v>13</v>
      </c>
      <c r="H1040" s="103">
        <v>0.56999999999999995</v>
      </c>
      <c r="I1040" s="101">
        <f t="shared" si="18"/>
        <v>0.23366834170854278</v>
      </c>
    </row>
    <row r="1041" spans="1:9" x14ac:dyDescent="0.3">
      <c r="A1041" s="100" t="s">
        <v>20</v>
      </c>
      <c r="B1041" s="100" t="s">
        <v>32</v>
      </c>
      <c r="C1041" s="100" t="s">
        <v>22</v>
      </c>
      <c r="D1041" s="102">
        <v>45900</v>
      </c>
      <c r="E1041" s="103">
        <v>0.41</v>
      </c>
      <c r="F1041" s="100">
        <v>0</v>
      </c>
      <c r="G1041" s="100" t="s">
        <v>13</v>
      </c>
      <c r="H1041" s="103">
        <v>0.56999999999999995</v>
      </c>
      <c r="I1041" s="101">
        <f t="shared" si="18"/>
        <v>0.32786885245901642</v>
      </c>
    </row>
    <row r="1042" spans="1:9" x14ac:dyDescent="0.3">
      <c r="A1042" s="100" t="s">
        <v>20</v>
      </c>
      <c r="B1042" s="100" t="s">
        <v>32</v>
      </c>
      <c r="C1042" s="100" t="s">
        <v>22</v>
      </c>
      <c r="D1042" s="102">
        <v>45930</v>
      </c>
      <c r="E1042" s="103">
        <v>0.59</v>
      </c>
      <c r="F1042" s="100">
        <v>0</v>
      </c>
      <c r="G1042" s="100" t="s">
        <v>13</v>
      </c>
      <c r="H1042" s="103">
        <v>0.56999999999999995</v>
      </c>
      <c r="I1042" s="101">
        <f t="shared" si="18"/>
        <v>-0.43902439024390244</v>
      </c>
    </row>
    <row r="1043" spans="1:9" x14ac:dyDescent="0.3">
      <c r="A1043" s="100" t="s">
        <v>20</v>
      </c>
      <c r="B1043" s="100" t="s">
        <v>32</v>
      </c>
      <c r="C1043" s="100" t="s">
        <v>22</v>
      </c>
      <c r="D1043" s="102">
        <v>45961</v>
      </c>
      <c r="E1043" s="103">
        <v>0.44</v>
      </c>
      <c r="F1043" s="100">
        <v>0</v>
      </c>
      <c r="G1043" s="100" t="s">
        <v>13</v>
      </c>
      <c r="H1043" s="103">
        <v>0.56999999999999995</v>
      </c>
      <c r="I1043" s="101">
        <f t="shared" si="18"/>
        <v>0.25423728813559315</v>
      </c>
    </row>
    <row r="1044" spans="1:9" x14ac:dyDescent="0.3">
      <c r="A1044" s="100" t="s">
        <v>23</v>
      </c>
      <c r="B1044" s="100" t="s">
        <v>32</v>
      </c>
      <c r="C1044" s="100" t="s">
        <v>24</v>
      </c>
      <c r="D1044" s="102">
        <v>45535</v>
      </c>
      <c r="E1044" s="103">
        <v>0.82830000000000004</v>
      </c>
      <c r="F1044" s="100">
        <v>0</v>
      </c>
      <c r="G1044" s="100" t="s">
        <v>17</v>
      </c>
      <c r="H1044" s="103">
        <v>0.85</v>
      </c>
      <c r="I1044" s="101" t="str">
        <f t="shared" si="18"/>
        <v/>
      </c>
    </row>
    <row r="1045" spans="1:9" x14ac:dyDescent="0.3">
      <c r="A1045" s="100" t="s">
        <v>23</v>
      </c>
      <c r="B1045" s="100" t="s">
        <v>32</v>
      </c>
      <c r="C1045" s="100" t="s">
        <v>24</v>
      </c>
      <c r="D1045" s="102">
        <v>45565</v>
      </c>
      <c r="E1045" s="103">
        <v>0.81189999999999996</v>
      </c>
      <c r="F1045" s="100">
        <v>1</v>
      </c>
      <c r="G1045" s="100" t="s">
        <v>17</v>
      </c>
      <c r="H1045" s="103">
        <v>0.85</v>
      </c>
      <c r="I1045" s="101">
        <f t="shared" si="18"/>
        <v>-1.9799589520705155E-2</v>
      </c>
    </row>
    <row r="1046" spans="1:9" x14ac:dyDescent="0.3">
      <c r="A1046" s="100" t="s">
        <v>23</v>
      </c>
      <c r="B1046" s="100" t="s">
        <v>32</v>
      </c>
      <c r="C1046" s="100" t="s">
        <v>24</v>
      </c>
      <c r="D1046" s="102">
        <v>45596</v>
      </c>
      <c r="E1046" s="103">
        <v>0.82499999999999996</v>
      </c>
      <c r="F1046" s="100">
        <v>1</v>
      </c>
      <c r="G1046" s="100" t="s">
        <v>17</v>
      </c>
      <c r="H1046" s="103">
        <v>0.85</v>
      </c>
      <c r="I1046" s="101">
        <f t="shared" si="18"/>
        <v>1.6134991994087942E-2</v>
      </c>
    </row>
    <row r="1047" spans="1:9" x14ac:dyDescent="0.3">
      <c r="A1047" s="100" t="s">
        <v>23</v>
      </c>
      <c r="B1047" s="100" t="s">
        <v>32</v>
      </c>
      <c r="C1047" s="100" t="s">
        <v>24</v>
      </c>
      <c r="D1047" s="102">
        <v>45626</v>
      </c>
      <c r="E1047" s="103">
        <v>0.79790000000000005</v>
      </c>
      <c r="F1047" s="100">
        <v>0</v>
      </c>
      <c r="G1047" s="100" t="s">
        <v>17</v>
      </c>
      <c r="H1047" s="103">
        <v>0.85</v>
      </c>
      <c r="I1047" s="101">
        <f t="shared" si="18"/>
        <v>-3.2848484848484731E-2</v>
      </c>
    </row>
    <row r="1048" spans="1:9" x14ac:dyDescent="0.3">
      <c r="A1048" s="100" t="s">
        <v>23</v>
      </c>
      <c r="B1048" s="100" t="s">
        <v>32</v>
      </c>
      <c r="C1048" s="100" t="s">
        <v>24</v>
      </c>
      <c r="D1048" s="102">
        <v>45657</v>
      </c>
      <c r="E1048" s="103">
        <v>0.78200000000000003</v>
      </c>
      <c r="F1048" s="100">
        <v>1</v>
      </c>
      <c r="G1048" s="100" t="s">
        <v>17</v>
      </c>
      <c r="H1048" s="103">
        <v>0.85</v>
      </c>
      <c r="I1048" s="101">
        <f t="shared" si="18"/>
        <v>-1.9927309186614894E-2</v>
      </c>
    </row>
    <row r="1049" spans="1:9" x14ac:dyDescent="0.3">
      <c r="A1049" s="100" t="s">
        <v>23</v>
      </c>
      <c r="B1049" s="100" t="s">
        <v>32</v>
      </c>
      <c r="C1049" s="100" t="s">
        <v>24</v>
      </c>
      <c r="D1049" s="102">
        <v>45688</v>
      </c>
      <c r="E1049" s="103">
        <v>0.74029999999999996</v>
      </c>
      <c r="F1049" s="100">
        <v>1</v>
      </c>
      <c r="G1049" s="100" t="s">
        <v>17</v>
      </c>
      <c r="H1049" s="103">
        <v>0.85</v>
      </c>
      <c r="I1049" s="101">
        <f t="shared" si="18"/>
        <v>-5.3324808184143313E-2</v>
      </c>
    </row>
    <row r="1050" spans="1:9" x14ac:dyDescent="0.3">
      <c r="A1050" s="100" t="s">
        <v>23</v>
      </c>
      <c r="B1050" s="100" t="s">
        <v>32</v>
      </c>
      <c r="C1050" s="100" t="s">
        <v>24</v>
      </c>
      <c r="D1050" s="102">
        <v>45716</v>
      </c>
      <c r="E1050" s="103">
        <v>0.66669999999999996</v>
      </c>
      <c r="F1050" s="100">
        <v>1</v>
      </c>
      <c r="G1050" s="100" t="s">
        <v>17</v>
      </c>
      <c r="H1050" s="103">
        <v>0.85</v>
      </c>
      <c r="I1050" s="101">
        <f t="shared" si="18"/>
        <v>-9.9419154396866133E-2</v>
      </c>
    </row>
    <row r="1051" spans="1:9" x14ac:dyDescent="0.3">
      <c r="A1051" s="100" t="s">
        <v>23</v>
      </c>
      <c r="B1051" s="100" t="s">
        <v>32</v>
      </c>
      <c r="C1051" s="100" t="s">
        <v>24</v>
      </c>
      <c r="D1051" s="102">
        <v>45747</v>
      </c>
      <c r="E1051" s="103">
        <v>0.75</v>
      </c>
      <c r="F1051" s="100">
        <v>0</v>
      </c>
      <c r="G1051" s="100" t="s">
        <v>17</v>
      </c>
      <c r="H1051" s="103">
        <v>0.85</v>
      </c>
      <c r="I1051" s="101">
        <f t="shared" si="18"/>
        <v>0.12494375281235945</v>
      </c>
    </row>
    <row r="1052" spans="1:9" x14ac:dyDescent="0.3">
      <c r="A1052" s="100" t="s">
        <v>23</v>
      </c>
      <c r="B1052" s="100" t="s">
        <v>32</v>
      </c>
      <c r="C1052" s="100" t="s">
        <v>24</v>
      </c>
      <c r="D1052" s="102">
        <v>45777</v>
      </c>
      <c r="E1052" s="103">
        <v>0.73680000000000001</v>
      </c>
      <c r="F1052" s="100">
        <v>1</v>
      </c>
      <c r="G1052" s="100" t="s">
        <v>17</v>
      </c>
      <c r="H1052" s="103">
        <v>0.85</v>
      </c>
      <c r="I1052" s="101">
        <f t="shared" si="18"/>
        <v>-1.7599999999999987E-2</v>
      </c>
    </row>
    <row r="1053" spans="1:9" x14ac:dyDescent="0.3">
      <c r="A1053" s="100" t="s">
        <v>23</v>
      </c>
      <c r="B1053" s="100" t="s">
        <v>32</v>
      </c>
      <c r="C1053" s="100" t="s">
        <v>24</v>
      </c>
      <c r="D1053" s="102">
        <v>45808</v>
      </c>
      <c r="E1053" s="103">
        <v>0.77890000000000004</v>
      </c>
      <c r="F1053" s="100">
        <v>0</v>
      </c>
      <c r="G1053" s="100" t="s">
        <v>17</v>
      </c>
      <c r="H1053" s="103">
        <v>0.85</v>
      </c>
      <c r="I1053" s="101">
        <f t="shared" si="18"/>
        <v>5.7138979370249761E-2</v>
      </c>
    </row>
    <row r="1054" spans="1:9" x14ac:dyDescent="0.3">
      <c r="A1054" s="100" t="s">
        <v>23</v>
      </c>
      <c r="B1054" s="100" t="s">
        <v>32</v>
      </c>
      <c r="C1054" s="100" t="s">
        <v>24</v>
      </c>
      <c r="D1054" s="102">
        <v>45838</v>
      </c>
      <c r="E1054" s="103">
        <v>0.73599999999999999</v>
      </c>
      <c r="F1054" s="100">
        <v>0</v>
      </c>
      <c r="G1054" s="100" t="s">
        <v>17</v>
      </c>
      <c r="H1054" s="103">
        <v>0.85</v>
      </c>
      <c r="I1054" s="101">
        <f t="shared" si="18"/>
        <v>-5.5077673642316145E-2</v>
      </c>
    </row>
    <row r="1055" spans="1:9" x14ac:dyDescent="0.3">
      <c r="A1055" s="100" t="s">
        <v>23</v>
      </c>
      <c r="B1055" s="100" t="s">
        <v>32</v>
      </c>
      <c r="C1055" s="100" t="s">
        <v>24</v>
      </c>
      <c r="D1055" s="102">
        <v>45869</v>
      </c>
      <c r="E1055" s="103">
        <v>0.79</v>
      </c>
      <c r="F1055" s="100">
        <v>0</v>
      </c>
      <c r="G1055" s="100" t="s">
        <v>17</v>
      </c>
      <c r="H1055" s="103">
        <v>0.85</v>
      </c>
      <c r="I1055" s="101">
        <f t="shared" si="18"/>
        <v>7.3369565217391366E-2</v>
      </c>
    </row>
    <row r="1056" spans="1:9" x14ac:dyDescent="0.3">
      <c r="A1056" s="100" t="s">
        <v>23</v>
      </c>
      <c r="B1056" s="100" t="s">
        <v>32</v>
      </c>
      <c r="C1056" s="100" t="s">
        <v>24</v>
      </c>
      <c r="D1056" s="102">
        <v>45900</v>
      </c>
      <c r="E1056" s="103">
        <v>0.76400000000000001</v>
      </c>
      <c r="F1056" s="100">
        <v>0</v>
      </c>
      <c r="G1056" s="100" t="s">
        <v>17</v>
      </c>
      <c r="H1056" s="103">
        <v>0.85</v>
      </c>
      <c r="I1056" s="101">
        <f t="shared" si="18"/>
        <v>-3.2911392405063321E-2</v>
      </c>
    </row>
    <row r="1057" spans="1:9" x14ac:dyDescent="0.3">
      <c r="A1057" s="100" t="s">
        <v>23</v>
      </c>
      <c r="B1057" s="100" t="s">
        <v>32</v>
      </c>
      <c r="C1057" s="100" t="s">
        <v>24</v>
      </c>
      <c r="D1057" s="102">
        <v>45930</v>
      </c>
      <c r="E1057" s="103">
        <v>0.73799999999999999</v>
      </c>
      <c r="F1057" s="100">
        <v>0</v>
      </c>
      <c r="G1057" s="100" t="s">
        <v>17</v>
      </c>
      <c r="H1057" s="103">
        <v>0.85</v>
      </c>
      <c r="I1057" s="101">
        <f t="shared" si="18"/>
        <v>-3.4031413612565474E-2</v>
      </c>
    </row>
    <row r="1058" spans="1:9" x14ac:dyDescent="0.3">
      <c r="A1058" s="100" t="s">
        <v>23</v>
      </c>
      <c r="B1058" s="100" t="s">
        <v>32</v>
      </c>
      <c r="C1058" s="100" t="s">
        <v>24</v>
      </c>
      <c r="D1058" s="102">
        <v>45961</v>
      </c>
      <c r="E1058" s="103">
        <v>0.74399999999999999</v>
      </c>
      <c r="F1058" s="100">
        <v>0</v>
      </c>
      <c r="G1058" s="100" t="s">
        <v>17</v>
      </c>
      <c r="H1058" s="103">
        <v>0.85</v>
      </c>
      <c r="I1058" s="101">
        <f t="shared" si="18"/>
        <v>8.1300813008130159E-3</v>
      </c>
    </row>
    <row r="1059" spans="1:9" x14ac:dyDescent="0.3">
      <c r="A1059" s="100" t="s">
        <v>23</v>
      </c>
      <c r="B1059" s="100" t="s">
        <v>32</v>
      </c>
      <c r="C1059" s="100" t="s">
        <v>24</v>
      </c>
      <c r="D1059" s="102">
        <v>45991</v>
      </c>
      <c r="E1059" s="103">
        <v>0.78200000000000003</v>
      </c>
      <c r="F1059" s="100">
        <v>0</v>
      </c>
      <c r="G1059" s="100" t="s">
        <v>17</v>
      </c>
      <c r="H1059" s="103">
        <v>0.85</v>
      </c>
      <c r="I1059" s="101">
        <f t="shared" si="18"/>
        <v>5.1075268817204346E-2</v>
      </c>
    </row>
    <row r="1060" spans="1:9" x14ac:dyDescent="0.3">
      <c r="A1060" s="100" t="s">
        <v>23</v>
      </c>
      <c r="B1060" s="100" t="s">
        <v>32</v>
      </c>
      <c r="C1060" s="100" t="s">
        <v>25</v>
      </c>
      <c r="D1060" s="102">
        <v>45535</v>
      </c>
      <c r="E1060" s="103">
        <v>0.68869999999999998</v>
      </c>
      <c r="F1060" s="100">
        <v>0</v>
      </c>
      <c r="G1060" s="100" t="s">
        <v>17</v>
      </c>
      <c r="H1060" s="103">
        <v>0.65</v>
      </c>
      <c r="I1060" s="101" t="str">
        <f t="shared" si="18"/>
        <v/>
      </c>
    </row>
    <row r="1061" spans="1:9" x14ac:dyDescent="0.3">
      <c r="A1061" s="100" t="s">
        <v>23</v>
      </c>
      <c r="B1061" s="100" t="s">
        <v>32</v>
      </c>
      <c r="C1061" s="100" t="s">
        <v>25</v>
      </c>
      <c r="D1061" s="102">
        <v>45565</v>
      </c>
      <c r="E1061" s="103">
        <v>0.65049999999999997</v>
      </c>
      <c r="F1061" s="100">
        <v>0</v>
      </c>
      <c r="G1061" s="100" t="s">
        <v>17</v>
      </c>
      <c r="H1061" s="103">
        <v>0.65</v>
      </c>
      <c r="I1061" s="101">
        <f t="shared" si="18"/>
        <v>-5.5466821547843784E-2</v>
      </c>
    </row>
    <row r="1062" spans="1:9" x14ac:dyDescent="0.3">
      <c r="A1062" s="100" t="s">
        <v>23</v>
      </c>
      <c r="B1062" s="100" t="s">
        <v>32</v>
      </c>
      <c r="C1062" s="100" t="s">
        <v>25</v>
      </c>
      <c r="D1062" s="102">
        <v>45596</v>
      </c>
      <c r="E1062" s="103">
        <v>0.73809999999999998</v>
      </c>
      <c r="F1062" s="100">
        <v>0</v>
      </c>
      <c r="G1062" s="100" t="s">
        <v>17</v>
      </c>
      <c r="H1062" s="103">
        <v>0.65</v>
      </c>
      <c r="I1062" s="101">
        <f t="shared" si="18"/>
        <v>0.13466564181398927</v>
      </c>
    </row>
    <row r="1063" spans="1:9" x14ac:dyDescent="0.3">
      <c r="A1063" s="100" t="s">
        <v>23</v>
      </c>
      <c r="B1063" s="100" t="s">
        <v>32</v>
      </c>
      <c r="C1063" s="100" t="s">
        <v>25</v>
      </c>
      <c r="D1063" s="102">
        <v>45626</v>
      </c>
      <c r="E1063" s="103">
        <v>0.70299999999999996</v>
      </c>
      <c r="F1063" s="100">
        <v>0</v>
      </c>
      <c r="G1063" s="100" t="s">
        <v>17</v>
      </c>
      <c r="H1063" s="103">
        <v>0.65</v>
      </c>
      <c r="I1063" s="101">
        <f t="shared" si="18"/>
        <v>-4.7554531906245798E-2</v>
      </c>
    </row>
    <row r="1064" spans="1:9" x14ac:dyDescent="0.3">
      <c r="A1064" s="100" t="s">
        <v>23</v>
      </c>
      <c r="B1064" s="100" t="s">
        <v>32</v>
      </c>
      <c r="C1064" s="100" t="s">
        <v>25</v>
      </c>
      <c r="D1064" s="102">
        <v>45657</v>
      </c>
      <c r="E1064" s="103">
        <v>0.62670000000000003</v>
      </c>
      <c r="F1064" s="100">
        <v>0</v>
      </c>
      <c r="G1064" s="100" t="s">
        <v>17</v>
      </c>
      <c r="H1064" s="103">
        <v>0.65</v>
      </c>
      <c r="I1064" s="101">
        <f t="shared" si="18"/>
        <v>-0.1085348506401137</v>
      </c>
    </row>
    <row r="1065" spans="1:9" x14ac:dyDescent="0.3">
      <c r="A1065" s="100" t="s">
        <v>23</v>
      </c>
      <c r="B1065" s="100" t="s">
        <v>32</v>
      </c>
      <c r="C1065" s="100" t="s">
        <v>25</v>
      </c>
      <c r="D1065" s="102">
        <v>45688</v>
      </c>
      <c r="E1065" s="103">
        <v>0.72729999999999995</v>
      </c>
      <c r="F1065" s="100">
        <v>0</v>
      </c>
      <c r="G1065" s="100" t="s">
        <v>17</v>
      </c>
      <c r="H1065" s="103">
        <v>0.65</v>
      </c>
      <c r="I1065" s="101">
        <f t="shared" si="18"/>
        <v>0.16052337641614792</v>
      </c>
    </row>
    <row r="1066" spans="1:9" x14ac:dyDescent="0.3">
      <c r="A1066" s="100" t="s">
        <v>23</v>
      </c>
      <c r="B1066" s="100" t="s">
        <v>32</v>
      </c>
      <c r="C1066" s="100" t="s">
        <v>25</v>
      </c>
      <c r="D1066" s="102">
        <v>45716</v>
      </c>
      <c r="E1066" s="103">
        <v>0.70209999999999995</v>
      </c>
      <c r="F1066" s="100">
        <v>0</v>
      </c>
      <c r="G1066" s="100" t="s">
        <v>17</v>
      </c>
      <c r="H1066" s="103">
        <v>0.65</v>
      </c>
      <c r="I1066" s="101">
        <f t="shared" si="18"/>
        <v>-3.464870067372474E-2</v>
      </c>
    </row>
    <row r="1067" spans="1:9" x14ac:dyDescent="0.3">
      <c r="A1067" s="100" t="s">
        <v>23</v>
      </c>
      <c r="B1067" s="100" t="s">
        <v>32</v>
      </c>
      <c r="C1067" s="100" t="s">
        <v>25</v>
      </c>
      <c r="D1067" s="102">
        <v>45747</v>
      </c>
      <c r="E1067" s="103">
        <v>0.77780000000000005</v>
      </c>
      <c r="F1067" s="100">
        <v>0</v>
      </c>
      <c r="G1067" s="100" t="s">
        <v>17</v>
      </c>
      <c r="H1067" s="103">
        <v>0.65</v>
      </c>
      <c r="I1067" s="101">
        <f t="shared" si="18"/>
        <v>0.10781939894601923</v>
      </c>
    </row>
    <row r="1068" spans="1:9" x14ac:dyDescent="0.3">
      <c r="A1068" s="100" t="s">
        <v>23</v>
      </c>
      <c r="B1068" s="100" t="s">
        <v>32</v>
      </c>
      <c r="C1068" s="100" t="s">
        <v>25</v>
      </c>
      <c r="D1068" s="102">
        <v>45777</v>
      </c>
      <c r="E1068" s="103">
        <v>0.58950000000000002</v>
      </c>
      <c r="F1068" s="100">
        <v>0</v>
      </c>
      <c r="G1068" s="100" t="s">
        <v>17</v>
      </c>
      <c r="H1068" s="103">
        <v>0.65</v>
      </c>
      <c r="I1068" s="101">
        <f t="shared" si="18"/>
        <v>-0.24209308305476987</v>
      </c>
    </row>
    <row r="1069" spans="1:9" x14ac:dyDescent="0.3">
      <c r="A1069" s="100" t="s">
        <v>23</v>
      </c>
      <c r="B1069" s="100" t="s">
        <v>32</v>
      </c>
      <c r="C1069" s="100" t="s">
        <v>25</v>
      </c>
      <c r="D1069" s="102">
        <v>45808</v>
      </c>
      <c r="E1069" s="103">
        <v>0.68889999999999996</v>
      </c>
      <c r="F1069" s="100">
        <v>0</v>
      </c>
      <c r="G1069" s="100" t="s">
        <v>17</v>
      </c>
      <c r="H1069" s="103">
        <v>0.65</v>
      </c>
      <c r="I1069" s="101">
        <f t="shared" si="18"/>
        <v>0.1686174724342662</v>
      </c>
    </row>
    <row r="1070" spans="1:9" x14ac:dyDescent="0.3">
      <c r="A1070" s="100" t="s">
        <v>23</v>
      </c>
      <c r="B1070" s="100" t="s">
        <v>32</v>
      </c>
      <c r="C1070" s="100" t="s">
        <v>25</v>
      </c>
      <c r="D1070" s="102">
        <v>45838</v>
      </c>
      <c r="E1070" s="103">
        <v>0.66959999999999997</v>
      </c>
      <c r="F1070" s="100">
        <v>0</v>
      </c>
      <c r="G1070" s="100" t="s">
        <v>17</v>
      </c>
      <c r="H1070" s="103">
        <v>0.65</v>
      </c>
      <c r="I1070" s="101">
        <f t="shared" si="18"/>
        <v>-2.8015677166497294E-2</v>
      </c>
    </row>
    <row r="1071" spans="1:9" x14ac:dyDescent="0.3">
      <c r="A1071" s="100" t="s">
        <v>23</v>
      </c>
      <c r="B1071" s="100" t="s">
        <v>32</v>
      </c>
      <c r="C1071" s="100" t="s">
        <v>25</v>
      </c>
      <c r="D1071" s="102">
        <v>45869</v>
      </c>
      <c r="E1071" s="103">
        <v>0.83799999999999997</v>
      </c>
      <c r="F1071" s="100">
        <v>0</v>
      </c>
      <c r="G1071" s="100" t="s">
        <v>17</v>
      </c>
      <c r="H1071" s="103">
        <v>0.65</v>
      </c>
      <c r="I1071" s="101">
        <f t="shared" si="18"/>
        <v>0.25149342891278376</v>
      </c>
    </row>
    <row r="1072" spans="1:9" x14ac:dyDescent="0.3">
      <c r="A1072" s="100" t="s">
        <v>23</v>
      </c>
      <c r="B1072" s="100" t="s">
        <v>32</v>
      </c>
      <c r="C1072" s="100" t="s">
        <v>25</v>
      </c>
      <c r="D1072" s="102">
        <v>45900</v>
      </c>
      <c r="E1072" s="103">
        <v>0.83799999999999997</v>
      </c>
      <c r="F1072" s="100">
        <v>0</v>
      </c>
      <c r="G1072" s="100" t="s">
        <v>17</v>
      </c>
      <c r="H1072" s="103">
        <v>0.65</v>
      </c>
      <c r="I1072" s="101">
        <f t="shared" si="18"/>
        <v>0</v>
      </c>
    </row>
    <row r="1073" spans="1:9" x14ac:dyDescent="0.3">
      <c r="A1073" s="100" t="s">
        <v>23</v>
      </c>
      <c r="B1073" s="100" t="s">
        <v>32</v>
      </c>
      <c r="C1073" s="100" t="s">
        <v>25</v>
      </c>
      <c r="D1073" s="102">
        <v>45930</v>
      </c>
      <c r="E1073" s="103">
        <v>0.75800000000000001</v>
      </c>
      <c r="F1073" s="100">
        <v>0</v>
      </c>
      <c r="G1073" s="100" t="s">
        <v>17</v>
      </c>
      <c r="H1073" s="103">
        <v>0.65</v>
      </c>
      <c r="I1073" s="101">
        <f t="shared" si="18"/>
        <v>-9.5465393794749359E-2</v>
      </c>
    </row>
    <row r="1074" spans="1:9" x14ac:dyDescent="0.3">
      <c r="A1074" s="100" t="s">
        <v>23</v>
      </c>
      <c r="B1074" s="100" t="s">
        <v>32</v>
      </c>
      <c r="C1074" s="100" t="s">
        <v>25</v>
      </c>
      <c r="D1074" s="102">
        <v>45961</v>
      </c>
      <c r="E1074" s="103">
        <v>0.77300000000000002</v>
      </c>
      <c r="F1074" s="100">
        <v>0</v>
      </c>
      <c r="G1074" s="100" t="s">
        <v>17</v>
      </c>
      <c r="H1074" s="103">
        <v>0.65</v>
      </c>
      <c r="I1074" s="101">
        <f t="shared" si="18"/>
        <v>1.9788918205804768E-2</v>
      </c>
    </row>
    <row r="1075" spans="1:9" x14ac:dyDescent="0.3">
      <c r="A1075" s="100" t="s">
        <v>23</v>
      </c>
      <c r="B1075" s="100" t="s">
        <v>32</v>
      </c>
      <c r="C1075" s="100" t="s">
        <v>25</v>
      </c>
      <c r="D1075" s="102">
        <v>45991</v>
      </c>
      <c r="E1075" s="103">
        <v>0.80200000000000005</v>
      </c>
      <c r="F1075" s="100">
        <v>0</v>
      </c>
      <c r="G1075" s="100" t="s">
        <v>17</v>
      </c>
      <c r="H1075" s="103">
        <v>0.65</v>
      </c>
      <c r="I1075" s="101">
        <f t="shared" si="18"/>
        <v>3.7516170763260061E-2</v>
      </c>
    </row>
    <row r="1076" spans="1:9" x14ac:dyDescent="0.3">
      <c r="A1076" s="100" t="s">
        <v>23</v>
      </c>
      <c r="B1076" s="100" t="s">
        <v>32</v>
      </c>
      <c r="C1076" s="100" t="s">
        <v>26</v>
      </c>
      <c r="D1076" s="102">
        <v>45535</v>
      </c>
      <c r="E1076" s="103">
        <v>0.89319999999999999</v>
      </c>
      <c r="F1076" s="100">
        <v>0</v>
      </c>
      <c r="G1076" s="100" t="s">
        <v>17</v>
      </c>
      <c r="H1076" s="103">
        <v>0.85</v>
      </c>
      <c r="I1076" s="101" t="str">
        <f t="shared" si="18"/>
        <v/>
      </c>
    </row>
    <row r="1077" spans="1:9" x14ac:dyDescent="0.3">
      <c r="A1077" s="100" t="s">
        <v>23</v>
      </c>
      <c r="B1077" s="100" t="s">
        <v>32</v>
      </c>
      <c r="C1077" s="100" t="s">
        <v>26</v>
      </c>
      <c r="D1077" s="102">
        <v>45565</v>
      </c>
      <c r="E1077" s="103">
        <v>0.84619999999999995</v>
      </c>
      <c r="F1077" s="100">
        <v>0</v>
      </c>
      <c r="G1077" s="100" t="s">
        <v>17</v>
      </c>
      <c r="H1077" s="103">
        <v>0.85</v>
      </c>
      <c r="I1077" s="101">
        <f t="shared" si="18"/>
        <v>-5.2619793999104394E-2</v>
      </c>
    </row>
    <row r="1078" spans="1:9" x14ac:dyDescent="0.3">
      <c r="A1078" s="100" t="s">
        <v>23</v>
      </c>
      <c r="B1078" s="100" t="s">
        <v>32</v>
      </c>
      <c r="C1078" s="100" t="s">
        <v>26</v>
      </c>
      <c r="D1078" s="102">
        <v>45596</v>
      </c>
      <c r="E1078" s="103">
        <v>0.86739999999999995</v>
      </c>
      <c r="F1078" s="100">
        <v>0</v>
      </c>
      <c r="G1078" s="100" t="s">
        <v>17</v>
      </c>
      <c r="H1078" s="103">
        <v>0.85</v>
      </c>
      <c r="I1078" s="101">
        <f t="shared" si="18"/>
        <v>2.5053178917513588E-2</v>
      </c>
    </row>
    <row r="1079" spans="1:9" x14ac:dyDescent="0.3">
      <c r="A1079" s="100" t="s">
        <v>23</v>
      </c>
      <c r="B1079" s="100" t="s">
        <v>32</v>
      </c>
      <c r="C1079" s="100" t="s">
        <v>26</v>
      </c>
      <c r="D1079" s="102">
        <v>45626</v>
      </c>
      <c r="E1079" s="103">
        <v>0.91180000000000005</v>
      </c>
      <c r="F1079" s="100">
        <v>0</v>
      </c>
      <c r="G1079" s="100" t="s">
        <v>17</v>
      </c>
      <c r="H1079" s="103">
        <v>0.85</v>
      </c>
      <c r="I1079" s="101">
        <f t="shared" si="18"/>
        <v>5.1187456767350828E-2</v>
      </c>
    </row>
    <row r="1080" spans="1:9" x14ac:dyDescent="0.3">
      <c r="A1080" s="100" t="s">
        <v>23</v>
      </c>
      <c r="B1080" s="100" t="s">
        <v>32</v>
      </c>
      <c r="C1080" s="100" t="s">
        <v>26</v>
      </c>
      <c r="D1080" s="102">
        <v>45657</v>
      </c>
      <c r="E1080" s="103">
        <v>0.85529999999999995</v>
      </c>
      <c r="F1080" s="100">
        <v>0</v>
      </c>
      <c r="G1080" s="100" t="s">
        <v>17</v>
      </c>
      <c r="H1080" s="103">
        <v>0.85</v>
      </c>
      <c r="I1080" s="101">
        <f t="shared" si="18"/>
        <v>-6.1965343277034547E-2</v>
      </c>
    </row>
    <row r="1081" spans="1:9" x14ac:dyDescent="0.3">
      <c r="A1081" s="100" t="s">
        <v>23</v>
      </c>
      <c r="B1081" s="100" t="s">
        <v>32</v>
      </c>
      <c r="C1081" s="100" t="s">
        <v>26</v>
      </c>
      <c r="D1081" s="102">
        <v>45688</v>
      </c>
      <c r="E1081" s="103">
        <v>0.9</v>
      </c>
      <c r="F1081" s="100">
        <v>0</v>
      </c>
      <c r="G1081" s="100" t="s">
        <v>17</v>
      </c>
      <c r="H1081" s="103">
        <v>0.85</v>
      </c>
      <c r="I1081" s="101">
        <f t="shared" si="18"/>
        <v>5.2262364082778061E-2</v>
      </c>
    </row>
    <row r="1082" spans="1:9" x14ac:dyDescent="0.3">
      <c r="A1082" s="100" t="s">
        <v>23</v>
      </c>
      <c r="B1082" s="100" t="s">
        <v>32</v>
      </c>
      <c r="C1082" s="100" t="s">
        <v>26</v>
      </c>
      <c r="D1082" s="102">
        <v>45716</v>
      </c>
      <c r="E1082" s="103">
        <v>0.82289999999999996</v>
      </c>
      <c r="F1082" s="100">
        <v>0</v>
      </c>
      <c r="G1082" s="100" t="s">
        <v>17</v>
      </c>
      <c r="H1082" s="103">
        <v>0.85</v>
      </c>
      <c r="I1082" s="101">
        <f t="shared" si="18"/>
        <v>-8.5666666666666724E-2</v>
      </c>
    </row>
    <row r="1083" spans="1:9" x14ac:dyDescent="0.3">
      <c r="A1083" s="100" t="s">
        <v>23</v>
      </c>
      <c r="B1083" s="100" t="s">
        <v>32</v>
      </c>
      <c r="C1083" s="100" t="s">
        <v>26</v>
      </c>
      <c r="D1083" s="102">
        <v>45747</v>
      </c>
      <c r="E1083" s="103">
        <v>0.86919999999999997</v>
      </c>
      <c r="F1083" s="100">
        <v>0</v>
      </c>
      <c r="G1083" s="100" t="s">
        <v>17</v>
      </c>
      <c r="H1083" s="103">
        <v>0.85</v>
      </c>
      <c r="I1083" s="101">
        <f t="shared" si="18"/>
        <v>5.6264430672013623E-2</v>
      </c>
    </row>
    <row r="1084" spans="1:9" x14ac:dyDescent="0.3">
      <c r="A1084" s="100" t="s">
        <v>23</v>
      </c>
      <c r="B1084" s="100" t="s">
        <v>32</v>
      </c>
      <c r="C1084" s="100" t="s">
        <v>26</v>
      </c>
      <c r="D1084" s="102">
        <v>45777</v>
      </c>
      <c r="E1084" s="103">
        <v>0.77529999999999999</v>
      </c>
      <c r="F1084" s="100">
        <v>0</v>
      </c>
      <c r="G1084" s="100" t="s">
        <v>17</v>
      </c>
      <c r="H1084" s="103">
        <v>0.85</v>
      </c>
      <c r="I1084" s="101">
        <f t="shared" si="18"/>
        <v>-0.10803037275655773</v>
      </c>
    </row>
    <row r="1085" spans="1:9" x14ac:dyDescent="0.3">
      <c r="A1085" s="100" t="s">
        <v>23</v>
      </c>
      <c r="B1085" s="100" t="s">
        <v>32</v>
      </c>
      <c r="C1085" s="100" t="s">
        <v>26</v>
      </c>
      <c r="D1085" s="102">
        <v>45808</v>
      </c>
      <c r="E1085" s="103">
        <v>0.87239999999999995</v>
      </c>
      <c r="F1085" s="100">
        <v>0</v>
      </c>
      <c r="G1085" s="100" t="s">
        <v>17</v>
      </c>
      <c r="H1085" s="103">
        <v>0.85</v>
      </c>
      <c r="I1085" s="101">
        <f t="shared" si="18"/>
        <v>0.12524184186766407</v>
      </c>
    </row>
    <row r="1086" spans="1:9" x14ac:dyDescent="0.3">
      <c r="A1086" s="100" t="s">
        <v>23</v>
      </c>
      <c r="B1086" s="100" t="s">
        <v>32</v>
      </c>
      <c r="C1086" s="100" t="s">
        <v>26</v>
      </c>
      <c r="D1086" s="102">
        <v>45838</v>
      </c>
      <c r="E1086" s="103">
        <v>0.80169999999999997</v>
      </c>
      <c r="F1086" s="100">
        <v>0</v>
      </c>
      <c r="G1086" s="100" t="s">
        <v>17</v>
      </c>
      <c r="H1086" s="103">
        <v>0.85</v>
      </c>
      <c r="I1086" s="101">
        <f t="shared" si="18"/>
        <v>-8.1040806969280135E-2</v>
      </c>
    </row>
    <row r="1087" spans="1:9" x14ac:dyDescent="0.3">
      <c r="A1087" s="100" t="s">
        <v>23</v>
      </c>
      <c r="B1087" s="100" t="s">
        <v>32</v>
      </c>
      <c r="C1087" s="100" t="s">
        <v>26</v>
      </c>
      <c r="D1087" s="102">
        <v>45869</v>
      </c>
      <c r="E1087" s="103">
        <v>0.90500000000000003</v>
      </c>
      <c r="F1087" s="100">
        <v>0</v>
      </c>
      <c r="G1087" s="100" t="s">
        <v>17</v>
      </c>
      <c r="H1087" s="103">
        <v>0.85</v>
      </c>
      <c r="I1087" s="101">
        <f t="shared" si="18"/>
        <v>0.12885119121866043</v>
      </c>
    </row>
    <row r="1088" spans="1:9" x14ac:dyDescent="0.3">
      <c r="A1088" s="100" t="s">
        <v>23</v>
      </c>
      <c r="B1088" s="100" t="s">
        <v>32</v>
      </c>
      <c r="C1088" s="100" t="s">
        <v>26</v>
      </c>
      <c r="D1088" s="102">
        <v>45900</v>
      </c>
      <c r="E1088" s="103">
        <v>0.94</v>
      </c>
      <c r="F1088" s="100">
        <v>0</v>
      </c>
      <c r="G1088" s="100" t="s">
        <v>17</v>
      </c>
      <c r="H1088" s="103">
        <v>0.85</v>
      </c>
      <c r="I1088" s="101">
        <f t="shared" si="18"/>
        <v>3.8674033149171179E-2</v>
      </c>
    </row>
    <row r="1089" spans="1:9" x14ac:dyDescent="0.3">
      <c r="A1089" s="100" t="s">
        <v>23</v>
      </c>
      <c r="B1089" s="100" t="s">
        <v>32</v>
      </c>
      <c r="C1089" s="100" t="s">
        <v>26</v>
      </c>
      <c r="D1089" s="102">
        <v>45930</v>
      </c>
      <c r="E1089" s="103">
        <v>0.86699999999999999</v>
      </c>
      <c r="F1089" s="100">
        <v>0</v>
      </c>
      <c r="G1089" s="100" t="s">
        <v>17</v>
      </c>
      <c r="H1089" s="103">
        <v>0.85</v>
      </c>
      <c r="I1089" s="101">
        <f t="shared" si="18"/>
        <v>-7.7659574468085066E-2</v>
      </c>
    </row>
    <row r="1090" spans="1:9" x14ac:dyDescent="0.3">
      <c r="A1090" s="100" t="s">
        <v>23</v>
      </c>
      <c r="B1090" s="100" t="s">
        <v>32</v>
      </c>
      <c r="C1090" s="100" t="s">
        <v>26</v>
      </c>
      <c r="D1090" s="102">
        <v>45961</v>
      </c>
      <c r="E1090" s="103">
        <v>0.86099999999999999</v>
      </c>
      <c r="F1090" s="100">
        <v>0</v>
      </c>
      <c r="G1090" s="100" t="s">
        <v>17</v>
      </c>
      <c r="H1090" s="103">
        <v>0.85</v>
      </c>
      <c r="I1090" s="101">
        <f t="shared" si="18"/>
        <v>-6.9204152249135011E-3</v>
      </c>
    </row>
    <row r="1091" spans="1:9" x14ac:dyDescent="0.3">
      <c r="A1091" s="100" t="s">
        <v>23</v>
      </c>
      <c r="B1091" s="100" t="s">
        <v>32</v>
      </c>
      <c r="C1091" s="100" t="s">
        <v>26</v>
      </c>
      <c r="D1091" s="102">
        <v>45991</v>
      </c>
      <c r="E1091" s="103">
        <v>0.86499999999999999</v>
      </c>
      <c r="F1091" s="100">
        <v>0</v>
      </c>
      <c r="G1091" s="100" t="s">
        <v>17</v>
      </c>
      <c r="H1091" s="103">
        <v>0.85</v>
      </c>
      <c r="I1091" s="101">
        <f t="shared" ref="I1091:I1154" si="19">IF(OR(B1091&lt;&gt;B1090,C1091&lt;&gt;C1090),"",IF(E1090=0,"",IF(G1091="UP",(E1091-E1090)/E1090,-((E1091-E1090)/E1090))))</f>
        <v>4.6457607433217233E-3</v>
      </c>
    </row>
    <row r="1092" spans="1:9" x14ac:dyDescent="0.3">
      <c r="A1092" s="100" t="s">
        <v>23</v>
      </c>
      <c r="B1092" s="100" t="s">
        <v>32</v>
      </c>
      <c r="C1092" s="100" t="s">
        <v>27</v>
      </c>
      <c r="D1092" s="102">
        <v>45535</v>
      </c>
      <c r="E1092" s="103">
        <v>0.72</v>
      </c>
      <c r="F1092" s="100">
        <v>0</v>
      </c>
      <c r="G1092" s="100" t="s">
        <v>17</v>
      </c>
      <c r="H1092" s="103">
        <v>0.7</v>
      </c>
      <c r="I1092" s="101" t="str">
        <f t="shared" si="19"/>
        <v/>
      </c>
    </row>
    <row r="1093" spans="1:9" x14ac:dyDescent="0.3">
      <c r="A1093" s="100" t="s">
        <v>23</v>
      </c>
      <c r="B1093" s="100" t="s">
        <v>32</v>
      </c>
      <c r="C1093" s="100" t="s">
        <v>27</v>
      </c>
      <c r="D1093" s="102">
        <v>45565</v>
      </c>
      <c r="E1093" s="103">
        <v>0.7157</v>
      </c>
      <c r="F1093" s="100">
        <v>0</v>
      </c>
      <c r="G1093" s="100" t="s">
        <v>17</v>
      </c>
      <c r="H1093" s="103">
        <v>0.7</v>
      </c>
      <c r="I1093" s="101">
        <f t="shared" si="19"/>
        <v>-5.9722222222221817E-3</v>
      </c>
    </row>
    <row r="1094" spans="1:9" x14ac:dyDescent="0.3">
      <c r="A1094" s="100" t="s">
        <v>23</v>
      </c>
      <c r="B1094" s="100" t="s">
        <v>32</v>
      </c>
      <c r="C1094" s="100" t="s">
        <v>27</v>
      </c>
      <c r="D1094" s="102">
        <v>45596</v>
      </c>
      <c r="E1094" s="103">
        <v>0.63749999999999996</v>
      </c>
      <c r="F1094" s="100">
        <v>0</v>
      </c>
      <c r="G1094" s="100" t="s">
        <v>17</v>
      </c>
      <c r="H1094" s="103">
        <v>0.7</v>
      </c>
      <c r="I1094" s="101">
        <f t="shared" si="19"/>
        <v>-0.10926365795724473</v>
      </c>
    </row>
    <row r="1095" spans="1:9" x14ac:dyDescent="0.3">
      <c r="A1095" s="100" t="s">
        <v>23</v>
      </c>
      <c r="B1095" s="100" t="s">
        <v>32</v>
      </c>
      <c r="C1095" s="100" t="s">
        <v>27</v>
      </c>
      <c r="D1095" s="102">
        <v>45626</v>
      </c>
      <c r="E1095" s="103">
        <v>0.61460000000000004</v>
      </c>
      <c r="F1095" s="100">
        <v>0</v>
      </c>
      <c r="G1095" s="100" t="s">
        <v>17</v>
      </c>
      <c r="H1095" s="103">
        <v>0.7</v>
      </c>
      <c r="I1095" s="101">
        <f t="shared" si="19"/>
        <v>-3.5921568627450856E-2</v>
      </c>
    </row>
    <row r="1096" spans="1:9" x14ac:dyDescent="0.3">
      <c r="A1096" s="100" t="s">
        <v>23</v>
      </c>
      <c r="B1096" s="100" t="s">
        <v>32</v>
      </c>
      <c r="C1096" s="100" t="s">
        <v>27</v>
      </c>
      <c r="D1096" s="102">
        <v>45657</v>
      </c>
      <c r="E1096" s="103">
        <v>0.66200000000000003</v>
      </c>
      <c r="F1096" s="100">
        <v>0</v>
      </c>
      <c r="G1096" s="100" t="s">
        <v>17</v>
      </c>
      <c r="H1096" s="103">
        <v>0.7</v>
      </c>
      <c r="I1096" s="101">
        <f t="shared" si="19"/>
        <v>7.7123332248616977E-2</v>
      </c>
    </row>
    <row r="1097" spans="1:9" x14ac:dyDescent="0.3">
      <c r="A1097" s="100" t="s">
        <v>23</v>
      </c>
      <c r="B1097" s="100" t="s">
        <v>32</v>
      </c>
      <c r="C1097" s="100" t="s">
        <v>27</v>
      </c>
      <c r="D1097" s="102">
        <v>45688</v>
      </c>
      <c r="E1097" s="103">
        <v>0.70369999999999999</v>
      </c>
      <c r="F1097" s="100">
        <v>0</v>
      </c>
      <c r="G1097" s="100" t="s">
        <v>17</v>
      </c>
      <c r="H1097" s="103">
        <v>0.7</v>
      </c>
      <c r="I1097" s="101">
        <f t="shared" si="19"/>
        <v>6.2990936555891178E-2</v>
      </c>
    </row>
    <row r="1098" spans="1:9" x14ac:dyDescent="0.3">
      <c r="A1098" s="100" t="s">
        <v>23</v>
      </c>
      <c r="B1098" s="100" t="s">
        <v>32</v>
      </c>
      <c r="C1098" s="100" t="s">
        <v>27</v>
      </c>
      <c r="D1098" s="102">
        <v>45716</v>
      </c>
      <c r="E1098" s="103">
        <v>0.70830000000000004</v>
      </c>
      <c r="F1098" s="100">
        <v>0</v>
      </c>
      <c r="G1098" s="100" t="s">
        <v>17</v>
      </c>
      <c r="H1098" s="103">
        <v>0.7</v>
      </c>
      <c r="I1098" s="101">
        <f t="shared" si="19"/>
        <v>6.5368765098764367E-3</v>
      </c>
    </row>
    <row r="1099" spans="1:9" x14ac:dyDescent="0.3">
      <c r="A1099" s="100" t="s">
        <v>23</v>
      </c>
      <c r="B1099" s="100" t="s">
        <v>32</v>
      </c>
      <c r="C1099" s="100" t="s">
        <v>27</v>
      </c>
      <c r="D1099" s="102">
        <v>45747</v>
      </c>
      <c r="E1099" s="103">
        <v>0.70089999999999997</v>
      </c>
      <c r="F1099" s="100">
        <v>0</v>
      </c>
      <c r="G1099" s="100" t="s">
        <v>17</v>
      </c>
      <c r="H1099" s="103">
        <v>0.7</v>
      </c>
      <c r="I1099" s="101">
        <f t="shared" si="19"/>
        <v>-1.0447550472963536E-2</v>
      </c>
    </row>
    <row r="1100" spans="1:9" x14ac:dyDescent="0.3">
      <c r="A1100" s="100" t="s">
        <v>23</v>
      </c>
      <c r="B1100" s="100" t="s">
        <v>32</v>
      </c>
      <c r="C1100" s="100" t="s">
        <v>27</v>
      </c>
      <c r="D1100" s="102">
        <v>45777</v>
      </c>
      <c r="E1100" s="103">
        <v>0.69320000000000004</v>
      </c>
      <c r="F1100" s="100">
        <v>0</v>
      </c>
      <c r="G1100" s="100" t="s">
        <v>17</v>
      </c>
      <c r="H1100" s="103">
        <v>0.7</v>
      </c>
      <c r="I1100" s="101">
        <f t="shared" si="19"/>
        <v>-1.0985875303181522E-2</v>
      </c>
    </row>
    <row r="1101" spans="1:9" x14ac:dyDescent="0.3">
      <c r="A1101" s="100" t="s">
        <v>23</v>
      </c>
      <c r="B1101" s="100" t="s">
        <v>32</v>
      </c>
      <c r="C1101" s="100" t="s">
        <v>27</v>
      </c>
      <c r="D1101" s="102">
        <v>45808</v>
      </c>
      <c r="E1101" s="103">
        <v>0.70650000000000002</v>
      </c>
      <c r="F1101" s="100">
        <v>0</v>
      </c>
      <c r="G1101" s="100" t="s">
        <v>17</v>
      </c>
      <c r="H1101" s="103">
        <v>0.7</v>
      </c>
      <c r="I1101" s="101">
        <f t="shared" si="19"/>
        <v>1.9186381996537764E-2</v>
      </c>
    </row>
    <row r="1102" spans="1:9" x14ac:dyDescent="0.3">
      <c r="A1102" s="100" t="s">
        <v>23</v>
      </c>
      <c r="B1102" s="100" t="s">
        <v>32</v>
      </c>
      <c r="C1102" s="100" t="s">
        <v>27</v>
      </c>
      <c r="D1102" s="102">
        <v>45838</v>
      </c>
      <c r="E1102" s="103">
        <v>0.67259999999999998</v>
      </c>
      <c r="F1102" s="100">
        <v>0</v>
      </c>
      <c r="G1102" s="100" t="s">
        <v>17</v>
      </c>
      <c r="H1102" s="103">
        <v>0.7</v>
      </c>
      <c r="I1102" s="101">
        <f t="shared" si="19"/>
        <v>-4.7983014861995812E-2</v>
      </c>
    </row>
    <row r="1103" spans="1:9" x14ac:dyDescent="0.3">
      <c r="A1103" s="100" t="s">
        <v>23</v>
      </c>
      <c r="B1103" s="100" t="s">
        <v>32</v>
      </c>
      <c r="C1103" s="100" t="s">
        <v>27</v>
      </c>
      <c r="D1103" s="102">
        <v>45869</v>
      </c>
      <c r="E1103" s="103">
        <v>0.79100000000000004</v>
      </c>
      <c r="F1103" s="100">
        <v>0</v>
      </c>
      <c r="G1103" s="100" t="s">
        <v>17</v>
      </c>
      <c r="H1103" s="103">
        <v>0.7</v>
      </c>
      <c r="I1103" s="101">
        <f t="shared" si="19"/>
        <v>0.17603330359797809</v>
      </c>
    </row>
    <row r="1104" spans="1:9" x14ac:dyDescent="0.3">
      <c r="A1104" s="100" t="s">
        <v>23</v>
      </c>
      <c r="B1104" s="100" t="s">
        <v>32</v>
      </c>
      <c r="C1104" s="100" t="s">
        <v>27</v>
      </c>
      <c r="D1104" s="102">
        <v>45900</v>
      </c>
      <c r="E1104" s="103">
        <v>0.76700000000000002</v>
      </c>
      <c r="F1104" s="100">
        <v>0</v>
      </c>
      <c r="G1104" s="100" t="s">
        <v>17</v>
      </c>
      <c r="H1104" s="103">
        <v>0.7</v>
      </c>
      <c r="I1104" s="101">
        <f t="shared" si="19"/>
        <v>-3.0341340075853377E-2</v>
      </c>
    </row>
    <row r="1105" spans="1:9" x14ac:dyDescent="0.3">
      <c r="A1105" s="100" t="s">
        <v>23</v>
      </c>
      <c r="B1105" s="100" t="s">
        <v>32</v>
      </c>
      <c r="C1105" s="100" t="s">
        <v>27</v>
      </c>
      <c r="D1105" s="102">
        <v>45930</v>
      </c>
      <c r="E1105" s="103">
        <v>0.629</v>
      </c>
      <c r="F1105" s="100">
        <v>0</v>
      </c>
      <c r="G1105" s="100" t="s">
        <v>17</v>
      </c>
      <c r="H1105" s="103">
        <v>0.7</v>
      </c>
      <c r="I1105" s="101">
        <f t="shared" si="19"/>
        <v>-0.17992177314211213</v>
      </c>
    </row>
    <row r="1106" spans="1:9" x14ac:dyDescent="0.3">
      <c r="A1106" s="100" t="s">
        <v>23</v>
      </c>
      <c r="B1106" s="100" t="s">
        <v>32</v>
      </c>
      <c r="C1106" s="100" t="s">
        <v>27</v>
      </c>
      <c r="D1106" s="102">
        <v>45961</v>
      </c>
      <c r="E1106" s="103">
        <v>0.63500000000000001</v>
      </c>
      <c r="F1106" s="100">
        <v>0</v>
      </c>
      <c r="G1106" s="100" t="s">
        <v>17</v>
      </c>
      <c r="H1106" s="103">
        <v>0.7</v>
      </c>
      <c r="I1106" s="101">
        <f t="shared" si="19"/>
        <v>9.5389507154213116E-3</v>
      </c>
    </row>
    <row r="1107" spans="1:9" x14ac:dyDescent="0.3">
      <c r="A1107" s="100" t="s">
        <v>23</v>
      </c>
      <c r="B1107" s="100" t="s">
        <v>32</v>
      </c>
      <c r="C1107" s="100" t="s">
        <v>27</v>
      </c>
      <c r="D1107" s="102">
        <v>45991</v>
      </c>
      <c r="E1107" s="103">
        <v>0.73299999999999998</v>
      </c>
      <c r="F1107" s="100">
        <v>0</v>
      </c>
      <c r="G1107" s="100" t="s">
        <v>17</v>
      </c>
      <c r="H1107" s="103">
        <v>0.7</v>
      </c>
      <c r="I1107" s="101">
        <f t="shared" si="19"/>
        <v>0.15433070866141729</v>
      </c>
    </row>
    <row r="1108" spans="1:9" x14ac:dyDescent="0.3">
      <c r="A1108" s="100" t="s">
        <v>10</v>
      </c>
      <c r="B1108" s="100" t="s">
        <v>33</v>
      </c>
      <c r="C1108" s="100" t="s">
        <v>12</v>
      </c>
      <c r="D1108" s="102">
        <v>45535</v>
      </c>
      <c r="E1108" s="103">
        <v>0.32035410470986919</v>
      </c>
      <c r="F1108" s="100">
        <v>0</v>
      </c>
      <c r="G1108" s="100" t="s">
        <v>13</v>
      </c>
      <c r="H1108" s="103">
        <v>0.27</v>
      </c>
      <c r="I1108" s="101" t="str">
        <f t="shared" si="19"/>
        <v/>
      </c>
    </row>
    <row r="1109" spans="1:9" x14ac:dyDescent="0.3">
      <c r="A1109" s="100" t="s">
        <v>10</v>
      </c>
      <c r="B1109" s="100" t="s">
        <v>33</v>
      </c>
      <c r="C1109" s="100" t="s">
        <v>12</v>
      </c>
      <c r="D1109" s="102">
        <v>45565</v>
      </c>
      <c r="E1109" s="103">
        <v>0.31469529179971473</v>
      </c>
      <c r="F1109" s="100">
        <v>0</v>
      </c>
      <c r="G1109" s="100" t="s">
        <v>13</v>
      </c>
      <c r="H1109" s="103">
        <v>0.27</v>
      </c>
      <c r="I1109" s="101">
        <f t="shared" si="19"/>
        <v>1.7664243494802122E-2</v>
      </c>
    </row>
    <row r="1110" spans="1:9" x14ac:dyDescent="0.3">
      <c r="A1110" s="100" t="s">
        <v>10</v>
      </c>
      <c r="B1110" s="100" t="s">
        <v>33</v>
      </c>
      <c r="C1110" s="100" t="s">
        <v>12</v>
      </c>
      <c r="D1110" s="102">
        <v>45596</v>
      </c>
      <c r="E1110" s="103">
        <v>0.31744326574459508</v>
      </c>
      <c r="F1110" s="100">
        <v>1</v>
      </c>
      <c r="G1110" s="100" t="s">
        <v>13</v>
      </c>
      <c r="H1110" s="103">
        <v>0.27</v>
      </c>
      <c r="I1110" s="101">
        <f t="shared" si="19"/>
        <v>-8.7321736819287437E-3</v>
      </c>
    </row>
    <row r="1111" spans="1:9" x14ac:dyDescent="0.3">
      <c r="A1111" s="100" t="s">
        <v>10</v>
      </c>
      <c r="B1111" s="100" t="s">
        <v>33</v>
      </c>
      <c r="C1111" s="100" t="s">
        <v>12</v>
      </c>
      <c r="D1111" s="102">
        <v>45626</v>
      </c>
      <c r="E1111" s="103">
        <v>0.31360553299999999</v>
      </c>
      <c r="F1111" s="100">
        <v>0</v>
      </c>
      <c r="G1111" s="100" t="s">
        <v>13</v>
      </c>
      <c r="H1111" s="103">
        <v>0.27</v>
      </c>
      <c r="I1111" s="101">
        <f t="shared" si="19"/>
        <v>1.2089507508037074E-2</v>
      </c>
    </row>
    <row r="1112" spans="1:9" x14ac:dyDescent="0.3">
      <c r="A1112" s="100" t="s">
        <v>10</v>
      </c>
      <c r="B1112" s="100" t="s">
        <v>33</v>
      </c>
      <c r="C1112" s="100" t="s">
        <v>12</v>
      </c>
      <c r="D1112" s="102">
        <v>45657</v>
      </c>
      <c r="E1112" s="103">
        <v>0.31303658697662129</v>
      </c>
      <c r="F1112" s="100">
        <v>0</v>
      </c>
      <c r="G1112" s="100" t="s">
        <v>13</v>
      </c>
      <c r="H1112" s="103">
        <v>0.27</v>
      </c>
      <c r="I1112" s="101">
        <f t="shared" si="19"/>
        <v>1.8142091369883532E-3</v>
      </c>
    </row>
    <row r="1113" spans="1:9" x14ac:dyDescent="0.3">
      <c r="A1113" s="100" t="s">
        <v>10</v>
      </c>
      <c r="B1113" s="100" t="s">
        <v>33</v>
      </c>
      <c r="C1113" s="100" t="s">
        <v>12</v>
      </c>
      <c r="D1113" s="102">
        <v>45688</v>
      </c>
      <c r="E1113" s="103">
        <v>0.30964165511779851</v>
      </c>
      <c r="F1113" s="100">
        <v>0</v>
      </c>
      <c r="G1113" s="100" t="s">
        <v>13</v>
      </c>
      <c r="H1113" s="103">
        <v>0.27</v>
      </c>
      <c r="I1113" s="101">
        <f t="shared" si="19"/>
        <v>1.0845159959133871E-2</v>
      </c>
    </row>
    <row r="1114" spans="1:9" x14ac:dyDescent="0.3">
      <c r="A1114" s="100" t="s">
        <v>10</v>
      </c>
      <c r="B1114" s="100" t="s">
        <v>33</v>
      </c>
      <c r="C1114" s="100" t="s">
        <v>12</v>
      </c>
      <c r="D1114" s="102">
        <v>45716</v>
      </c>
      <c r="E1114" s="103">
        <v>0.29650238473767893</v>
      </c>
      <c r="F1114" s="100">
        <v>0</v>
      </c>
      <c r="G1114" s="100" t="s">
        <v>13</v>
      </c>
      <c r="H1114" s="103">
        <v>0.27</v>
      </c>
      <c r="I1114" s="101">
        <f t="shared" si="19"/>
        <v>4.2433794558813298E-2</v>
      </c>
    </row>
    <row r="1115" spans="1:9" x14ac:dyDescent="0.3">
      <c r="A1115" s="100" t="s">
        <v>10</v>
      </c>
      <c r="B1115" s="100" t="s">
        <v>33</v>
      </c>
      <c r="C1115" s="100" t="s">
        <v>12</v>
      </c>
      <c r="D1115" s="102">
        <v>45747</v>
      </c>
      <c r="E1115" s="103">
        <v>0.29007125258040878</v>
      </c>
      <c r="F1115" s="100">
        <v>0</v>
      </c>
      <c r="G1115" s="100" t="s">
        <v>13</v>
      </c>
      <c r="H1115" s="103">
        <v>0.27</v>
      </c>
      <c r="I1115" s="101">
        <f t="shared" si="19"/>
        <v>2.1689984594760976E-2</v>
      </c>
    </row>
    <row r="1116" spans="1:9" x14ac:dyDescent="0.3">
      <c r="A1116" s="100" t="s">
        <v>10</v>
      </c>
      <c r="B1116" s="100" t="s">
        <v>33</v>
      </c>
      <c r="C1116" s="100" t="s">
        <v>12</v>
      </c>
      <c r="D1116" s="102">
        <v>45777</v>
      </c>
      <c r="E1116" s="103">
        <v>0.28565664716562439</v>
      </c>
      <c r="F1116" s="100">
        <v>0</v>
      </c>
      <c r="G1116" s="100" t="s">
        <v>13</v>
      </c>
      <c r="H1116" s="103">
        <v>0.27</v>
      </c>
      <c r="I1116" s="101">
        <f t="shared" si="19"/>
        <v>1.5219037996744076E-2</v>
      </c>
    </row>
    <row r="1117" spans="1:9" x14ac:dyDescent="0.3">
      <c r="A1117" s="100" t="s">
        <v>10</v>
      </c>
      <c r="B1117" s="100" t="s">
        <v>33</v>
      </c>
      <c r="C1117" s="100" t="s">
        <v>12</v>
      </c>
      <c r="D1117" s="102">
        <v>45808</v>
      </c>
      <c r="E1117" s="103">
        <v>0.290302907094938</v>
      </c>
      <c r="F1117" s="100">
        <v>1</v>
      </c>
      <c r="G1117" s="100" t="s">
        <v>13</v>
      </c>
      <c r="H1117" s="103">
        <v>0.27</v>
      </c>
      <c r="I1117" s="101">
        <f t="shared" si="19"/>
        <v>-1.6265191009609867E-2</v>
      </c>
    </row>
    <row r="1118" spans="1:9" x14ac:dyDescent="0.3">
      <c r="A1118" s="100" t="s">
        <v>10</v>
      </c>
      <c r="B1118" s="100" t="s">
        <v>33</v>
      </c>
      <c r="C1118" s="100" t="s">
        <v>12</v>
      </c>
      <c r="D1118" s="102">
        <v>45838</v>
      </c>
      <c r="E1118" s="103">
        <v>0.27922255680262797</v>
      </c>
      <c r="F1118" s="100">
        <v>1</v>
      </c>
      <c r="G1118" s="100" t="s">
        <v>13</v>
      </c>
      <c r="H1118" s="103">
        <v>0.27</v>
      </c>
      <c r="I1118" s="101">
        <f t="shared" si="19"/>
        <v>3.8168237456493712E-2</v>
      </c>
    </row>
    <row r="1119" spans="1:9" x14ac:dyDescent="0.3">
      <c r="A1119" s="100" t="s">
        <v>10</v>
      </c>
      <c r="B1119" s="100" t="s">
        <v>33</v>
      </c>
      <c r="C1119" s="100" t="s">
        <v>12</v>
      </c>
      <c r="D1119" s="102">
        <v>45869</v>
      </c>
      <c r="E1119" s="103">
        <v>0.27187694865932238</v>
      </c>
      <c r="F1119" s="100">
        <v>0</v>
      </c>
      <c r="G1119" s="100" t="s">
        <v>13</v>
      </c>
      <c r="H1119" s="103">
        <v>0.27</v>
      </c>
      <c r="I1119" s="101">
        <f t="shared" si="19"/>
        <v>2.630735936028954E-2</v>
      </c>
    </row>
    <row r="1120" spans="1:9" x14ac:dyDescent="0.3">
      <c r="A1120" s="100" t="s">
        <v>10</v>
      </c>
      <c r="B1120" s="100" t="s">
        <v>33</v>
      </c>
      <c r="C1120" s="100" t="s">
        <v>12</v>
      </c>
      <c r="D1120" s="102">
        <v>45900</v>
      </c>
      <c r="E1120" s="103">
        <v>0.2699196164151742</v>
      </c>
      <c r="F1120" s="100">
        <v>0</v>
      </c>
      <c r="G1120" s="100" t="s">
        <v>13</v>
      </c>
      <c r="H1120" s="103">
        <v>0.27</v>
      </c>
      <c r="I1120" s="101">
        <f t="shared" si="19"/>
        <v>7.199331365899766E-3</v>
      </c>
    </row>
    <row r="1121" spans="1:9" x14ac:dyDescent="0.3">
      <c r="A1121" s="100" t="s">
        <v>10</v>
      </c>
      <c r="B1121" s="100" t="s">
        <v>33</v>
      </c>
      <c r="C1121" s="100" t="s">
        <v>12</v>
      </c>
      <c r="D1121" s="102">
        <v>45930</v>
      </c>
      <c r="E1121" s="103">
        <v>0.26729898685061437</v>
      </c>
      <c r="F1121" s="100">
        <v>0</v>
      </c>
      <c r="G1121" s="100" t="s">
        <v>13</v>
      </c>
      <c r="H1121" s="103">
        <v>0.27</v>
      </c>
      <c r="I1121" s="101">
        <f t="shared" si="19"/>
        <v>9.7089259364126143E-3</v>
      </c>
    </row>
    <row r="1122" spans="1:9" x14ac:dyDescent="0.3">
      <c r="A1122" s="100" t="s">
        <v>10</v>
      </c>
      <c r="B1122" s="100" t="s">
        <v>33</v>
      </c>
      <c r="C1122" s="100" t="s">
        <v>12</v>
      </c>
      <c r="D1122" s="102">
        <v>45961</v>
      </c>
      <c r="E1122" s="103">
        <v>0.2591754834002189</v>
      </c>
      <c r="F1122" s="100">
        <v>0</v>
      </c>
      <c r="G1122" s="100" t="s">
        <v>13</v>
      </c>
      <c r="H1122" s="103">
        <v>0.27</v>
      </c>
      <c r="I1122" s="101">
        <f t="shared" si="19"/>
        <v>3.0391074601923071E-2</v>
      </c>
    </row>
    <row r="1123" spans="1:9" x14ac:dyDescent="0.3">
      <c r="A1123" s="100" t="s">
        <v>10</v>
      </c>
      <c r="B1123" s="100" t="s">
        <v>33</v>
      </c>
      <c r="C1123" s="100" t="s">
        <v>12</v>
      </c>
      <c r="D1123" s="102">
        <v>45991</v>
      </c>
      <c r="E1123" s="103">
        <v>0.25331456929116358</v>
      </c>
      <c r="F1123" s="100">
        <v>0</v>
      </c>
      <c r="G1123" s="100" t="s">
        <v>13</v>
      </c>
      <c r="H1123" s="103">
        <v>0.27</v>
      </c>
      <c r="I1123" s="101">
        <f t="shared" si="19"/>
        <v>2.2613690277196816E-2</v>
      </c>
    </row>
    <row r="1124" spans="1:9" x14ac:dyDescent="0.3">
      <c r="A1124" s="100" t="s">
        <v>10</v>
      </c>
      <c r="B1124" s="100" t="s">
        <v>33</v>
      </c>
      <c r="C1124" s="100" t="s">
        <v>14</v>
      </c>
      <c r="D1124" s="102">
        <v>45535</v>
      </c>
      <c r="E1124" s="103">
        <v>8.2240592930444695E-2</v>
      </c>
      <c r="F1124" s="100">
        <v>0</v>
      </c>
      <c r="G1124" s="100" t="s">
        <v>13</v>
      </c>
      <c r="H1124" s="103">
        <v>5.3999999999999999E-2</v>
      </c>
      <c r="I1124" s="101" t="str">
        <f t="shared" si="19"/>
        <v/>
      </c>
    </row>
    <row r="1125" spans="1:9" x14ac:dyDescent="0.3">
      <c r="A1125" s="100" t="s">
        <v>10</v>
      </c>
      <c r="B1125" s="100" t="s">
        <v>33</v>
      </c>
      <c r="C1125" s="100" t="s">
        <v>14</v>
      </c>
      <c r="D1125" s="102">
        <v>45565</v>
      </c>
      <c r="E1125" s="103">
        <v>8.1365576102418208E-2</v>
      </c>
      <c r="F1125" s="100">
        <v>0</v>
      </c>
      <c r="G1125" s="100" t="s">
        <v>13</v>
      </c>
      <c r="H1125" s="103">
        <v>5.3999999999999999E-2</v>
      </c>
      <c r="I1125" s="101">
        <f t="shared" si="19"/>
        <v>1.0639719350838531E-2</v>
      </c>
    </row>
    <row r="1126" spans="1:9" x14ac:dyDescent="0.3">
      <c r="A1126" s="100" t="s">
        <v>10</v>
      </c>
      <c r="B1126" s="100" t="s">
        <v>33</v>
      </c>
      <c r="C1126" s="100" t="s">
        <v>14</v>
      </c>
      <c r="D1126" s="102">
        <v>45596</v>
      </c>
      <c r="E1126" s="103">
        <v>7.3217442545668823E-2</v>
      </c>
      <c r="F1126" s="100">
        <v>0</v>
      </c>
      <c r="G1126" s="100" t="s">
        <v>13</v>
      </c>
      <c r="H1126" s="103">
        <v>5.3999999999999999E-2</v>
      </c>
      <c r="I1126" s="101">
        <f t="shared" si="19"/>
        <v>0.10014227081109821</v>
      </c>
    </row>
    <row r="1127" spans="1:9" x14ac:dyDescent="0.3">
      <c r="A1127" s="100" t="s">
        <v>10</v>
      </c>
      <c r="B1127" s="100" t="s">
        <v>33</v>
      </c>
      <c r="C1127" s="100" t="s">
        <v>14</v>
      </c>
      <c r="D1127" s="102">
        <v>45626</v>
      </c>
      <c r="E1127" s="103">
        <v>7.4215874000000001E-2</v>
      </c>
      <c r="F1127" s="100">
        <v>0</v>
      </c>
      <c r="G1127" s="100" t="s">
        <v>13</v>
      </c>
      <c r="H1127" s="103">
        <v>5.3999999999999999E-2</v>
      </c>
      <c r="I1127" s="101">
        <f t="shared" si="19"/>
        <v>-1.3636524571428643E-2</v>
      </c>
    </row>
    <row r="1128" spans="1:9" x14ac:dyDescent="0.3">
      <c r="A1128" s="100" t="s">
        <v>10</v>
      </c>
      <c r="B1128" s="100" t="s">
        <v>33</v>
      </c>
      <c r="C1128" s="100" t="s">
        <v>14</v>
      </c>
      <c r="D1128" s="102">
        <v>45657</v>
      </c>
      <c r="E1128" s="103">
        <v>7.6482677627715795E-2</v>
      </c>
      <c r="F1128" s="100">
        <v>1</v>
      </c>
      <c r="G1128" s="100" t="s">
        <v>13</v>
      </c>
      <c r="H1128" s="103">
        <v>5.3999999999999999E-2</v>
      </c>
      <c r="I1128" s="101">
        <f t="shared" si="19"/>
        <v>-3.0543379812731086E-2</v>
      </c>
    </row>
    <row r="1129" spans="1:9" x14ac:dyDescent="0.3">
      <c r="A1129" s="100" t="s">
        <v>10</v>
      </c>
      <c r="B1129" s="100" t="s">
        <v>33</v>
      </c>
      <c r="C1129" s="100" t="s">
        <v>14</v>
      </c>
      <c r="D1129" s="102">
        <v>45688</v>
      </c>
      <c r="E1129" s="103">
        <v>7.5369530220986386E-2</v>
      </c>
      <c r="F1129" s="100">
        <v>1</v>
      </c>
      <c r="G1129" s="100" t="s">
        <v>13</v>
      </c>
      <c r="H1129" s="103">
        <v>5.3999999999999999E-2</v>
      </c>
      <c r="I1129" s="101">
        <f t="shared" si="19"/>
        <v>1.4554242101037876E-2</v>
      </c>
    </row>
    <row r="1130" spans="1:9" x14ac:dyDescent="0.3">
      <c r="A1130" s="100" t="s">
        <v>10</v>
      </c>
      <c r="B1130" s="100" t="s">
        <v>33</v>
      </c>
      <c r="C1130" s="100" t="s">
        <v>14</v>
      </c>
      <c r="D1130" s="102">
        <v>45716</v>
      </c>
      <c r="E1130" s="103">
        <v>7.9418181818181818E-2</v>
      </c>
      <c r="F1130" s="100">
        <v>1</v>
      </c>
      <c r="G1130" s="100" t="s">
        <v>13</v>
      </c>
      <c r="H1130" s="103">
        <v>5.3999999999999999E-2</v>
      </c>
      <c r="I1130" s="101">
        <f t="shared" si="19"/>
        <v>-5.3717352162400755E-2</v>
      </c>
    </row>
    <row r="1131" spans="1:9" x14ac:dyDescent="0.3">
      <c r="A1131" s="100" t="s">
        <v>10</v>
      </c>
      <c r="B1131" s="100" t="s">
        <v>33</v>
      </c>
      <c r="C1131" s="100" t="s">
        <v>14</v>
      </c>
      <c r="D1131" s="102">
        <v>45747</v>
      </c>
      <c r="E1131" s="103">
        <v>7.9838009835117157E-2</v>
      </c>
      <c r="F1131" s="100">
        <v>1</v>
      </c>
      <c r="G1131" s="100" t="s">
        <v>13</v>
      </c>
      <c r="H1131" s="103">
        <v>5.3999999999999999E-2</v>
      </c>
      <c r="I1131" s="101">
        <f t="shared" si="19"/>
        <v>-5.2862960007883817E-3</v>
      </c>
    </row>
    <row r="1132" spans="1:9" x14ac:dyDescent="0.3">
      <c r="A1132" s="100" t="s">
        <v>10</v>
      </c>
      <c r="B1132" s="100" t="s">
        <v>33</v>
      </c>
      <c r="C1132" s="100" t="s">
        <v>14</v>
      </c>
      <c r="D1132" s="102">
        <v>45777</v>
      </c>
      <c r="E1132" s="103">
        <v>7.0814512603817575E-2</v>
      </c>
      <c r="F1132" s="100">
        <v>1</v>
      </c>
      <c r="G1132" s="100" t="s">
        <v>13</v>
      </c>
      <c r="H1132" s="103">
        <v>5.3999999999999999E-2</v>
      </c>
      <c r="I1132" s="101">
        <f t="shared" si="19"/>
        <v>0.11302257220508208</v>
      </c>
    </row>
    <row r="1133" spans="1:9" x14ac:dyDescent="0.3">
      <c r="A1133" s="100" t="s">
        <v>10</v>
      </c>
      <c r="B1133" s="100" t="s">
        <v>33</v>
      </c>
      <c r="C1133" s="100" t="s">
        <v>14</v>
      </c>
      <c r="D1133" s="102">
        <v>45808</v>
      </c>
      <c r="E1133" s="103">
        <v>6.2490831744168987E-2</v>
      </c>
      <c r="F1133" s="100">
        <v>1</v>
      </c>
      <c r="G1133" s="100" t="s">
        <v>13</v>
      </c>
      <c r="H1133" s="103">
        <v>5.3999999999999999E-2</v>
      </c>
      <c r="I1133" s="101">
        <f t="shared" si="19"/>
        <v>0.11754202004067543</v>
      </c>
    </row>
    <row r="1134" spans="1:9" x14ac:dyDescent="0.3">
      <c r="A1134" s="100" t="s">
        <v>10</v>
      </c>
      <c r="B1134" s="100" t="s">
        <v>33</v>
      </c>
      <c r="C1134" s="100" t="s">
        <v>14</v>
      </c>
      <c r="D1134" s="102">
        <v>45838</v>
      </c>
      <c r="E1134" s="103">
        <v>5.0198733990872962E-2</v>
      </c>
      <c r="F1134" s="100">
        <v>0</v>
      </c>
      <c r="G1134" s="100" t="s">
        <v>13</v>
      </c>
      <c r="H1134" s="103">
        <v>5.3999999999999999E-2</v>
      </c>
      <c r="I1134" s="101">
        <f t="shared" si="19"/>
        <v>0.19670241874229813</v>
      </c>
    </row>
    <row r="1135" spans="1:9" x14ac:dyDescent="0.3">
      <c r="A1135" s="100" t="s">
        <v>10</v>
      </c>
      <c r="B1135" s="100" t="s">
        <v>33</v>
      </c>
      <c r="C1135" s="100" t="s">
        <v>14</v>
      </c>
      <c r="D1135" s="102">
        <v>45869</v>
      </c>
      <c r="E1135" s="103">
        <v>4.7555752473785261E-2</v>
      </c>
      <c r="F1135" s="100">
        <v>0</v>
      </c>
      <c r="G1135" s="100" t="s">
        <v>13</v>
      </c>
      <c r="H1135" s="103">
        <v>5.3999999999999999E-2</v>
      </c>
      <c r="I1135" s="101">
        <f t="shared" si="19"/>
        <v>5.2650362010489019E-2</v>
      </c>
    </row>
    <row r="1136" spans="1:9" x14ac:dyDescent="0.3">
      <c r="A1136" s="100" t="s">
        <v>10</v>
      </c>
      <c r="B1136" s="100" t="s">
        <v>33</v>
      </c>
      <c r="C1136" s="100" t="s">
        <v>14</v>
      </c>
      <c r="D1136" s="102">
        <v>45900</v>
      </c>
      <c r="E1136" s="103">
        <v>4.7844063792085063E-2</v>
      </c>
      <c r="F1136" s="100">
        <v>0</v>
      </c>
      <c r="G1136" s="100" t="s">
        <v>13</v>
      </c>
      <c r="H1136" s="103">
        <v>5.3999999999999999E-2</v>
      </c>
      <c r="I1136" s="101">
        <f t="shared" si="19"/>
        <v>-6.0625960751800106E-3</v>
      </c>
    </row>
    <row r="1137" spans="1:9" x14ac:dyDescent="0.3">
      <c r="A1137" s="100" t="s">
        <v>10</v>
      </c>
      <c r="B1137" s="100" t="s">
        <v>33</v>
      </c>
      <c r="C1137" s="100" t="s">
        <v>14</v>
      </c>
      <c r="D1137" s="102">
        <v>45930</v>
      </c>
      <c r="E1137" s="103">
        <v>4.9587992937021777E-2</v>
      </c>
      <c r="F1137" s="100">
        <v>0</v>
      </c>
      <c r="G1137" s="100" t="s">
        <v>13</v>
      </c>
      <c r="H1137" s="103">
        <v>5.3999999999999999E-2</v>
      </c>
      <c r="I1137" s="101">
        <f t="shared" si="19"/>
        <v>-3.6450272128121679E-2</v>
      </c>
    </row>
    <row r="1138" spans="1:9" x14ac:dyDescent="0.3">
      <c r="A1138" s="100" t="s">
        <v>10</v>
      </c>
      <c r="B1138" s="100" t="s">
        <v>33</v>
      </c>
      <c r="C1138" s="100" t="s">
        <v>14</v>
      </c>
      <c r="D1138" s="102">
        <v>45961</v>
      </c>
      <c r="E1138" s="103">
        <v>4.4058744993324427E-2</v>
      </c>
      <c r="F1138" s="100">
        <v>0</v>
      </c>
      <c r="G1138" s="100" t="s">
        <v>13</v>
      </c>
      <c r="H1138" s="103">
        <v>5.3999999999999999E-2</v>
      </c>
      <c r="I1138" s="101">
        <f t="shared" si="19"/>
        <v>0.11150376565390858</v>
      </c>
    </row>
    <row r="1139" spans="1:9" x14ac:dyDescent="0.3">
      <c r="A1139" s="100" t="s">
        <v>10</v>
      </c>
      <c r="B1139" s="100" t="s">
        <v>33</v>
      </c>
      <c r="C1139" s="100" t="s">
        <v>14</v>
      </c>
      <c r="D1139" s="102">
        <v>45991</v>
      </c>
      <c r="E1139" s="103">
        <v>4.5966785290628698E-2</v>
      </c>
      <c r="F1139" s="100">
        <v>0</v>
      </c>
      <c r="G1139" s="100" t="s">
        <v>13</v>
      </c>
      <c r="H1139" s="103">
        <v>5.3999999999999999E-2</v>
      </c>
      <c r="I1139" s="101">
        <f t="shared" si="19"/>
        <v>-4.3306732808512098E-2</v>
      </c>
    </row>
    <row r="1140" spans="1:9" x14ac:dyDescent="0.3">
      <c r="A1140" s="100" t="s">
        <v>10</v>
      </c>
      <c r="B1140" s="100" t="s">
        <v>33</v>
      </c>
      <c r="C1140" s="100" t="s">
        <v>15</v>
      </c>
      <c r="D1140" s="102">
        <v>45535</v>
      </c>
      <c r="E1140" s="103">
        <v>0.12626058894715611</v>
      </c>
      <c r="F1140" s="100">
        <v>0</v>
      </c>
      <c r="G1140" s="100" t="s">
        <v>13</v>
      </c>
      <c r="H1140" s="103">
        <v>6.6000000000000003E-2</v>
      </c>
      <c r="I1140" s="101" t="str">
        <f t="shared" si="19"/>
        <v/>
      </c>
    </row>
    <row r="1141" spans="1:9" x14ac:dyDescent="0.3">
      <c r="A1141" s="100" t="s">
        <v>10</v>
      </c>
      <c r="B1141" s="100" t="s">
        <v>33</v>
      </c>
      <c r="C1141" s="100" t="s">
        <v>15</v>
      </c>
      <c r="D1141" s="102">
        <v>45565</v>
      </c>
      <c r="E1141" s="103">
        <v>0.1242983159582999</v>
      </c>
      <c r="F1141" s="100">
        <v>0</v>
      </c>
      <c r="G1141" s="100" t="s">
        <v>13</v>
      </c>
      <c r="H1141" s="103">
        <v>6.6000000000000003E-2</v>
      </c>
      <c r="I1141" s="101">
        <f t="shared" si="19"/>
        <v>1.554145284145219E-2</v>
      </c>
    </row>
    <row r="1142" spans="1:9" x14ac:dyDescent="0.3">
      <c r="A1142" s="100" t="s">
        <v>10</v>
      </c>
      <c r="B1142" s="100" t="s">
        <v>33</v>
      </c>
      <c r="C1142" s="100" t="s">
        <v>15</v>
      </c>
      <c r="D1142" s="102">
        <v>45596</v>
      </c>
      <c r="E1142" s="103">
        <v>0.11648528819024589</v>
      </c>
      <c r="F1142" s="100">
        <v>0</v>
      </c>
      <c r="G1142" s="100" t="s">
        <v>13</v>
      </c>
      <c r="H1142" s="103">
        <v>6.6000000000000003E-2</v>
      </c>
      <c r="I1142" s="101">
        <f t="shared" si="19"/>
        <v>6.2857068559763557E-2</v>
      </c>
    </row>
    <row r="1143" spans="1:9" x14ac:dyDescent="0.3">
      <c r="A1143" s="100" t="s">
        <v>10</v>
      </c>
      <c r="B1143" s="100" t="s">
        <v>33</v>
      </c>
      <c r="C1143" s="100" t="s">
        <v>15</v>
      </c>
      <c r="D1143" s="102">
        <v>45626</v>
      </c>
      <c r="E1143" s="103">
        <v>0.11714975800000001</v>
      </c>
      <c r="F1143" s="100">
        <v>0</v>
      </c>
      <c r="G1143" s="100" t="s">
        <v>13</v>
      </c>
      <c r="H1143" s="103">
        <v>6.6000000000000003E-2</v>
      </c>
      <c r="I1143" s="101">
        <f t="shared" si="19"/>
        <v>-5.7043238685119419E-3</v>
      </c>
    </row>
    <row r="1144" spans="1:9" x14ac:dyDescent="0.3">
      <c r="A1144" s="100" t="s">
        <v>10</v>
      </c>
      <c r="B1144" s="100" t="s">
        <v>33</v>
      </c>
      <c r="C1144" s="100" t="s">
        <v>15</v>
      </c>
      <c r="D1144" s="102">
        <v>45657</v>
      </c>
      <c r="E1144" s="103">
        <v>0.1235552012754085</v>
      </c>
      <c r="F1144" s="100">
        <v>1</v>
      </c>
      <c r="G1144" s="100" t="s">
        <v>13</v>
      </c>
      <c r="H1144" s="103">
        <v>6.6000000000000003E-2</v>
      </c>
      <c r="I1144" s="101">
        <f t="shared" si="19"/>
        <v>-5.4677392294813769E-2</v>
      </c>
    </row>
    <row r="1145" spans="1:9" x14ac:dyDescent="0.3">
      <c r="A1145" s="100" t="s">
        <v>10</v>
      </c>
      <c r="B1145" s="100" t="s">
        <v>33</v>
      </c>
      <c r="C1145" s="100" t="s">
        <v>15</v>
      </c>
      <c r="D1145" s="102">
        <v>45688</v>
      </c>
      <c r="E1145" s="103">
        <v>0.12470308788598571</v>
      </c>
      <c r="F1145" s="100">
        <v>1</v>
      </c>
      <c r="G1145" s="100" t="s">
        <v>13</v>
      </c>
      <c r="H1145" s="103">
        <v>6.6000000000000003E-2</v>
      </c>
      <c r="I1145" s="101">
        <f t="shared" si="19"/>
        <v>-9.2904758256070873E-3</v>
      </c>
    </row>
    <row r="1146" spans="1:9" x14ac:dyDescent="0.3">
      <c r="A1146" s="100" t="s">
        <v>10</v>
      </c>
      <c r="B1146" s="100" t="s">
        <v>33</v>
      </c>
      <c r="C1146" s="100" t="s">
        <v>15</v>
      </c>
      <c r="D1146" s="102">
        <v>45716</v>
      </c>
      <c r="E1146" s="103">
        <v>0.13302397525135351</v>
      </c>
      <c r="F1146" s="100">
        <v>1</v>
      </c>
      <c r="G1146" s="100" t="s">
        <v>13</v>
      </c>
      <c r="H1146" s="103">
        <v>6.6000000000000003E-2</v>
      </c>
      <c r="I1146" s="101">
        <f t="shared" si="19"/>
        <v>-6.6725592015616134E-2</v>
      </c>
    </row>
    <row r="1147" spans="1:9" x14ac:dyDescent="0.3">
      <c r="A1147" s="100" t="s">
        <v>10</v>
      </c>
      <c r="B1147" s="100" t="s">
        <v>33</v>
      </c>
      <c r="C1147" s="100" t="s">
        <v>15</v>
      </c>
      <c r="D1147" s="102">
        <v>45747</v>
      </c>
      <c r="E1147" s="103">
        <v>0.13422562141491401</v>
      </c>
      <c r="F1147" s="100">
        <v>1</v>
      </c>
      <c r="G1147" s="100" t="s">
        <v>13</v>
      </c>
      <c r="H1147" s="103">
        <v>6.6000000000000003E-2</v>
      </c>
      <c r="I1147" s="101">
        <f t="shared" si="19"/>
        <v>-9.033305171417004E-3</v>
      </c>
    </row>
    <row r="1148" spans="1:9" x14ac:dyDescent="0.3">
      <c r="A1148" s="100" t="s">
        <v>10</v>
      </c>
      <c r="B1148" s="100" t="s">
        <v>33</v>
      </c>
      <c r="C1148" s="100" t="s">
        <v>15</v>
      </c>
      <c r="D1148" s="102">
        <v>45777</v>
      </c>
      <c r="E1148" s="103">
        <v>0.1145631067961165</v>
      </c>
      <c r="F1148" s="100">
        <v>1</v>
      </c>
      <c r="G1148" s="100" t="s">
        <v>13</v>
      </c>
      <c r="H1148" s="103">
        <v>6.6000000000000003E-2</v>
      </c>
      <c r="I1148" s="101">
        <f t="shared" si="19"/>
        <v>0.14648853483804974</v>
      </c>
    </row>
    <row r="1149" spans="1:9" x14ac:dyDescent="0.3">
      <c r="A1149" s="100" t="s">
        <v>10</v>
      </c>
      <c r="B1149" s="100" t="s">
        <v>33</v>
      </c>
      <c r="C1149" s="100" t="s">
        <v>15</v>
      </c>
      <c r="D1149" s="102">
        <v>45808</v>
      </c>
      <c r="E1149" s="103">
        <v>9.412231930103257E-2</v>
      </c>
      <c r="F1149" s="100">
        <v>1</v>
      </c>
      <c r="G1149" s="100" t="s">
        <v>13</v>
      </c>
      <c r="H1149" s="103">
        <v>6.6000000000000003E-2</v>
      </c>
      <c r="I1149" s="101">
        <f t="shared" si="19"/>
        <v>0.17842382305030891</v>
      </c>
    </row>
    <row r="1150" spans="1:9" x14ac:dyDescent="0.3">
      <c r="A1150" s="100" t="s">
        <v>10</v>
      </c>
      <c r="B1150" s="100" t="s">
        <v>33</v>
      </c>
      <c r="C1150" s="100" t="s">
        <v>15</v>
      </c>
      <c r="D1150" s="102">
        <v>45838</v>
      </c>
      <c r="E1150" s="103">
        <v>7.1768437747819186E-2</v>
      </c>
      <c r="F1150" s="100">
        <v>1</v>
      </c>
      <c r="G1150" s="100" t="s">
        <v>13</v>
      </c>
      <c r="H1150" s="103">
        <v>6.6000000000000003E-2</v>
      </c>
      <c r="I1150" s="101">
        <f t="shared" si="19"/>
        <v>0.23749820148097595</v>
      </c>
    </row>
    <row r="1151" spans="1:9" x14ac:dyDescent="0.3">
      <c r="A1151" s="100" t="s">
        <v>10</v>
      </c>
      <c r="B1151" s="100" t="s">
        <v>33</v>
      </c>
      <c r="C1151" s="100" t="s">
        <v>15</v>
      </c>
      <c r="D1151" s="102">
        <v>45869</v>
      </c>
      <c r="E1151" s="103">
        <v>6.2230919765166343E-2</v>
      </c>
      <c r="F1151" s="100">
        <v>0</v>
      </c>
      <c r="G1151" s="100" t="s">
        <v>13</v>
      </c>
      <c r="H1151" s="103">
        <v>6.6000000000000003E-2</v>
      </c>
      <c r="I1151" s="101">
        <f t="shared" si="19"/>
        <v>0.1328929301229308</v>
      </c>
    </row>
    <row r="1152" spans="1:9" x14ac:dyDescent="0.3">
      <c r="A1152" s="100" t="s">
        <v>10</v>
      </c>
      <c r="B1152" s="100" t="s">
        <v>33</v>
      </c>
      <c r="C1152" s="100" t="s">
        <v>15</v>
      </c>
      <c r="D1152" s="102">
        <v>45900</v>
      </c>
      <c r="E1152" s="103">
        <v>6.3251843228560339E-2</v>
      </c>
      <c r="F1152" s="100">
        <v>0</v>
      </c>
      <c r="G1152" s="100" t="s">
        <v>13</v>
      </c>
      <c r="H1152" s="103">
        <v>6.6000000000000003E-2</v>
      </c>
      <c r="I1152" s="101">
        <f t="shared" si="19"/>
        <v>-1.6405405339444411E-2</v>
      </c>
    </row>
    <row r="1153" spans="1:9" x14ac:dyDescent="0.3">
      <c r="A1153" s="100" t="s">
        <v>10</v>
      </c>
      <c r="B1153" s="100" t="s">
        <v>33</v>
      </c>
      <c r="C1153" s="100" t="s">
        <v>15</v>
      </c>
      <c r="D1153" s="102">
        <v>45930</v>
      </c>
      <c r="E1153" s="103">
        <v>5.644219540677306E-2</v>
      </c>
      <c r="F1153" s="100">
        <v>0</v>
      </c>
      <c r="G1153" s="100" t="s">
        <v>13</v>
      </c>
      <c r="H1153" s="103">
        <v>6.6000000000000003E-2</v>
      </c>
      <c r="I1153" s="101">
        <f t="shared" si="19"/>
        <v>0.10765927875304183</v>
      </c>
    </row>
    <row r="1154" spans="1:9" x14ac:dyDescent="0.3">
      <c r="A1154" s="100" t="s">
        <v>10</v>
      </c>
      <c r="B1154" s="100" t="s">
        <v>33</v>
      </c>
      <c r="C1154" s="100" t="s">
        <v>15</v>
      </c>
      <c r="D1154" s="102">
        <v>45961</v>
      </c>
      <c r="E1154" s="103">
        <v>4.8463356973995272E-2</v>
      </c>
      <c r="F1154" s="100">
        <v>0</v>
      </c>
      <c r="G1154" s="100" t="s">
        <v>13</v>
      </c>
      <c r="H1154" s="103">
        <v>6.6000000000000003E-2</v>
      </c>
      <c r="I1154" s="101">
        <f t="shared" si="19"/>
        <v>0.14136300644004232</v>
      </c>
    </row>
    <row r="1155" spans="1:9" x14ac:dyDescent="0.3">
      <c r="A1155" s="100" t="s">
        <v>10</v>
      </c>
      <c r="B1155" s="100" t="s">
        <v>33</v>
      </c>
      <c r="C1155" s="100" t="s">
        <v>15</v>
      </c>
      <c r="D1155" s="102">
        <v>45991</v>
      </c>
      <c r="E1155" s="103">
        <v>4.6603475513428118E-2</v>
      </c>
      <c r="F1155" s="100">
        <v>0</v>
      </c>
      <c r="G1155" s="100" t="s">
        <v>13</v>
      </c>
      <c r="H1155" s="103">
        <v>6.6000000000000003E-2</v>
      </c>
      <c r="I1155" s="101">
        <f t="shared" ref="I1155:I1218" si="20">IF(OR(B1155&lt;&gt;B1154,C1155&lt;&gt;C1154),"",IF(E1154=0,"",IF(G1155="UP",(E1155-E1154)/E1154,-((E1155-E1154)/E1154))))</f>
        <v>3.8377066235117385E-2</v>
      </c>
    </row>
    <row r="1156" spans="1:9" x14ac:dyDescent="0.3">
      <c r="A1156" s="100" t="s">
        <v>10</v>
      </c>
      <c r="B1156" s="100" t="s">
        <v>33</v>
      </c>
      <c r="C1156" s="100" t="s">
        <v>16</v>
      </c>
      <c r="D1156" s="102">
        <v>45535</v>
      </c>
      <c r="E1156" s="103">
        <v>0.17338709677419359</v>
      </c>
      <c r="F1156" s="100">
        <v>0</v>
      </c>
      <c r="G1156" s="100" t="s">
        <v>17</v>
      </c>
      <c r="H1156" s="103">
        <v>0.16400000000000001</v>
      </c>
      <c r="I1156" s="101" t="str">
        <f t="shared" si="20"/>
        <v/>
      </c>
    </row>
    <row r="1157" spans="1:9" x14ac:dyDescent="0.3">
      <c r="A1157" s="100" t="s">
        <v>10</v>
      </c>
      <c r="B1157" s="100" t="s">
        <v>33</v>
      </c>
      <c r="C1157" s="100" t="s">
        <v>16</v>
      </c>
      <c r="D1157" s="102">
        <v>45565</v>
      </c>
      <c r="E1157" s="103">
        <v>0.16996047430830041</v>
      </c>
      <c r="F1157" s="100">
        <v>0</v>
      </c>
      <c r="G1157" s="100" t="s">
        <v>17</v>
      </c>
      <c r="H1157" s="103">
        <v>0.16400000000000001</v>
      </c>
      <c r="I1157" s="101">
        <f t="shared" si="20"/>
        <v>-1.9762845849802497E-2</v>
      </c>
    </row>
    <row r="1158" spans="1:9" x14ac:dyDescent="0.3">
      <c r="A1158" s="100" t="s">
        <v>10</v>
      </c>
      <c r="B1158" s="100" t="s">
        <v>33</v>
      </c>
      <c r="C1158" s="100" t="s">
        <v>16</v>
      </c>
      <c r="D1158" s="102">
        <v>45596</v>
      </c>
      <c r="E1158" s="103">
        <v>0.17199999999999999</v>
      </c>
      <c r="F1158" s="100">
        <v>0</v>
      </c>
      <c r="G1158" s="100" t="s">
        <v>17</v>
      </c>
      <c r="H1158" s="103">
        <v>0.16400000000000001</v>
      </c>
      <c r="I1158" s="101">
        <f t="shared" si="20"/>
        <v>1.1999999999999811E-2</v>
      </c>
    </row>
    <row r="1159" spans="1:9" x14ac:dyDescent="0.3">
      <c r="A1159" s="100" t="s">
        <v>10</v>
      </c>
      <c r="B1159" s="100" t="s">
        <v>33</v>
      </c>
      <c r="C1159" s="100" t="s">
        <v>16</v>
      </c>
      <c r="D1159" s="102">
        <v>45626</v>
      </c>
      <c r="E1159" s="103">
        <v>0.16935483900000001</v>
      </c>
      <c r="F1159" s="100">
        <v>0</v>
      </c>
      <c r="G1159" s="100" t="s">
        <v>17</v>
      </c>
      <c r="H1159" s="103">
        <v>0.16400000000000001</v>
      </c>
      <c r="I1159" s="101">
        <f t="shared" si="20"/>
        <v>-1.5378843023255694E-2</v>
      </c>
    </row>
    <row r="1160" spans="1:9" x14ac:dyDescent="0.3">
      <c r="A1160" s="100" t="s">
        <v>10</v>
      </c>
      <c r="B1160" s="100" t="s">
        <v>33</v>
      </c>
      <c r="C1160" s="100" t="s">
        <v>16</v>
      </c>
      <c r="D1160" s="102">
        <v>45657</v>
      </c>
      <c r="E1160" s="103">
        <v>0.16935483870967741</v>
      </c>
      <c r="F1160" s="100">
        <v>0</v>
      </c>
      <c r="G1160" s="100" t="s">
        <v>17</v>
      </c>
      <c r="H1160" s="103">
        <v>0.16400000000000001</v>
      </c>
      <c r="I1160" s="101">
        <f t="shared" si="20"/>
        <v>-1.7142858214669166E-9</v>
      </c>
    </row>
    <row r="1161" spans="1:9" x14ac:dyDescent="0.3">
      <c r="A1161" s="100" t="s">
        <v>10</v>
      </c>
      <c r="B1161" s="100" t="s">
        <v>33</v>
      </c>
      <c r="C1161" s="100" t="s">
        <v>16</v>
      </c>
      <c r="D1161" s="102">
        <v>45688</v>
      </c>
      <c r="E1161" s="103">
        <v>0.16400000000000001</v>
      </c>
      <c r="F1161" s="100">
        <v>0</v>
      </c>
      <c r="G1161" s="100" t="s">
        <v>17</v>
      </c>
      <c r="H1161" s="103">
        <v>0.16400000000000001</v>
      </c>
      <c r="I1161" s="101">
        <f t="shared" si="20"/>
        <v>-3.1619047619047512E-2</v>
      </c>
    </row>
    <row r="1162" spans="1:9" x14ac:dyDescent="0.3">
      <c r="A1162" s="100" t="s">
        <v>10</v>
      </c>
      <c r="B1162" s="100" t="s">
        <v>33</v>
      </c>
      <c r="C1162" s="100" t="s">
        <v>16</v>
      </c>
      <c r="D1162" s="102">
        <v>45716</v>
      </c>
      <c r="E1162" s="103">
        <v>0.16666666666666671</v>
      </c>
      <c r="F1162" s="100">
        <v>1</v>
      </c>
      <c r="G1162" s="100" t="s">
        <v>17</v>
      </c>
      <c r="H1162" s="103">
        <v>0.16400000000000001</v>
      </c>
      <c r="I1162" s="101">
        <f t="shared" si="20"/>
        <v>1.6260162601626257E-2</v>
      </c>
    </row>
    <row r="1163" spans="1:9" x14ac:dyDescent="0.3">
      <c r="A1163" s="100" t="s">
        <v>10</v>
      </c>
      <c r="B1163" s="100" t="s">
        <v>33</v>
      </c>
      <c r="C1163" s="100" t="s">
        <v>16</v>
      </c>
      <c r="D1163" s="102">
        <v>45747</v>
      </c>
      <c r="E1163" s="103">
        <v>0.16666666666666671</v>
      </c>
      <c r="F1163" s="100">
        <v>1</v>
      </c>
      <c r="G1163" s="100" t="s">
        <v>17</v>
      </c>
      <c r="H1163" s="103">
        <v>0.16400000000000001</v>
      </c>
      <c r="I1163" s="101">
        <f t="shared" si="20"/>
        <v>0</v>
      </c>
    </row>
    <row r="1164" spans="1:9" x14ac:dyDescent="0.3">
      <c r="A1164" s="100" t="s">
        <v>10</v>
      </c>
      <c r="B1164" s="100" t="s">
        <v>33</v>
      </c>
      <c r="C1164" s="100" t="s">
        <v>16</v>
      </c>
      <c r="D1164" s="102">
        <v>45777</v>
      </c>
      <c r="E1164" s="103">
        <v>0.16867469879518071</v>
      </c>
      <c r="F1164" s="100">
        <v>1</v>
      </c>
      <c r="G1164" s="100" t="s">
        <v>17</v>
      </c>
      <c r="H1164" s="103">
        <v>0.16400000000000001</v>
      </c>
      <c r="I1164" s="101">
        <f t="shared" si="20"/>
        <v>1.2048192771083984E-2</v>
      </c>
    </row>
    <row r="1165" spans="1:9" x14ac:dyDescent="0.3">
      <c r="A1165" s="100" t="s">
        <v>10</v>
      </c>
      <c r="B1165" s="100" t="s">
        <v>33</v>
      </c>
      <c r="C1165" s="100" t="s">
        <v>16</v>
      </c>
      <c r="D1165" s="102">
        <v>45808</v>
      </c>
      <c r="E1165" s="103">
        <v>0.16935483870967741</v>
      </c>
      <c r="F1165" s="100">
        <v>1</v>
      </c>
      <c r="G1165" s="100" t="s">
        <v>17</v>
      </c>
      <c r="H1165" s="103">
        <v>0.16400000000000001</v>
      </c>
      <c r="I1165" s="101">
        <f t="shared" si="20"/>
        <v>4.0322580645161315E-3</v>
      </c>
    </row>
    <row r="1166" spans="1:9" x14ac:dyDescent="0.3">
      <c r="A1166" s="100" t="s">
        <v>10</v>
      </c>
      <c r="B1166" s="100" t="s">
        <v>33</v>
      </c>
      <c r="C1166" s="100" t="s">
        <v>16</v>
      </c>
      <c r="D1166" s="102">
        <v>45838</v>
      </c>
      <c r="E1166" s="103">
        <v>0.17551020408163259</v>
      </c>
      <c r="F1166" s="100">
        <v>1</v>
      </c>
      <c r="G1166" s="100" t="s">
        <v>17</v>
      </c>
      <c r="H1166" s="103">
        <v>0.16400000000000001</v>
      </c>
      <c r="I1166" s="101">
        <f t="shared" si="20"/>
        <v>3.6345966958211573E-2</v>
      </c>
    </row>
    <row r="1167" spans="1:9" x14ac:dyDescent="0.3">
      <c r="A1167" s="100" t="s">
        <v>10</v>
      </c>
      <c r="B1167" s="100" t="s">
        <v>33</v>
      </c>
      <c r="C1167" s="100" t="s">
        <v>16</v>
      </c>
      <c r="D1167" s="102">
        <v>45869</v>
      </c>
      <c r="E1167" s="103">
        <v>0.18367346938775511</v>
      </c>
      <c r="F1167" s="100">
        <v>0</v>
      </c>
      <c r="G1167" s="100" t="s">
        <v>17</v>
      </c>
      <c r="H1167" s="103">
        <v>0.16400000000000001</v>
      </c>
      <c r="I1167" s="101">
        <f t="shared" si="20"/>
        <v>4.651162790697716E-2</v>
      </c>
    </row>
    <row r="1168" spans="1:9" x14ac:dyDescent="0.3">
      <c r="A1168" s="100" t="s">
        <v>10</v>
      </c>
      <c r="B1168" s="100" t="s">
        <v>33</v>
      </c>
      <c r="C1168" s="100" t="s">
        <v>16</v>
      </c>
      <c r="D1168" s="102">
        <v>45900</v>
      </c>
      <c r="E1168" s="103">
        <v>0.19008264462809921</v>
      </c>
      <c r="F1168" s="100">
        <v>0</v>
      </c>
      <c r="G1168" s="100" t="s">
        <v>17</v>
      </c>
      <c r="H1168" s="103">
        <v>0.16400000000000001</v>
      </c>
      <c r="I1168" s="101">
        <f t="shared" si="20"/>
        <v>3.4894398530762295E-2</v>
      </c>
    </row>
    <row r="1169" spans="1:9" x14ac:dyDescent="0.3">
      <c r="A1169" s="100" t="s">
        <v>10</v>
      </c>
      <c r="B1169" s="100" t="s">
        <v>33</v>
      </c>
      <c r="C1169" s="100" t="s">
        <v>16</v>
      </c>
      <c r="D1169" s="102">
        <v>45930</v>
      </c>
      <c r="E1169" s="103">
        <v>0.1882845188284519</v>
      </c>
      <c r="F1169" s="100">
        <v>0</v>
      </c>
      <c r="G1169" s="100" t="s">
        <v>17</v>
      </c>
      <c r="H1169" s="103">
        <v>0.16400000000000001</v>
      </c>
      <c r="I1169" s="101">
        <f t="shared" si="20"/>
        <v>-9.4597052937966872E-3</v>
      </c>
    </row>
    <row r="1170" spans="1:9" x14ac:dyDescent="0.3">
      <c r="A1170" s="100" t="s">
        <v>10</v>
      </c>
      <c r="B1170" s="100" t="s">
        <v>33</v>
      </c>
      <c r="C1170" s="100" t="s">
        <v>16</v>
      </c>
      <c r="D1170" s="102">
        <v>45961</v>
      </c>
      <c r="E1170" s="103">
        <v>0.18907563025210081</v>
      </c>
      <c r="F1170" s="100">
        <v>0</v>
      </c>
      <c r="G1170" s="100" t="s">
        <v>17</v>
      </c>
      <c r="H1170" s="103">
        <v>0.16400000000000001</v>
      </c>
      <c r="I1170" s="101">
        <f t="shared" si="20"/>
        <v>4.2016806722686272E-3</v>
      </c>
    </row>
    <row r="1171" spans="1:9" x14ac:dyDescent="0.3">
      <c r="A1171" s="100" t="s">
        <v>10</v>
      </c>
      <c r="B1171" s="100" t="s">
        <v>33</v>
      </c>
      <c r="C1171" s="100" t="s">
        <v>16</v>
      </c>
      <c r="D1171" s="102">
        <v>45991</v>
      </c>
      <c r="E1171" s="103">
        <v>0.18257261410788381</v>
      </c>
      <c r="F1171" s="100">
        <v>0</v>
      </c>
      <c r="G1171" s="100" t="s">
        <v>17</v>
      </c>
      <c r="H1171" s="103">
        <v>0.16400000000000001</v>
      </c>
      <c r="I1171" s="101">
        <f t="shared" si="20"/>
        <v>-3.4393729829414361E-2</v>
      </c>
    </row>
    <row r="1172" spans="1:9" x14ac:dyDescent="0.3">
      <c r="A1172" s="100" t="s">
        <v>10</v>
      </c>
      <c r="B1172" s="100" t="s">
        <v>33</v>
      </c>
      <c r="C1172" s="100" t="s">
        <v>18</v>
      </c>
      <c r="D1172" s="102">
        <v>45535</v>
      </c>
      <c r="E1172" s="103">
        <v>0.13931763884787801</v>
      </c>
      <c r="F1172" s="100">
        <v>1</v>
      </c>
      <c r="G1172" s="100" t="s">
        <v>13</v>
      </c>
      <c r="H1172" s="103">
        <v>0.104</v>
      </c>
      <c r="I1172" s="101" t="str">
        <f t="shared" si="20"/>
        <v/>
      </c>
    </row>
    <row r="1173" spans="1:9" x14ac:dyDescent="0.3">
      <c r="A1173" s="100" t="s">
        <v>10</v>
      </c>
      <c r="B1173" s="100" t="s">
        <v>33</v>
      </c>
      <c r="C1173" s="100" t="s">
        <v>18</v>
      </c>
      <c r="D1173" s="102">
        <v>45565</v>
      </c>
      <c r="E1173" s="103">
        <v>0.13946218891516049</v>
      </c>
      <c r="F1173" s="100">
        <v>1</v>
      </c>
      <c r="G1173" s="100" t="s">
        <v>13</v>
      </c>
      <c r="H1173" s="103">
        <v>0.104</v>
      </c>
      <c r="I1173" s="101">
        <f t="shared" si="20"/>
        <v>-1.0375575446000328E-3</v>
      </c>
    </row>
    <row r="1174" spans="1:9" x14ac:dyDescent="0.3">
      <c r="A1174" s="100" t="s">
        <v>10</v>
      </c>
      <c r="B1174" s="100" t="s">
        <v>33</v>
      </c>
      <c r="C1174" s="100" t="s">
        <v>18</v>
      </c>
      <c r="D1174" s="102">
        <v>45596</v>
      </c>
      <c r="E1174" s="103">
        <v>0.13823411905713151</v>
      </c>
      <c r="F1174" s="100">
        <v>0</v>
      </c>
      <c r="G1174" s="100" t="s">
        <v>13</v>
      </c>
      <c r="H1174" s="103">
        <v>0.104</v>
      </c>
      <c r="I1174" s="101">
        <f t="shared" si="20"/>
        <v>8.805754933160095E-3</v>
      </c>
    </row>
    <row r="1175" spans="1:9" x14ac:dyDescent="0.3">
      <c r="A1175" s="100" t="s">
        <v>10</v>
      </c>
      <c r="B1175" s="100" t="s">
        <v>33</v>
      </c>
      <c r="C1175" s="100" t="s">
        <v>18</v>
      </c>
      <c r="D1175" s="102">
        <v>45626</v>
      </c>
      <c r="E1175" s="103">
        <v>0.13605767299999999</v>
      </c>
      <c r="F1175" s="100">
        <v>0</v>
      </c>
      <c r="G1175" s="100" t="s">
        <v>13</v>
      </c>
      <c r="H1175" s="103">
        <v>0.104</v>
      </c>
      <c r="I1175" s="101">
        <f t="shared" si="20"/>
        <v>1.5744637228324258E-2</v>
      </c>
    </row>
    <row r="1176" spans="1:9" x14ac:dyDescent="0.3">
      <c r="A1176" s="100" t="s">
        <v>10</v>
      </c>
      <c r="B1176" s="100" t="s">
        <v>33</v>
      </c>
      <c r="C1176" s="100" t="s">
        <v>18</v>
      </c>
      <c r="D1176" s="102">
        <v>45657</v>
      </c>
      <c r="E1176" s="103">
        <v>0.13374455636888299</v>
      </c>
      <c r="F1176" s="100">
        <v>0</v>
      </c>
      <c r="G1176" s="100" t="s">
        <v>13</v>
      </c>
      <c r="H1176" s="103">
        <v>0.104</v>
      </c>
      <c r="I1176" s="101">
        <f t="shared" si="20"/>
        <v>1.7001000973440109E-2</v>
      </c>
    </row>
    <row r="1177" spans="1:9" x14ac:dyDescent="0.3">
      <c r="A1177" s="100" t="s">
        <v>10</v>
      </c>
      <c r="B1177" s="100" t="s">
        <v>33</v>
      </c>
      <c r="C1177" s="100" t="s">
        <v>18</v>
      </c>
      <c r="D1177" s="102">
        <v>45688</v>
      </c>
      <c r="E1177" s="103">
        <v>0.13265885647114761</v>
      </c>
      <c r="F1177" s="100">
        <v>0</v>
      </c>
      <c r="G1177" s="100" t="s">
        <v>13</v>
      </c>
      <c r="H1177" s="103">
        <v>0.104</v>
      </c>
      <c r="I1177" s="101">
        <f t="shared" si="20"/>
        <v>8.1177128042572086E-3</v>
      </c>
    </row>
    <row r="1178" spans="1:9" x14ac:dyDescent="0.3">
      <c r="A1178" s="100" t="s">
        <v>10</v>
      </c>
      <c r="B1178" s="100" t="s">
        <v>33</v>
      </c>
      <c r="C1178" s="100" t="s">
        <v>18</v>
      </c>
      <c r="D1178" s="102">
        <v>45716</v>
      </c>
      <c r="E1178" s="103">
        <v>0.12674050632911391</v>
      </c>
      <c r="F1178" s="100">
        <v>0</v>
      </c>
      <c r="G1178" s="100" t="s">
        <v>13</v>
      </c>
      <c r="H1178" s="103">
        <v>0.104</v>
      </c>
      <c r="I1178" s="101">
        <f t="shared" si="20"/>
        <v>4.4613305884488065E-2</v>
      </c>
    </row>
    <row r="1179" spans="1:9" x14ac:dyDescent="0.3">
      <c r="A1179" s="100" t="s">
        <v>10</v>
      </c>
      <c r="B1179" s="100" t="s">
        <v>33</v>
      </c>
      <c r="C1179" s="100" t="s">
        <v>18</v>
      </c>
      <c r="D1179" s="102">
        <v>45747</v>
      </c>
      <c r="E1179" s="103">
        <v>0.12397509969335251</v>
      </c>
      <c r="F1179" s="100">
        <v>0</v>
      </c>
      <c r="G1179" s="100" t="s">
        <v>13</v>
      </c>
      <c r="H1179" s="103">
        <v>0.104</v>
      </c>
      <c r="I1179" s="101">
        <f t="shared" si="20"/>
        <v>2.1819438124858988E-2</v>
      </c>
    </row>
    <row r="1180" spans="1:9" x14ac:dyDescent="0.3">
      <c r="A1180" s="100" t="s">
        <v>10</v>
      </c>
      <c r="B1180" s="100" t="s">
        <v>33</v>
      </c>
      <c r="C1180" s="100" t="s">
        <v>18</v>
      </c>
      <c r="D1180" s="102">
        <v>45777</v>
      </c>
      <c r="E1180" s="103">
        <v>0.1196799074937913</v>
      </c>
      <c r="F1180" s="100">
        <v>0</v>
      </c>
      <c r="G1180" s="100" t="s">
        <v>13</v>
      </c>
      <c r="H1180" s="103">
        <v>0.104</v>
      </c>
      <c r="I1180" s="101">
        <f t="shared" si="20"/>
        <v>3.4645603917118774E-2</v>
      </c>
    </row>
    <row r="1181" spans="1:9" x14ac:dyDescent="0.3">
      <c r="A1181" s="100" t="s">
        <v>10</v>
      </c>
      <c r="B1181" s="100" t="s">
        <v>33</v>
      </c>
      <c r="C1181" s="100" t="s">
        <v>18</v>
      </c>
      <c r="D1181" s="102">
        <v>45808</v>
      </c>
      <c r="E1181" s="103">
        <v>0.1197890704934806</v>
      </c>
      <c r="F1181" s="100">
        <v>0</v>
      </c>
      <c r="G1181" s="100" t="s">
        <v>13</v>
      </c>
      <c r="H1181" s="103">
        <v>0.104</v>
      </c>
      <c r="I1181" s="101">
        <f t="shared" si="20"/>
        <v>-9.1212469975348741E-4</v>
      </c>
    </row>
    <row r="1182" spans="1:9" x14ac:dyDescent="0.3">
      <c r="A1182" s="100" t="s">
        <v>10</v>
      </c>
      <c r="B1182" s="100" t="s">
        <v>33</v>
      </c>
      <c r="C1182" s="100" t="s">
        <v>18</v>
      </c>
      <c r="D1182" s="102">
        <v>45838</v>
      </c>
      <c r="E1182" s="103">
        <v>0.1171214840628316</v>
      </c>
      <c r="F1182" s="100">
        <v>0</v>
      </c>
      <c r="G1182" s="100" t="s">
        <v>13</v>
      </c>
      <c r="H1182" s="103">
        <v>0.104</v>
      </c>
      <c r="I1182" s="101">
        <f t="shared" si="20"/>
        <v>2.2269030218363559E-2</v>
      </c>
    </row>
    <row r="1183" spans="1:9" x14ac:dyDescent="0.3">
      <c r="A1183" s="100" t="s">
        <v>10</v>
      </c>
      <c r="B1183" s="100" t="s">
        <v>33</v>
      </c>
      <c r="C1183" s="100" t="s">
        <v>18</v>
      </c>
      <c r="D1183" s="102">
        <v>45869</v>
      </c>
      <c r="E1183" s="103">
        <v>0.1184386208340969</v>
      </c>
      <c r="F1183" s="100">
        <v>0</v>
      </c>
      <c r="G1183" s="100" t="s">
        <v>13</v>
      </c>
      <c r="H1183" s="103">
        <v>0.104</v>
      </c>
      <c r="I1183" s="101">
        <f t="shared" si="20"/>
        <v>-1.1245902336403969E-2</v>
      </c>
    </row>
    <row r="1184" spans="1:9" x14ac:dyDescent="0.3">
      <c r="A1184" s="100" t="s">
        <v>10</v>
      </c>
      <c r="B1184" s="100" t="s">
        <v>33</v>
      </c>
      <c r="C1184" s="100" t="s">
        <v>18</v>
      </c>
      <c r="D1184" s="102">
        <v>45900</v>
      </c>
      <c r="E1184" s="103">
        <v>0.11683875780299161</v>
      </c>
      <c r="F1184" s="100">
        <v>0</v>
      </c>
      <c r="G1184" s="100" t="s">
        <v>13</v>
      </c>
      <c r="H1184" s="103">
        <v>0.104</v>
      </c>
      <c r="I1184" s="101">
        <f t="shared" si="20"/>
        <v>1.3507950530311416E-2</v>
      </c>
    </row>
    <row r="1185" spans="1:9" x14ac:dyDescent="0.3">
      <c r="A1185" s="100" t="s">
        <v>10</v>
      </c>
      <c r="B1185" s="100" t="s">
        <v>33</v>
      </c>
      <c r="C1185" s="100" t="s">
        <v>18</v>
      </c>
      <c r="D1185" s="102">
        <v>45930</v>
      </c>
      <c r="E1185" s="103">
        <v>0.1162181970474296</v>
      </c>
      <c r="F1185" s="100">
        <v>0</v>
      </c>
      <c r="G1185" s="100" t="s">
        <v>13</v>
      </c>
      <c r="H1185" s="103">
        <v>0.104</v>
      </c>
      <c r="I1185" s="101">
        <f t="shared" si="20"/>
        <v>5.3112577301478187E-3</v>
      </c>
    </row>
    <row r="1186" spans="1:9" x14ac:dyDescent="0.3">
      <c r="A1186" s="100" t="s">
        <v>10</v>
      </c>
      <c r="B1186" s="100" t="s">
        <v>33</v>
      </c>
      <c r="C1186" s="100" t="s">
        <v>18</v>
      </c>
      <c r="D1186" s="102">
        <v>45961</v>
      </c>
      <c r="E1186" s="103">
        <v>0.11551422376635929</v>
      </c>
      <c r="F1186" s="100">
        <v>0</v>
      </c>
      <c r="G1186" s="100" t="s">
        <v>13</v>
      </c>
      <c r="H1186" s="103">
        <v>0.104</v>
      </c>
      <c r="I1186" s="101">
        <f t="shared" si="20"/>
        <v>6.0573412680202336E-3</v>
      </c>
    </row>
    <row r="1187" spans="1:9" x14ac:dyDescent="0.3">
      <c r="A1187" s="100" t="s">
        <v>10</v>
      </c>
      <c r="B1187" s="100" t="s">
        <v>33</v>
      </c>
      <c r="C1187" s="100" t="s">
        <v>18</v>
      </c>
      <c r="D1187" s="102">
        <v>45991</v>
      </c>
      <c r="E1187" s="103">
        <v>0.1130170490862368</v>
      </c>
      <c r="F1187" s="100">
        <v>0</v>
      </c>
      <c r="G1187" s="100" t="s">
        <v>13</v>
      </c>
      <c r="H1187" s="103">
        <v>0.104</v>
      </c>
      <c r="I1187" s="101">
        <f t="shared" si="20"/>
        <v>2.1617897767926067E-2</v>
      </c>
    </row>
    <row r="1188" spans="1:9" x14ac:dyDescent="0.3">
      <c r="A1188" s="100" t="s">
        <v>10</v>
      </c>
      <c r="B1188" s="100" t="s">
        <v>33</v>
      </c>
      <c r="C1188" s="100" t="s">
        <v>19</v>
      </c>
      <c r="D1188" s="102">
        <v>45535</v>
      </c>
      <c r="E1188" s="103">
        <v>0.11647344297654361</v>
      </c>
      <c r="F1188" s="100">
        <v>0</v>
      </c>
      <c r="G1188" s="100" t="s">
        <v>13</v>
      </c>
      <c r="H1188" s="103">
        <v>0.1</v>
      </c>
      <c r="I1188" s="101" t="str">
        <f t="shared" si="20"/>
        <v/>
      </c>
    </row>
    <row r="1189" spans="1:9" x14ac:dyDescent="0.3">
      <c r="A1189" s="100" t="s">
        <v>10</v>
      </c>
      <c r="B1189" s="100" t="s">
        <v>33</v>
      </c>
      <c r="C1189" s="100" t="s">
        <v>19</v>
      </c>
      <c r="D1189" s="102">
        <v>45565</v>
      </c>
      <c r="E1189" s="103">
        <v>0.1147011308562197</v>
      </c>
      <c r="F1189" s="100">
        <v>0</v>
      </c>
      <c r="G1189" s="100" t="s">
        <v>13</v>
      </c>
      <c r="H1189" s="103">
        <v>0.1</v>
      </c>
      <c r="I1189" s="101">
        <f t="shared" si="20"/>
        <v>1.5216448273799416E-2</v>
      </c>
    </row>
    <row r="1190" spans="1:9" x14ac:dyDescent="0.3">
      <c r="A1190" s="100" t="s">
        <v>10</v>
      </c>
      <c r="B1190" s="100" t="s">
        <v>33</v>
      </c>
      <c r="C1190" s="100" t="s">
        <v>19</v>
      </c>
      <c r="D1190" s="102">
        <v>45596</v>
      </c>
      <c r="E1190" s="103">
        <v>0.1130856219709208</v>
      </c>
      <c r="F1190" s="100">
        <v>0</v>
      </c>
      <c r="G1190" s="100" t="s">
        <v>13</v>
      </c>
      <c r="H1190" s="103">
        <v>0.1</v>
      </c>
      <c r="I1190" s="101">
        <f t="shared" si="20"/>
        <v>1.4084507042253837E-2</v>
      </c>
    </row>
    <row r="1191" spans="1:9" x14ac:dyDescent="0.3">
      <c r="A1191" s="100" t="s">
        <v>10</v>
      </c>
      <c r="B1191" s="100" t="s">
        <v>33</v>
      </c>
      <c r="C1191" s="100" t="s">
        <v>19</v>
      </c>
      <c r="D1191" s="102">
        <v>45626</v>
      </c>
      <c r="E1191" s="103">
        <v>0.104909213</v>
      </c>
      <c r="F1191" s="100">
        <v>0</v>
      </c>
      <c r="G1191" s="100" t="s">
        <v>13</v>
      </c>
      <c r="H1191" s="103">
        <v>0.1</v>
      </c>
      <c r="I1191" s="101">
        <f t="shared" si="20"/>
        <v>7.2302816471428222E-2</v>
      </c>
    </row>
    <row r="1192" spans="1:9" x14ac:dyDescent="0.3">
      <c r="A1192" s="100" t="s">
        <v>10</v>
      </c>
      <c r="B1192" s="100" t="s">
        <v>33</v>
      </c>
      <c r="C1192" s="100" t="s">
        <v>19</v>
      </c>
      <c r="D1192" s="102">
        <v>45657</v>
      </c>
      <c r="E1192" s="103">
        <v>0.1031149301825994</v>
      </c>
      <c r="F1192" s="100">
        <v>0</v>
      </c>
      <c r="G1192" s="100" t="s">
        <v>13</v>
      </c>
      <c r="H1192" s="103">
        <v>0.1</v>
      </c>
      <c r="I1192" s="101">
        <f t="shared" si="20"/>
        <v>1.7103195859458024E-2</v>
      </c>
    </row>
    <row r="1193" spans="1:9" x14ac:dyDescent="0.3">
      <c r="A1193" s="100" t="s">
        <v>10</v>
      </c>
      <c r="B1193" s="100" t="s">
        <v>33</v>
      </c>
      <c r="C1193" s="100" t="s">
        <v>19</v>
      </c>
      <c r="D1193" s="102">
        <v>45688</v>
      </c>
      <c r="E1193" s="103">
        <v>9.6450100468854646E-2</v>
      </c>
      <c r="F1193" s="100">
        <v>0</v>
      </c>
      <c r="G1193" s="100" t="s">
        <v>13</v>
      </c>
      <c r="H1193" s="103">
        <v>0.1</v>
      </c>
      <c r="I1193" s="101">
        <f t="shared" si="20"/>
        <v>6.4634963161420464E-2</v>
      </c>
    </row>
    <row r="1194" spans="1:9" x14ac:dyDescent="0.3">
      <c r="A1194" s="100" t="s">
        <v>10</v>
      </c>
      <c r="B1194" s="100" t="s">
        <v>33</v>
      </c>
      <c r="C1194" s="100" t="s">
        <v>19</v>
      </c>
      <c r="D1194" s="102">
        <v>45716</v>
      </c>
      <c r="E1194" s="103">
        <v>8.8223499532148114E-2</v>
      </c>
      <c r="F1194" s="100">
        <v>0</v>
      </c>
      <c r="G1194" s="100" t="s">
        <v>13</v>
      </c>
      <c r="H1194" s="103">
        <v>0.1</v>
      </c>
      <c r="I1194" s="101">
        <f t="shared" si="20"/>
        <v>8.5293855545158712E-2</v>
      </c>
    </row>
    <row r="1195" spans="1:9" x14ac:dyDescent="0.3">
      <c r="A1195" s="100" t="s">
        <v>10</v>
      </c>
      <c r="B1195" s="100" t="s">
        <v>33</v>
      </c>
      <c r="C1195" s="100" t="s">
        <v>19</v>
      </c>
      <c r="D1195" s="102">
        <v>45747</v>
      </c>
      <c r="E1195" s="103">
        <v>8.6584714056654202E-2</v>
      </c>
      <c r="F1195" s="100">
        <v>0</v>
      </c>
      <c r="G1195" s="100" t="s">
        <v>13</v>
      </c>
      <c r="H1195" s="103">
        <v>0.1</v>
      </c>
      <c r="I1195" s="101">
        <f t="shared" si="20"/>
        <v>1.8575385063893869E-2</v>
      </c>
    </row>
    <row r="1196" spans="1:9" x14ac:dyDescent="0.3">
      <c r="A1196" s="100" t="s">
        <v>10</v>
      </c>
      <c r="B1196" s="100" t="s">
        <v>33</v>
      </c>
      <c r="C1196" s="100" t="s">
        <v>19</v>
      </c>
      <c r="D1196" s="102">
        <v>45777</v>
      </c>
      <c r="E1196" s="103">
        <v>8.1796311146752204E-2</v>
      </c>
      <c r="F1196" s="100">
        <v>0</v>
      </c>
      <c r="G1196" s="100" t="s">
        <v>13</v>
      </c>
      <c r="H1196" s="103">
        <v>0.1</v>
      </c>
      <c r="I1196" s="101">
        <f t="shared" si="20"/>
        <v>5.5303097805102702E-2</v>
      </c>
    </row>
    <row r="1197" spans="1:9" x14ac:dyDescent="0.3">
      <c r="A1197" s="100" t="s">
        <v>10</v>
      </c>
      <c r="B1197" s="100" t="s">
        <v>33</v>
      </c>
      <c r="C1197" s="100" t="s">
        <v>19</v>
      </c>
      <c r="D1197" s="102">
        <v>45808</v>
      </c>
      <c r="E1197" s="103">
        <v>7.3747494989979956E-2</v>
      </c>
      <c r="F1197" s="100">
        <v>0</v>
      </c>
      <c r="G1197" s="100" t="s">
        <v>13</v>
      </c>
      <c r="H1197" s="103">
        <v>0.1</v>
      </c>
      <c r="I1197" s="101">
        <f t="shared" si="20"/>
        <v>9.8400723014656799E-2</v>
      </c>
    </row>
    <row r="1198" spans="1:9" x14ac:dyDescent="0.3">
      <c r="A1198" s="100" t="s">
        <v>10</v>
      </c>
      <c r="B1198" s="100" t="s">
        <v>33</v>
      </c>
      <c r="C1198" s="100" t="s">
        <v>19</v>
      </c>
      <c r="D1198" s="102">
        <v>45838</v>
      </c>
      <c r="E1198" s="103">
        <v>8.082684937870166E-2</v>
      </c>
      <c r="F1198" s="100">
        <v>0</v>
      </c>
      <c r="G1198" s="100" t="s">
        <v>13</v>
      </c>
      <c r="H1198" s="103">
        <v>0.1</v>
      </c>
      <c r="I1198" s="101">
        <f t="shared" si="20"/>
        <v>-9.5994506520981807E-2</v>
      </c>
    </row>
    <row r="1199" spans="1:9" x14ac:dyDescent="0.3">
      <c r="A1199" s="100" t="s">
        <v>10</v>
      </c>
      <c r="B1199" s="100" t="s">
        <v>33</v>
      </c>
      <c r="C1199" s="100" t="s">
        <v>19</v>
      </c>
      <c r="D1199" s="102">
        <v>45869</v>
      </c>
      <c r="E1199" s="103">
        <v>0.1016241720352055</v>
      </c>
      <c r="F1199" s="100">
        <v>0</v>
      </c>
      <c r="G1199" s="100" t="s">
        <v>13</v>
      </c>
      <c r="H1199" s="103">
        <v>0.1</v>
      </c>
      <c r="I1199" s="101">
        <f t="shared" si="20"/>
        <v>-0.25730710545280833</v>
      </c>
    </row>
    <row r="1200" spans="1:9" x14ac:dyDescent="0.3">
      <c r="A1200" s="100" t="s">
        <v>10</v>
      </c>
      <c r="B1200" s="100" t="s">
        <v>33</v>
      </c>
      <c r="C1200" s="100" t="s">
        <v>19</v>
      </c>
      <c r="D1200" s="102">
        <v>45900</v>
      </c>
      <c r="E1200" s="103">
        <v>9.90574533229273E-2</v>
      </c>
      <c r="F1200" s="100">
        <v>0</v>
      </c>
      <c r="G1200" s="100" t="s">
        <v>13</v>
      </c>
      <c r="H1200" s="103">
        <v>0.1</v>
      </c>
      <c r="I1200" s="101">
        <f t="shared" si="20"/>
        <v>2.5256970471444727E-2</v>
      </c>
    </row>
    <row r="1201" spans="1:9" x14ac:dyDescent="0.3">
      <c r="A1201" s="100" t="s">
        <v>10</v>
      </c>
      <c r="B1201" s="100" t="s">
        <v>33</v>
      </c>
      <c r="C1201" s="100" t="s">
        <v>19</v>
      </c>
      <c r="D1201" s="102">
        <v>45930</v>
      </c>
      <c r="E1201" s="103">
        <v>9.9061242735806881E-2</v>
      </c>
      <c r="F1201" s="100">
        <v>0</v>
      </c>
      <c r="G1201" s="100" t="s">
        <v>13</v>
      </c>
      <c r="H1201" s="103">
        <v>0.1</v>
      </c>
      <c r="I1201" s="101">
        <f t="shared" si="20"/>
        <v>-3.8254697172844754E-5</v>
      </c>
    </row>
    <row r="1202" spans="1:9" x14ac:dyDescent="0.3">
      <c r="A1202" s="100" t="s">
        <v>10</v>
      </c>
      <c r="B1202" s="100" t="s">
        <v>33</v>
      </c>
      <c r="C1202" s="100" t="s">
        <v>19</v>
      </c>
      <c r="D1202" s="102">
        <v>45961</v>
      </c>
      <c r="E1202" s="103">
        <v>0.1012043914420146</v>
      </c>
      <c r="F1202" s="100">
        <v>0</v>
      </c>
      <c r="G1202" s="100" t="s">
        <v>13</v>
      </c>
      <c r="H1202" s="103">
        <v>0.1</v>
      </c>
      <c r="I1202" s="101">
        <f t="shared" si="20"/>
        <v>-2.1634583284235821E-2</v>
      </c>
    </row>
    <row r="1203" spans="1:9" x14ac:dyDescent="0.3">
      <c r="A1203" s="100" t="s">
        <v>10</v>
      </c>
      <c r="B1203" s="100" t="s">
        <v>33</v>
      </c>
      <c r="C1203" s="100" t="s">
        <v>19</v>
      </c>
      <c r="D1203" s="102">
        <v>45991</v>
      </c>
      <c r="E1203" s="103">
        <v>0.1016437139049311</v>
      </c>
      <c r="F1203" s="100">
        <v>0</v>
      </c>
      <c r="G1203" s="100" t="s">
        <v>13</v>
      </c>
      <c r="H1203" s="103">
        <v>0.1</v>
      </c>
      <c r="I1203" s="101">
        <f t="shared" si="20"/>
        <v>-4.3409426869407538E-3</v>
      </c>
    </row>
    <row r="1204" spans="1:9" x14ac:dyDescent="0.3">
      <c r="A1204" s="100" t="s">
        <v>20</v>
      </c>
      <c r="B1204" s="100" t="s">
        <v>33</v>
      </c>
      <c r="C1204" s="100" t="s">
        <v>21</v>
      </c>
      <c r="D1204" s="102">
        <v>45535</v>
      </c>
      <c r="E1204" s="103">
        <v>0.66</v>
      </c>
      <c r="F1204" s="100">
        <v>0</v>
      </c>
      <c r="G1204" s="100" t="s">
        <v>13</v>
      </c>
      <c r="H1204" s="103">
        <v>0.59</v>
      </c>
      <c r="I1204" s="101" t="str">
        <f t="shared" si="20"/>
        <v/>
      </c>
    </row>
    <row r="1205" spans="1:9" x14ac:dyDescent="0.3">
      <c r="A1205" s="100" t="s">
        <v>20</v>
      </c>
      <c r="B1205" s="100" t="s">
        <v>33</v>
      </c>
      <c r="C1205" s="100" t="s">
        <v>21</v>
      </c>
      <c r="D1205" s="102">
        <v>45565</v>
      </c>
      <c r="E1205" s="103">
        <v>0.68899999999999995</v>
      </c>
      <c r="F1205" s="100">
        <v>1</v>
      </c>
      <c r="G1205" s="100" t="s">
        <v>13</v>
      </c>
      <c r="H1205" s="103">
        <v>0.59</v>
      </c>
      <c r="I1205" s="101">
        <f t="shared" si="20"/>
        <v>-4.3939393939393806E-2</v>
      </c>
    </row>
    <row r="1206" spans="1:9" x14ac:dyDescent="0.3">
      <c r="A1206" s="100" t="s">
        <v>20</v>
      </c>
      <c r="B1206" s="100" t="s">
        <v>33</v>
      </c>
      <c r="C1206" s="100" t="s">
        <v>21</v>
      </c>
      <c r="D1206" s="102">
        <v>45596</v>
      </c>
      <c r="E1206" s="103">
        <v>0.73</v>
      </c>
      <c r="F1206" s="100">
        <v>1</v>
      </c>
      <c r="G1206" s="100" t="s">
        <v>13</v>
      </c>
      <c r="H1206" s="103">
        <v>0.59</v>
      </c>
      <c r="I1206" s="101">
        <f t="shared" si="20"/>
        <v>-5.9506531204644469E-2</v>
      </c>
    </row>
    <row r="1207" spans="1:9" x14ac:dyDescent="0.3">
      <c r="A1207" s="100" t="s">
        <v>20</v>
      </c>
      <c r="B1207" s="100" t="s">
        <v>33</v>
      </c>
      <c r="C1207" s="100" t="s">
        <v>21</v>
      </c>
      <c r="D1207" s="102">
        <v>45626</v>
      </c>
      <c r="E1207" s="103">
        <v>0.73</v>
      </c>
      <c r="F1207" s="100">
        <v>0</v>
      </c>
      <c r="G1207" s="100" t="s">
        <v>13</v>
      </c>
      <c r="H1207" s="103">
        <v>0.59</v>
      </c>
      <c r="I1207" s="101">
        <f t="shared" si="20"/>
        <v>0</v>
      </c>
    </row>
    <row r="1208" spans="1:9" x14ac:dyDescent="0.3">
      <c r="A1208" s="100" t="s">
        <v>20</v>
      </c>
      <c r="B1208" s="100" t="s">
        <v>33</v>
      </c>
      <c r="C1208" s="100" t="s">
        <v>21</v>
      </c>
      <c r="D1208" s="102">
        <v>45657</v>
      </c>
      <c r="E1208" s="103">
        <v>0.73</v>
      </c>
      <c r="F1208" s="100">
        <v>1</v>
      </c>
      <c r="G1208" s="100" t="s">
        <v>13</v>
      </c>
      <c r="H1208" s="103">
        <v>0.59</v>
      </c>
      <c r="I1208" s="101">
        <f t="shared" si="20"/>
        <v>0</v>
      </c>
    </row>
    <row r="1209" spans="1:9" x14ac:dyDescent="0.3">
      <c r="A1209" s="100" t="s">
        <v>20</v>
      </c>
      <c r="B1209" s="100" t="s">
        <v>33</v>
      </c>
      <c r="C1209" s="100" t="s">
        <v>21</v>
      </c>
      <c r="D1209" s="102">
        <v>45688</v>
      </c>
      <c r="E1209" s="103">
        <v>0.78</v>
      </c>
      <c r="F1209" s="100">
        <v>1</v>
      </c>
      <c r="G1209" s="100" t="s">
        <v>13</v>
      </c>
      <c r="H1209" s="103">
        <v>0.59</v>
      </c>
      <c r="I1209" s="101">
        <f t="shared" si="20"/>
        <v>-6.8493150684931572E-2</v>
      </c>
    </row>
    <row r="1210" spans="1:9" x14ac:dyDescent="0.3">
      <c r="A1210" s="100" t="s">
        <v>20</v>
      </c>
      <c r="B1210" s="100" t="s">
        <v>33</v>
      </c>
      <c r="C1210" s="100" t="s">
        <v>21</v>
      </c>
      <c r="D1210" s="102">
        <v>45716</v>
      </c>
      <c r="E1210" s="103">
        <v>0.8</v>
      </c>
      <c r="F1210" s="100">
        <v>0</v>
      </c>
      <c r="G1210" s="100" t="s">
        <v>13</v>
      </c>
      <c r="H1210" s="103">
        <v>0.59</v>
      </c>
      <c r="I1210" s="101">
        <f t="shared" si="20"/>
        <v>-2.5641025641025664E-2</v>
      </c>
    </row>
    <row r="1211" spans="1:9" x14ac:dyDescent="0.3">
      <c r="A1211" s="100" t="s">
        <v>20</v>
      </c>
      <c r="B1211" s="100" t="s">
        <v>33</v>
      </c>
      <c r="C1211" s="100" t="s">
        <v>21</v>
      </c>
      <c r="D1211" s="102">
        <v>45747</v>
      </c>
      <c r="E1211" s="103">
        <v>0.74</v>
      </c>
      <c r="F1211" s="100">
        <v>1</v>
      </c>
      <c r="G1211" s="100" t="s">
        <v>13</v>
      </c>
      <c r="H1211" s="103">
        <v>0.59</v>
      </c>
      <c r="I1211" s="101">
        <f t="shared" si="20"/>
        <v>7.5000000000000067E-2</v>
      </c>
    </row>
    <row r="1212" spans="1:9" x14ac:dyDescent="0.3">
      <c r="A1212" s="100" t="s">
        <v>20</v>
      </c>
      <c r="B1212" s="100" t="s">
        <v>33</v>
      </c>
      <c r="C1212" s="100" t="s">
        <v>21</v>
      </c>
      <c r="D1212" s="102">
        <v>45777</v>
      </c>
      <c r="E1212" s="103">
        <v>0.76</v>
      </c>
      <c r="F1212" s="100">
        <v>1</v>
      </c>
      <c r="G1212" s="100" t="s">
        <v>13</v>
      </c>
      <c r="H1212" s="103">
        <v>0.59</v>
      </c>
      <c r="I1212" s="101">
        <f t="shared" si="20"/>
        <v>-2.7027027027027053E-2</v>
      </c>
    </row>
    <row r="1213" spans="1:9" x14ac:dyDescent="0.3">
      <c r="A1213" s="100" t="s">
        <v>20</v>
      </c>
      <c r="B1213" s="100" t="s">
        <v>33</v>
      </c>
      <c r="C1213" s="100" t="s">
        <v>21</v>
      </c>
      <c r="D1213" s="102">
        <v>45808</v>
      </c>
      <c r="E1213" s="103">
        <v>0.7</v>
      </c>
      <c r="F1213" s="100">
        <v>1</v>
      </c>
      <c r="G1213" s="100" t="s">
        <v>13</v>
      </c>
      <c r="H1213" s="103">
        <v>0.59</v>
      </c>
      <c r="I1213" s="101">
        <f t="shared" si="20"/>
        <v>7.8947368421052697E-2</v>
      </c>
    </row>
    <row r="1214" spans="1:9" x14ac:dyDescent="0.3">
      <c r="A1214" s="100" t="s">
        <v>20</v>
      </c>
      <c r="B1214" s="100" t="s">
        <v>33</v>
      </c>
      <c r="C1214" s="100" t="s">
        <v>21</v>
      </c>
      <c r="D1214" s="102">
        <v>45838</v>
      </c>
      <c r="E1214" s="103">
        <v>0.74</v>
      </c>
      <c r="F1214" s="100">
        <v>1</v>
      </c>
      <c r="G1214" s="100" t="s">
        <v>13</v>
      </c>
      <c r="H1214" s="103">
        <v>0.59</v>
      </c>
      <c r="I1214" s="101">
        <f t="shared" si="20"/>
        <v>-5.7142857142857197E-2</v>
      </c>
    </row>
    <row r="1215" spans="1:9" x14ac:dyDescent="0.3">
      <c r="A1215" s="100" t="s">
        <v>20</v>
      </c>
      <c r="B1215" s="100" t="s">
        <v>33</v>
      </c>
      <c r="C1215" s="100" t="s">
        <v>21</v>
      </c>
      <c r="D1215" s="102">
        <v>45869</v>
      </c>
      <c r="E1215" s="103">
        <v>0.74</v>
      </c>
      <c r="F1215" s="100">
        <v>1</v>
      </c>
      <c r="G1215" s="100" t="s">
        <v>13</v>
      </c>
      <c r="H1215" s="103">
        <v>0.59</v>
      </c>
      <c r="I1215" s="101">
        <f t="shared" si="20"/>
        <v>0</v>
      </c>
    </row>
    <row r="1216" spans="1:9" x14ac:dyDescent="0.3">
      <c r="A1216" s="100" t="s">
        <v>20</v>
      </c>
      <c r="B1216" s="100" t="s">
        <v>33</v>
      </c>
      <c r="C1216" s="100" t="s">
        <v>21</v>
      </c>
      <c r="D1216" s="102">
        <v>45900</v>
      </c>
      <c r="E1216" s="103">
        <v>0.74</v>
      </c>
      <c r="F1216" s="100">
        <v>1</v>
      </c>
      <c r="G1216" s="100" t="s">
        <v>13</v>
      </c>
      <c r="H1216" s="103">
        <v>0.59</v>
      </c>
      <c r="I1216" s="101">
        <f t="shared" si="20"/>
        <v>0</v>
      </c>
    </row>
    <row r="1217" spans="1:9" x14ac:dyDescent="0.3">
      <c r="A1217" s="100" t="s">
        <v>20</v>
      </c>
      <c r="B1217" s="100" t="s">
        <v>33</v>
      </c>
      <c r="C1217" s="100" t="s">
        <v>21</v>
      </c>
      <c r="D1217" s="102">
        <v>45930</v>
      </c>
      <c r="E1217" s="103">
        <v>0.72</v>
      </c>
      <c r="F1217" s="100">
        <v>1</v>
      </c>
      <c r="G1217" s="100" t="s">
        <v>13</v>
      </c>
      <c r="H1217" s="103">
        <v>0.59</v>
      </c>
      <c r="I1217" s="101">
        <f t="shared" si="20"/>
        <v>2.7027027027027053E-2</v>
      </c>
    </row>
    <row r="1218" spans="1:9" x14ac:dyDescent="0.3">
      <c r="A1218" s="100" t="s">
        <v>20</v>
      </c>
      <c r="B1218" s="100" t="s">
        <v>33</v>
      </c>
      <c r="C1218" s="100" t="s">
        <v>21</v>
      </c>
      <c r="D1218" s="102">
        <v>45961</v>
      </c>
      <c r="E1218" s="103">
        <v>0.7</v>
      </c>
      <c r="F1218" s="100">
        <v>1</v>
      </c>
      <c r="G1218" s="100" t="s">
        <v>13</v>
      </c>
      <c r="H1218" s="103">
        <v>0.59</v>
      </c>
      <c r="I1218" s="101">
        <f t="shared" si="20"/>
        <v>2.7777777777777804E-2</v>
      </c>
    </row>
    <row r="1219" spans="1:9" x14ac:dyDescent="0.3">
      <c r="A1219" s="100" t="s">
        <v>20</v>
      </c>
      <c r="B1219" s="100" t="s">
        <v>33</v>
      </c>
      <c r="C1219" s="100" t="s">
        <v>22</v>
      </c>
      <c r="D1219" s="102">
        <v>45535</v>
      </c>
      <c r="E1219" s="103">
        <v>0.82499999999999996</v>
      </c>
      <c r="F1219" s="100">
        <v>0</v>
      </c>
      <c r="G1219" s="100" t="s">
        <v>13</v>
      </c>
      <c r="H1219" s="103">
        <v>0.56999999999999995</v>
      </c>
      <c r="I1219" s="101" t="str">
        <f t="shared" ref="I1219:I1282" si="21">IF(OR(B1219&lt;&gt;B1218,C1219&lt;&gt;C1218),"",IF(E1218=0,"",IF(G1219="UP",(E1219-E1218)/E1218,-((E1219-E1218)/E1218))))</f>
        <v/>
      </c>
    </row>
    <row r="1220" spans="1:9" x14ac:dyDescent="0.3">
      <c r="A1220" s="100" t="s">
        <v>20</v>
      </c>
      <c r="B1220" s="100" t="s">
        <v>33</v>
      </c>
      <c r="C1220" s="100" t="s">
        <v>22</v>
      </c>
      <c r="D1220" s="102">
        <v>45565</v>
      </c>
      <c r="E1220" s="103">
        <v>0.82299999999999995</v>
      </c>
      <c r="F1220" s="100">
        <v>1</v>
      </c>
      <c r="G1220" s="100" t="s">
        <v>13</v>
      </c>
      <c r="H1220" s="103">
        <v>0.56999999999999995</v>
      </c>
      <c r="I1220" s="101">
        <f t="shared" si="21"/>
        <v>2.4242424242424264E-3</v>
      </c>
    </row>
    <row r="1221" spans="1:9" x14ac:dyDescent="0.3">
      <c r="A1221" s="100" t="s">
        <v>20</v>
      </c>
      <c r="B1221" s="100" t="s">
        <v>33</v>
      </c>
      <c r="C1221" s="100" t="s">
        <v>22</v>
      </c>
      <c r="D1221" s="102">
        <v>45596</v>
      </c>
      <c r="E1221" s="103">
        <v>0.85399999999999998</v>
      </c>
      <c r="F1221" s="100">
        <v>1</v>
      </c>
      <c r="G1221" s="100" t="s">
        <v>13</v>
      </c>
      <c r="H1221" s="103">
        <v>0.56999999999999995</v>
      </c>
      <c r="I1221" s="101">
        <f t="shared" si="21"/>
        <v>-3.7667071688942927E-2</v>
      </c>
    </row>
    <row r="1222" spans="1:9" x14ac:dyDescent="0.3">
      <c r="A1222" s="100" t="s">
        <v>20</v>
      </c>
      <c r="B1222" s="100" t="s">
        <v>33</v>
      </c>
      <c r="C1222" s="100" t="s">
        <v>22</v>
      </c>
      <c r="D1222" s="102">
        <v>45626</v>
      </c>
      <c r="E1222" s="103">
        <v>0.84499999999999997</v>
      </c>
      <c r="F1222" s="100">
        <v>0</v>
      </c>
      <c r="G1222" s="100" t="s">
        <v>13</v>
      </c>
      <c r="H1222" s="103">
        <v>0.56999999999999995</v>
      </c>
      <c r="I1222" s="101">
        <f t="shared" si="21"/>
        <v>1.053864168618268E-2</v>
      </c>
    </row>
    <row r="1223" spans="1:9" x14ac:dyDescent="0.3">
      <c r="A1223" s="100" t="s">
        <v>20</v>
      </c>
      <c r="B1223" s="100" t="s">
        <v>33</v>
      </c>
      <c r="C1223" s="100" t="s">
        <v>22</v>
      </c>
      <c r="D1223" s="102">
        <v>45657</v>
      </c>
      <c r="E1223" s="103">
        <v>0.85099999999999998</v>
      </c>
      <c r="F1223" s="100">
        <v>1</v>
      </c>
      <c r="G1223" s="100" t="s">
        <v>13</v>
      </c>
      <c r="H1223" s="103">
        <v>0.56999999999999995</v>
      </c>
      <c r="I1223" s="101">
        <f t="shared" si="21"/>
        <v>-7.100591715976338E-3</v>
      </c>
    </row>
    <row r="1224" spans="1:9" x14ac:dyDescent="0.3">
      <c r="A1224" s="100" t="s">
        <v>20</v>
      </c>
      <c r="B1224" s="100" t="s">
        <v>33</v>
      </c>
      <c r="C1224" s="100" t="s">
        <v>22</v>
      </c>
      <c r="D1224" s="102">
        <v>45688</v>
      </c>
      <c r="E1224" s="103">
        <v>0.85499999999999998</v>
      </c>
      <c r="F1224" s="100">
        <v>1</v>
      </c>
      <c r="G1224" s="100" t="s">
        <v>13</v>
      </c>
      <c r="H1224" s="103">
        <v>0.56999999999999995</v>
      </c>
      <c r="I1224" s="101">
        <f t="shared" si="21"/>
        <v>-4.7003525264394871E-3</v>
      </c>
    </row>
    <row r="1225" spans="1:9" x14ac:dyDescent="0.3">
      <c r="A1225" s="100" t="s">
        <v>20</v>
      </c>
      <c r="B1225" s="100" t="s">
        <v>33</v>
      </c>
      <c r="C1225" s="100" t="s">
        <v>22</v>
      </c>
      <c r="D1225" s="102">
        <v>45716</v>
      </c>
      <c r="E1225" s="103">
        <v>0.86899999999999999</v>
      </c>
      <c r="F1225" s="100">
        <v>1</v>
      </c>
      <c r="G1225" s="100" t="s">
        <v>13</v>
      </c>
      <c r="H1225" s="103">
        <v>0.56999999999999995</v>
      </c>
      <c r="I1225" s="101">
        <f t="shared" si="21"/>
        <v>-1.6374269005847968E-2</v>
      </c>
    </row>
    <row r="1226" spans="1:9" x14ac:dyDescent="0.3">
      <c r="A1226" s="100" t="s">
        <v>20</v>
      </c>
      <c r="B1226" s="100" t="s">
        <v>33</v>
      </c>
      <c r="C1226" s="100" t="s">
        <v>22</v>
      </c>
      <c r="D1226" s="102">
        <v>45747</v>
      </c>
      <c r="E1226" s="103">
        <v>0.82599999999999996</v>
      </c>
      <c r="F1226" s="100">
        <v>0</v>
      </c>
      <c r="G1226" s="100" t="s">
        <v>13</v>
      </c>
      <c r="H1226" s="103">
        <v>0.56999999999999995</v>
      </c>
      <c r="I1226" s="101">
        <f t="shared" si="21"/>
        <v>4.9482163406214086E-2</v>
      </c>
    </row>
    <row r="1227" spans="1:9" x14ac:dyDescent="0.3">
      <c r="A1227" s="100" t="s">
        <v>20</v>
      </c>
      <c r="B1227" s="100" t="s">
        <v>33</v>
      </c>
      <c r="C1227" s="100" t="s">
        <v>22</v>
      </c>
      <c r="D1227" s="102">
        <v>45777</v>
      </c>
      <c r="E1227" s="103">
        <v>0.871</v>
      </c>
      <c r="F1227" s="100">
        <v>1</v>
      </c>
      <c r="G1227" s="100" t="s">
        <v>13</v>
      </c>
      <c r="H1227" s="103">
        <v>0.56999999999999995</v>
      </c>
      <c r="I1227" s="101">
        <f t="shared" si="21"/>
        <v>-5.4479418886198595E-2</v>
      </c>
    </row>
    <row r="1228" spans="1:9" x14ac:dyDescent="0.3">
      <c r="A1228" s="100" t="s">
        <v>20</v>
      </c>
      <c r="B1228" s="100" t="s">
        <v>33</v>
      </c>
      <c r="C1228" s="100" t="s">
        <v>22</v>
      </c>
      <c r="D1228" s="102">
        <v>45808</v>
      </c>
      <c r="E1228" s="103">
        <v>0.85799999999999998</v>
      </c>
      <c r="F1228" s="100">
        <v>1</v>
      </c>
      <c r="G1228" s="100" t="s">
        <v>13</v>
      </c>
      <c r="H1228" s="103">
        <v>0.56999999999999995</v>
      </c>
      <c r="I1228" s="101">
        <f t="shared" si="21"/>
        <v>1.4925373134328372E-2</v>
      </c>
    </row>
    <row r="1229" spans="1:9" x14ac:dyDescent="0.3">
      <c r="A1229" s="100" t="s">
        <v>20</v>
      </c>
      <c r="B1229" s="100" t="s">
        <v>33</v>
      </c>
      <c r="C1229" s="100" t="s">
        <v>22</v>
      </c>
      <c r="D1229" s="102">
        <v>45838</v>
      </c>
      <c r="E1229" s="103">
        <v>0.86199999999999999</v>
      </c>
      <c r="F1229" s="100">
        <v>1</v>
      </c>
      <c r="G1229" s="100" t="s">
        <v>13</v>
      </c>
      <c r="H1229" s="103">
        <v>0.56999999999999995</v>
      </c>
      <c r="I1229" s="101">
        <f t="shared" si="21"/>
        <v>-4.6620046620046663E-3</v>
      </c>
    </row>
    <row r="1230" spans="1:9" x14ac:dyDescent="0.3">
      <c r="A1230" s="100" t="s">
        <v>20</v>
      </c>
      <c r="B1230" s="100" t="s">
        <v>33</v>
      </c>
      <c r="C1230" s="100" t="s">
        <v>22</v>
      </c>
      <c r="D1230" s="102">
        <v>45869</v>
      </c>
      <c r="E1230" s="103">
        <v>0.71</v>
      </c>
      <c r="F1230" s="100">
        <v>1</v>
      </c>
      <c r="G1230" s="100" t="s">
        <v>13</v>
      </c>
      <c r="H1230" s="103">
        <v>0.56999999999999995</v>
      </c>
      <c r="I1230" s="101">
        <f t="shared" si="21"/>
        <v>0.1763341067285383</v>
      </c>
    </row>
    <row r="1231" spans="1:9" x14ac:dyDescent="0.3">
      <c r="A1231" s="100" t="s">
        <v>20</v>
      </c>
      <c r="B1231" s="100" t="s">
        <v>33</v>
      </c>
      <c r="C1231" s="100" t="s">
        <v>22</v>
      </c>
      <c r="D1231" s="102">
        <v>45900</v>
      </c>
      <c r="E1231" s="103">
        <v>0.75</v>
      </c>
      <c r="F1231" s="100">
        <v>1</v>
      </c>
      <c r="G1231" s="100" t="s">
        <v>13</v>
      </c>
      <c r="H1231" s="103">
        <v>0.56999999999999995</v>
      </c>
      <c r="I1231" s="101">
        <f t="shared" si="21"/>
        <v>-5.6338028169014134E-2</v>
      </c>
    </row>
    <row r="1232" spans="1:9" x14ac:dyDescent="0.3">
      <c r="A1232" s="100" t="s">
        <v>20</v>
      </c>
      <c r="B1232" s="100" t="s">
        <v>33</v>
      </c>
      <c r="C1232" s="100" t="s">
        <v>22</v>
      </c>
      <c r="D1232" s="102">
        <v>45930</v>
      </c>
      <c r="E1232" s="103">
        <v>0.65</v>
      </c>
      <c r="F1232" s="100">
        <v>1</v>
      </c>
      <c r="G1232" s="100" t="s">
        <v>13</v>
      </c>
      <c r="H1232" s="103">
        <v>0.56999999999999995</v>
      </c>
      <c r="I1232" s="101">
        <f t="shared" si="21"/>
        <v>0.1333333333333333</v>
      </c>
    </row>
    <row r="1233" spans="1:9" x14ac:dyDescent="0.3">
      <c r="A1233" s="100" t="s">
        <v>20</v>
      </c>
      <c r="B1233" s="100" t="s">
        <v>33</v>
      </c>
      <c r="C1233" s="100" t="s">
        <v>22</v>
      </c>
      <c r="D1233" s="102">
        <v>45961</v>
      </c>
      <c r="E1233" s="103">
        <v>0.65</v>
      </c>
      <c r="F1233" s="100">
        <v>1</v>
      </c>
      <c r="G1233" s="100" t="s">
        <v>13</v>
      </c>
      <c r="H1233" s="103">
        <v>0.56999999999999995</v>
      </c>
      <c r="I1233" s="101">
        <f t="shared" si="21"/>
        <v>0</v>
      </c>
    </row>
    <row r="1234" spans="1:9" x14ac:dyDescent="0.3">
      <c r="A1234" s="100" t="s">
        <v>23</v>
      </c>
      <c r="B1234" s="100" t="s">
        <v>33</v>
      </c>
      <c r="C1234" s="100" t="s">
        <v>24</v>
      </c>
      <c r="D1234" s="102">
        <v>45535</v>
      </c>
      <c r="E1234" s="103">
        <v>0.72109999999999996</v>
      </c>
      <c r="F1234" s="100">
        <v>1</v>
      </c>
      <c r="G1234" s="100" t="s">
        <v>17</v>
      </c>
      <c r="H1234" s="103">
        <v>0.85</v>
      </c>
      <c r="I1234" s="101" t="str">
        <f t="shared" si="21"/>
        <v/>
      </c>
    </row>
    <row r="1235" spans="1:9" x14ac:dyDescent="0.3">
      <c r="A1235" s="100" t="s">
        <v>23</v>
      </c>
      <c r="B1235" s="100" t="s">
        <v>33</v>
      </c>
      <c r="C1235" s="100" t="s">
        <v>24</v>
      </c>
      <c r="D1235" s="102">
        <v>45565</v>
      </c>
      <c r="E1235" s="103">
        <v>0.75319999999999998</v>
      </c>
      <c r="F1235" s="100">
        <v>1</v>
      </c>
      <c r="G1235" s="100" t="s">
        <v>17</v>
      </c>
      <c r="H1235" s="103">
        <v>0.85</v>
      </c>
      <c r="I1235" s="101">
        <f t="shared" si="21"/>
        <v>4.4515323810844568E-2</v>
      </c>
    </row>
    <row r="1236" spans="1:9" x14ac:dyDescent="0.3">
      <c r="A1236" s="100" t="s">
        <v>23</v>
      </c>
      <c r="B1236" s="100" t="s">
        <v>33</v>
      </c>
      <c r="C1236" s="100" t="s">
        <v>24</v>
      </c>
      <c r="D1236" s="102">
        <v>45596</v>
      </c>
      <c r="E1236" s="103">
        <v>0.83199999999999996</v>
      </c>
      <c r="F1236" s="100">
        <v>0</v>
      </c>
      <c r="G1236" s="100" t="s">
        <v>17</v>
      </c>
      <c r="H1236" s="103">
        <v>0.85</v>
      </c>
      <c r="I1236" s="101">
        <f t="shared" si="21"/>
        <v>0.10462028677642059</v>
      </c>
    </row>
    <row r="1237" spans="1:9" x14ac:dyDescent="0.3">
      <c r="A1237" s="100" t="s">
        <v>23</v>
      </c>
      <c r="B1237" s="100" t="s">
        <v>33</v>
      </c>
      <c r="C1237" s="100" t="s">
        <v>24</v>
      </c>
      <c r="D1237" s="102">
        <v>45626</v>
      </c>
      <c r="E1237" s="103">
        <v>0.84209999999999996</v>
      </c>
      <c r="F1237" s="100">
        <v>0</v>
      </c>
      <c r="G1237" s="100" t="s">
        <v>17</v>
      </c>
      <c r="H1237" s="103">
        <v>0.85</v>
      </c>
      <c r="I1237" s="101">
        <f t="shared" si="21"/>
        <v>1.2139423076923075E-2</v>
      </c>
    </row>
    <row r="1238" spans="1:9" x14ac:dyDescent="0.3">
      <c r="A1238" s="100" t="s">
        <v>23</v>
      </c>
      <c r="B1238" s="100" t="s">
        <v>33</v>
      </c>
      <c r="C1238" s="100" t="s">
        <v>24</v>
      </c>
      <c r="D1238" s="102">
        <v>45657</v>
      </c>
      <c r="E1238" s="103">
        <v>0.86270000000000002</v>
      </c>
      <c r="F1238" s="100">
        <v>1</v>
      </c>
      <c r="G1238" s="100" t="s">
        <v>17</v>
      </c>
      <c r="H1238" s="103">
        <v>0.85</v>
      </c>
      <c r="I1238" s="101">
        <f t="shared" si="21"/>
        <v>2.4462652891580648E-2</v>
      </c>
    </row>
    <row r="1239" spans="1:9" x14ac:dyDescent="0.3">
      <c r="A1239" s="100" t="s">
        <v>23</v>
      </c>
      <c r="B1239" s="100" t="s">
        <v>33</v>
      </c>
      <c r="C1239" s="100" t="s">
        <v>24</v>
      </c>
      <c r="D1239" s="102">
        <v>45688</v>
      </c>
      <c r="E1239" s="103">
        <v>0.82530000000000003</v>
      </c>
      <c r="F1239" s="100">
        <v>1</v>
      </c>
      <c r="G1239" s="100" t="s">
        <v>17</v>
      </c>
      <c r="H1239" s="103">
        <v>0.85</v>
      </c>
      <c r="I1239" s="101">
        <f t="shared" si="21"/>
        <v>-4.3352266141184641E-2</v>
      </c>
    </row>
    <row r="1240" spans="1:9" x14ac:dyDescent="0.3">
      <c r="A1240" s="100" t="s">
        <v>23</v>
      </c>
      <c r="B1240" s="100" t="s">
        <v>33</v>
      </c>
      <c r="C1240" s="100" t="s">
        <v>24</v>
      </c>
      <c r="D1240" s="102">
        <v>45716</v>
      </c>
      <c r="E1240" s="103">
        <v>0.72340000000000004</v>
      </c>
      <c r="F1240" s="100">
        <v>1</v>
      </c>
      <c r="G1240" s="100" t="s">
        <v>17</v>
      </c>
      <c r="H1240" s="103">
        <v>0.85</v>
      </c>
      <c r="I1240" s="101">
        <f t="shared" si="21"/>
        <v>-0.12347025324124559</v>
      </c>
    </row>
    <row r="1241" spans="1:9" x14ac:dyDescent="0.3">
      <c r="A1241" s="100" t="s">
        <v>23</v>
      </c>
      <c r="B1241" s="100" t="s">
        <v>33</v>
      </c>
      <c r="C1241" s="100" t="s">
        <v>24</v>
      </c>
      <c r="D1241" s="102">
        <v>45747</v>
      </c>
      <c r="E1241" s="103">
        <v>0.69440000000000002</v>
      </c>
      <c r="F1241" s="100">
        <v>1</v>
      </c>
      <c r="G1241" s="100" t="s">
        <v>17</v>
      </c>
      <c r="H1241" s="103">
        <v>0.85</v>
      </c>
      <c r="I1241" s="101">
        <f t="shared" si="21"/>
        <v>-4.0088471108653614E-2</v>
      </c>
    </row>
    <row r="1242" spans="1:9" x14ac:dyDescent="0.3">
      <c r="A1242" s="100" t="s">
        <v>23</v>
      </c>
      <c r="B1242" s="100" t="s">
        <v>33</v>
      </c>
      <c r="C1242" s="100" t="s">
        <v>24</v>
      </c>
      <c r="D1242" s="102">
        <v>45777</v>
      </c>
      <c r="E1242" s="103">
        <v>0.79059999999999997</v>
      </c>
      <c r="F1242" s="100">
        <v>1</v>
      </c>
      <c r="G1242" s="100" t="s">
        <v>17</v>
      </c>
      <c r="H1242" s="103">
        <v>0.85</v>
      </c>
      <c r="I1242" s="101">
        <f t="shared" si="21"/>
        <v>0.13853686635944693</v>
      </c>
    </row>
    <row r="1243" spans="1:9" x14ac:dyDescent="0.3">
      <c r="A1243" s="100" t="s">
        <v>23</v>
      </c>
      <c r="B1243" s="100" t="s">
        <v>33</v>
      </c>
      <c r="C1243" s="100" t="s">
        <v>24</v>
      </c>
      <c r="D1243" s="102">
        <v>45808</v>
      </c>
      <c r="E1243" s="103">
        <v>0.79749999999999999</v>
      </c>
      <c r="F1243" s="100">
        <v>1</v>
      </c>
      <c r="G1243" s="100" t="s">
        <v>17</v>
      </c>
      <c r="H1243" s="103">
        <v>0.85</v>
      </c>
      <c r="I1243" s="101">
        <f t="shared" si="21"/>
        <v>8.727548697192028E-3</v>
      </c>
    </row>
    <row r="1244" spans="1:9" x14ac:dyDescent="0.3">
      <c r="A1244" s="100" t="s">
        <v>23</v>
      </c>
      <c r="B1244" s="100" t="s">
        <v>33</v>
      </c>
      <c r="C1244" s="100" t="s">
        <v>24</v>
      </c>
      <c r="D1244" s="102">
        <v>45838</v>
      </c>
      <c r="E1244" s="103">
        <v>0.7974</v>
      </c>
      <c r="F1244" s="100">
        <v>1</v>
      </c>
      <c r="G1244" s="100" t="s">
        <v>17</v>
      </c>
      <c r="H1244" s="103">
        <v>0.85</v>
      </c>
      <c r="I1244" s="101">
        <f t="shared" si="21"/>
        <v>-1.2539184952976674E-4</v>
      </c>
    </row>
    <row r="1245" spans="1:9" x14ac:dyDescent="0.3">
      <c r="A1245" s="100" t="s">
        <v>23</v>
      </c>
      <c r="B1245" s="100" t="s">
        <v>33</v>
      </c>
      <c r="C1245" s="100" t="s">
        <v>24</v>
      </c>
      <c r="D1245" s="102">
        <v>45869</v>
      </c>
      <c r="E1245" s="103">
        <v>0.745</v>
      </c>
      <c r="F1245" s="100">
        <v>1</v>
      </c>
      <c r="G1245" s="100" t="s">
        <v>17</v>
      </c>
      <c r="H1245" s="103">
        <v>0.85</v>
      </c>
      <c r="I1245" s="101">
        <f t="shared" si="21"/>
        <v>-6.5713569099573613E-2</v>
      </c>
    </row>
    <row r="1246" spans="1:9" x14ac:dyDescent="0.3">
      <c r="A1246" s="100" t="s">
        <v>23</v>
      </c>
      <c r="B1246" s="100" t="s">
        <v>33</v>
      </c>
      <c r="C1246" s="100" t="s">
        <v>24</v>
      </c>
      <c r="D1246" s="102">
        <v>45900</v>
      </c>
      <c r="E1246" s="103">
        <v>0.68100000000000005</v>
      </c>
      <c r="F1246" s="100">
        <v>1</v>
      </c>
      <c r="G1246" s="100" t="s">
        <v>17</v>
      </c>
      <c r="H1246" s="103">
        <v>0.85</v>
      </c>
      <c r="I1246" s="101">
        <f t="shared" si="21"/>
        <v>-8.5906040268456302E-2</v>
      </c>
    </row>
    <row r="1247" spans="1:9" x14ac:dyDescent="0.3">
      <c r="A1247" s="100" t="s">
        <v>23</v>
      </c>
      <c r="B1247" s="100" t="s">
        <v>33</v>
      </c>
      <c r="C1247" s="100" t="s">
        <v>24</v>
      </c>
      <c r="D1247" s="102">
        <v>45930</v>
      </c>
      <c r="E1247" s="103">
        <v>0.73099999999999998</v>
      </c>
      <c r="F1247" s="100">
        <v>1</v>
      </c>
      <c r="G1247" s="100" t="s">
        <v>17</v>
      </c>
      <c r="H1247" s="103">
        <v>0.85</v>
      </c>
      <c r="I1247" s="101">
        <f t="shared" si="21"/>
        <v>7.3421439060205471E-2</v>
      </c>
    </row>
    <row r="1248" spans="1:9" x14ac:dyDescent="0.3">
      <c r="A1248" s="100" t="s">
        <v>23</v>
      </c>
      <c r="B1248" s="100" t="s">
        <v>33</v>
      </c>
      <c r="C1248" s="100" t="s">
        <v>24</v>
      </c>
      <c r="D1248" s="102">
        <v>45961</v>
      </c>
      <c r="E1248" s="103">
        <v>0.74099999999999999</v>
      </c>
      <c r="F1248" s="100">
        <v>1</v>
      </c>
      <c r="G1248" s="100" t="s">
        <v>17</v>
      </c>
      <c r="H1248" s="103">
        <v>0.85</v>
      </c>
      <c r="I1248" s="101">
        <f t="shared" si="21"/>
        <v>1.3679890560875525E-2</v>
      </c>
    </row>
    <row r="1249" spans="1:9" x14ac:dyDescent="0.3">
      <c r="A1249" s="100" t="s">
        <v>23</v>
      </c>
      <c r="B1249" s="100" t="s">
        <v>33</v>
      </c>
      <c r="C1249" s="100" t="s">
        <v>24</v>
      </c>
      <c r="D1249" s="102">
        <v>45991</v>
      </c>
      <c r="E1249" s="103">
        <v>0.79500000000000004</v>
      </c>
      <c r="F1249" s="100">
        <v>1</v>
      </c>
      <c r="G1249" s="100" t="s">
        <v>17</v>
      </c>
      <c r="H1249" s="103">
        <v>0.85</v>
      </c>
      <c r="I1249" s="101">
        <f t="shared" si="21"/>
        <v>7.2874493927125569E-2</v>
      </c>
    </row>
    <row r="1250" spans="1:9" x14ac:dyDescent="0.3">
      <c r="A1250" s="100" t="s">
        <v>23</v>
      </c>
      <c r="B1250" s="100" t="s">
        <v>33</v>
      </c>
      <c r="C1250" s="100" t="s">
        <v>25</v>
      </c>
      <c r="D1250" s="102">
        <v>45535</v>
      </c>
      <c r="E1250" s="103">
        <v>0.64959999999999996</v>
      </c>
      <c r="F1250" s="100">
        <v>0</v>
      </c>
      <c r="G1250" s="100" t="s">
        <v>17</v>
      </c>
      <c r="H1250" s="103">
        <v>0.65</v>
      </c>
      <c r="I1250" s="101" t="str">
        <f t="shared" si="21"/>
        <v/>
      </c>
    </row>
    <row r="1251" spans="1:9" x14ac:dyDescent="0.3">
      <c r="A1251" s="100" t="s">
        <v>23</v>
      </c>
      <c r="B1251" s="100" t="s">
        <v>33</v>
      </c>
      <c r="C1251" s="100" t="s">
        <v>25</v>
      </c>
      <c r="D1251" s="102">
        <v>45565</v>
      </c>
      <c r="E1251" s="103">
        <v>0.62549999999999994</v>
      </c>
      <c r="F1251" s="100">
        <v>1</v>
      </c>
      <c r="G1251" s="100" t="s">
        <v>17</v>
      </c>
      <c r="H1251" s="103">
        <v>0.65</v>
      </c>
      <c r="I1251" s="101">
        <f t="shared" si="21"/>
        <v>-3.7099753694581301E-2</v>
      </c>
    </row>
    <row r="1252" spans="1:9" x14ac:dyDescent="0.3">
      <c r="A1252" s="100" t="s">
        <v>23</v>
      </c>
      <c r="B1252" s="100" t="s">
        <v>33</v>
      </c>
      <c r="C1252" s="100" t="s">
        <v>25</v>
      </c>
      <c r="D1252" s="102">
        <v>45596</v>
      </c>
      <c r="E1252" s="103">
        <v>0.6321</v>
      </c>
      <c r="F1252" s="100">
        <v>0</v>
      </c>
      <c r="G1252" s="100" t="s">
        <v>17</v>
      </c>
      <c r="H1252" s="103">
        <v>0.65</v>
      </c>
      <c r="I1252" s="101">
        <f t="shared" si="21"/>
        <v>1.0551558752997682E-2</v>
      </c>
    </row>
    <row r="1253" spans="1:9" x14ac:dyDescent="0.3">
      <c r="A1253" s="100" t="s">
        <v>23</v>
      </c>
      <c r="B1253" s="100" t="s">
        <v>33</v>
      </c>
      <c r="C1253" s="100" t="s">
        <v>25</v>
      </c>
      <c r="D1253" s="102">
        <v>45626</v>
      </c>
      <c r="E1253" s="103">
        <v>0.64190000000000003</v>
      </c>
      <c r="F1253" s="100">
        <v>0</v>
      </c>
      <c r="G1253" s="100" t="s">
        <v>17</v>
      </c>
      <c r="H1253" s="103">
        <v>0.65</v>
      </c>
      <c r="I1253" s="101">
        <f t="shared" si="21"/>
        <v>1.5503875968992296E-2</v>
      </c>
    </row>
    <row r="1254" spans="1:9" x14ac:dyDescent="0.3">
      <c r="A1254" s="100" t="s">
        <v>23</v>
      </c>
      <c r="B1254" s="100" t="s">
        <v>33</v>
      </c>
      <c r="C1254" s="100" t="s">
        <v>25</v>
      </c>
      <c r="D1254" s="102">
        <v>45657</v>
      </c>
      <c r="E1254" s="103">
        <v>0.64219999999999999</v>
      </c>
      <c r="F1254" s="100">
        <v>1</v>
      </c>
      <c r="G1254" s="100" t="s">
        <v>17</v>
      </c>
      <c r="H1254" s="103">
        <v>0.65</v>
      </c>
      <c r="I1254" s="101">
        <f t="shared" si="21"/>
        <v>4.6736251752604294E-4</v>
      </c>
    </row>
    <row r="1255" spans="1:9" x14ac:dyDescent="0.3">
      <c r="A1255" s="100" t="s">
        <v>23</v>
      </c>
      <c r="B1255" s="100" t="s">
        <v>33</v>
      </c>
      <c r="C1255" s="100" t="s">
        <v>25</v>
      </c>
      <c r="D1255" s="102">
        <v>45688</v>
      </c>
      <c r="E1255" s="103">
        <v>0.65969999999999995</v>
      </c>
      <c r="F1255" s="100">
        <v>1</v>
      </c>
      <c r="G1255" s="100" t="s">
        <v>17</v>
      </c>
      <c r="H1255" s="103">
        <v>0.65</v>
      </c>
      <c r="I1255" s="101">
        <f t="shared" si="21"/>
        <v>2.7250077857365246E-2</v>
      </c>
    </row>
    <row r="1256" spans="1:9" x14ac:dyDescent="0.3">
      <c r="A1256" s="100" t="s">
        <v>23</v>
      </c>
      <c r="B1256" s="100" t="s">
        <v>33</v>
      </c>
      <c r="C1256" s="100" t="s">
        <v>25</v>
      </c>
      <c r="D1256" s="102">
        <v>45716</v>
      </c>
      <c r="E1256" s="103">
        <v>0.629</v>
      </c>
      <c r="F1256" s="100">
        <v>1</v>
      </c>
      <c r="G1256" s="100" t="s">
        <v>17</v>
      </c>
      <c r="H1256" s="103">
        <v>0.65</v>
      </c>
      <c r="I1256" s="101">
        <f t="shared" si="21"/>
        <v>-4.6536304380779069E-2</v>
      </c>
    </row>
    <row r="1257" spans="1:9" x14ac:dyDescent="0.3">
      <c r="A1257" s="100" t="s">
        <v>23</v>
      </c>
      <c r="B1257" s="100" t="s">
        <v>33</v>
      </c>
      <c r="C1257" s="100" t="s">
        <v>25</v>
      </c>
      <c r="D1257" s="102">
        <v>45747</v>
      </c>
      <c r="E1257" s="103">
        <v>0.64680000000000004</v>
      </c>
      <c r="F1257" s="100">
        <v>1</v>
      </c>
      <c r="G1257" s="100" t="s">
        <v>17</v>
      </c>
      <c r="H1257" s="103">
        <v>0.65</v>
      </c>
      <c r="I1257" s="101">
        <f t="shared" si="21"/>
        <v>2.8298887122416596E-2</v>
      </c>
    </row>
    <row r="1258" spans="1:9" x14ac:dyDescent="0.3">
      <c r="A1258" s="100" t="s">
        <v>23</v>
      </c>
      <c r="B1258" s="100" t="s">
        <v>33</v>
      </c>
      <c r="C1258" s="100" t="s">
        <v>25</v>
      </c>
      <c r="D1258" s="102">
        <v>45777</v>
      </c>
      <c r="E1258" s="103">
        <v>0.64900000000000002</v>
      </c>
      <c r="F1258" s="100">
        <v>1</v>
      </c>
      <c r="G1258" s="100" t="s">
        <v>17</v>
      </c>
      <c r="H1258" s="103">
        <v>0.65</v>
      </c>
      <c r="I1258" s="101">
        <f t="shared" si="21"/>
        <v>3.4013605442176557E-3</v>
      </c>
    </row>
    <row r="1259" spans="1:9" x14ac:dyDescent="0.3">
      <c r="A1259" s="100" t="s">
        <v>23</v>
      </c>
      <c r="B1259" s="100" t="s">
        <v>33</v>
      </c>
      <c r="C1259" s="100" t="s">
        <v>25</v>
      </c>
      <c r="D1259" s="102">
        <v>45808</v>
      </c>
      <c r="E1259" s="103">
        <v>0.65359999999999996</v>
      </c>
      <c r="F1259" s="100">
        <v>1</v>
      </c>
      <c r="G1259" s="100" t="s">
        <v>17</v>
      </c>
      <c r="H1259" s="103">
        <v>0.65</v>
      </c>
      <c r="I1259" s="101">
        <f t="shared" si="21"/>
        <v>7.087827426810381E-3</v>
      </c>
    </row>
    <row r="1260" spans="1:9" x14ac:dyDescent="0.3">
      <c r="A1260" s="100" t="s">
        <v>23</v>
      </c>
      <c r="B1260" s="100" t="s">
        <v>33</v>
      </c>
      <c r="C1260" s="100" t="s">
        <v>25</v>
      </c>
      <c r="D1260" s="102">
        <v>45838</v>
      </c>
      <c r="E1260" s="103">
        <v>0.68240000000000001</v>
      </c>
      <c r="F1260" s="100">
        <v>1</v>
      </c>
      <c r="G1260" s="100" t="s">
        <v>17</v>
      </c>
      <c r="H1260" s="103">
        <v>0.65</v>
      </c>
      <c r="I1260" s="101">
        <f t="shared" si="21"/>
        <v>4.4063647490820146E-2</v>
      </c>
    </row>
    <row r="1261" spans="1:9" x14ac:dyDescent="0.3">
      <c r="A1261" s="100" t="s">
        <v>23</v>
      </c>
      <c r="B1261" s="100" t="s">
        <v>33</v>
      </c>
      <c r="C1261" s="100" t="s">
        <v>25</v>
      </c>
      <c r="D1261" s="102">
        <v>45869</v>
      </c>
      <c r="E1261" s="103">
        <v>0.68899999999999995</v>
      </c>
      <c r="F1261" s="100">
        <v>0</v>
      </c>
      <c r="G1261" s="100" t="s">
        <v>17</v>
      </c>
      <c r="H1261" s="103">
        <v>0.65</v>
      </c>
      <c r="I1261" s="101">
        <f t="shared" si="21"/>
        <v>9.6717467760843185E-3</v>
      </c>
    </row>
    <row r="1262" spans="1:9" x14ac:dyDescent="0.3">
      <c r="A1262" s="100" t="s">
        <v>23</v>
      </c>
      <c r="B1262" s="100" t="s">
        <v>33</v>
      </c>
      <c r="C1262" s="100" t="s">
        <v>25</v>
      </c>
      <c r="D1262" s="102">
        <v>45900</v>
      </c>
      <c r="E1262" s="103">
        <v>0.67400000000000004</v>
      </c>
      <c r="F1262" s="100">
        <v>0</v>
      </c>
      <c r="G1262" s="100" t="s">
        <v>17</v>
      </c>
      <c r="H1262" s="103">
        <v>0.65</v>
      </c>
      <c r="I1262" s="101">
        <f t="shared" si="21"/>
        <v>-2.17706821480405E-2</v>
      </c>
    </row>
    <row r="1263" spans="1:9" x14ac:dyDescent="0.3">
      <c r="A1263" s="100" t="s">
        <v>23</v>
      </c>
      <c r="B1263" s="100" t="s">
        <v>33</v>
      </c>
      <c r="C1263" s="100" t="s">
        <v>25</v>
      </c>
      <c r="D1263" s="102">
        <v>45930</v>
      </c>
      <c r="E1263" s="103">
        <v>0.64800000000000002</v>
      </c>
      <c r="F1263" s="100">
        <v>0</v>
      </c>
      <c r="G1263" s="100" t="s">
        <v>17</v>
      </c>
      <c r="H1263" s="103">
        <v>0.65</v>
      </c>
      <c r="I1263" s="101">
        <f t="shared" si="21"/>
        <v>-3.8575667655786385E-2</v>
      </c>
    </row>
    <row r="1264" spans="1:9" x14ac:dyDescent="0.3">
      <c r="A1264" s="100" t="s">
        <v>23</v>
      </c>
      <c r="B1264" s="100" t="s">
        <v>33</v>
      </c>
      <c r="C1264" s="100" t="s">
        <v>25</v>
      </c>
      <c r="D1264" s="102">
        <v>45961</v>
      </c>
      <c r="E1264" s="103">
        <v>0.68</v>
      </c>
      <c r="F1264" s="100">
        <v>0</v>
      </c>
      <c r="G1264" s="100" t="s">
        <v>17</v>
      </c>
      <c r="H1264" s="103">
        <v>0.65</v>
      </c>
      <c r="I1264" s="101">
        <f t="shared" si="21"/>
        <v>4.9382716049382755E-2</v>
      </c>
    </row>
    <row r="1265" spans="1:9" x14ac:dyDescent="0.3">
      <c r="A1265" s="100" t="s">
        <v>23</v>
      </c>
      <c r="B1265" s="100" t="s">
        <v>33</v>
      </c>
      <c r="C1265" s="100" t="s">
        <v>25</v>
      </c>
      <c r="D1265" s="102">
        <v>45991</v>
      </c>
      <c r="E1265" s="103">
        <v>0.69099999999999995</v>
      </c>
      <c r="F1265" s="100">
        <v>0</v>
      </c>
      <c r="G1265" s="100" t="s">
        <v>17</v>
      </c>
      <c r="H1265" s="103">
        <v>0.65</v>
      </c>
      <c r="I1265" s="101">
        <f t="shared" si="21"/>
        <v>1.6176470588235143E-2</v>
      </c>
    </row>
    <row r="1266" spans="1:9" x14ac:dyDescent="0.3">
      <c r="A1266" s="100" t="s">
        <v>23</v>
      </c>
      <c r="B1266" s="100" t="s">
        <v>33</v>
      </c>
      <c r="C1266" s="100" t="s">
        <v>26</v>
      </c>
      <c r="D1266" s="102">
        <v>45535</v>
      </c>
      <c r="E1266" s="103">
        <v>0.83779999999999999</v>
      </c>
      <c r="F1266" s="100">
        <v>1</v>
      </c>
      <c r="G1266" s="100" t="s">
        <v>17</v>
      </c>
      <c r="H1266" s="103">
        <v>0.85</v>
      </c>
      <c r="I1266" s="101" t="str">
        <f t="shared" si="21"/>
        <v/>
      </c>
    </row>
    <row r="1267" spans="1:9" x14ac:dyDescent="0.3">
      <c r="A1267" s="100" t="s">
        <v>23</v>
      </c>
      <c r="B1267" s="100" t="s">
        <v>33</v>
      </c>
      <c r="C1267" s="100" t="s">
        <v>26</v>
      </c>
      <c r="D1267" s="102">
        <v>45565</v>
      </c>
      <c r="E1267" s="103">
        <v>0.82869999999999999</v>
      </c>
      <c r="F1267" s="100">
        <v>1</v>
      </c>
      <c r="G1267" s="100" t="s">
        <v>17</v>
      </c>
      <c r="H1267" s="103">
        <v>0.85</v>
      </c>
      <c r="I1267" s="101">
        <f t="shared" si="21"/>
        <v>-1.0861780854619238E-2</v>
      </c>
    </row>
    <row r="1268" spans="1:9" x14ac:dyDescent="0.3">
      <c r="A1268" s="100" t="s">
        <v>23</v>
      </c>
      <c r="B1268" s="100" t="s">
        <v>33</v>
      </c>
      <c r="C1268" s="100" t="s">
        <v>26</v>
      </c>
      <c r="D1268" s="102">
        <v>45596</v>
      </c>
      <c r="E1268" s="103">
        <v>0.82720000000000005</v>
      </c>
      <c r="F1268" s="100">
        <v>1</v>
      </c>
      <c r="G1268" s="100" t="s">
        <v>17</v>
      </c>
      <c r="H1268" s="103">
        <v>0.85</v>
      </c>
      <c r="I1268" s="101">
        <f t="shared" si="21"/>
        <v>-1.8100639555930322E-3</v>
      </c>
    </row>
    <row r="1269" spans="1:9" x14ac:dyDescent="0.3">
      <c r="A1269" s="100" t="s">
        <v>23</v>
      </c>
      <c r="B1269" s="100" t="s">
        <v>33</v>
      </c>
      <c r="C1269" s="100" t="s">
        <v>26</v>
      </c>
      <c r="D1269" s="102">
        <v>45626</v>
      </c>
      <c r="E1269" s="103">
        <v>0.81679999999999997</v>
      </c>
      <c r="F1269" s="100">
        <v>0</v>
      </c>
      <c r="G1269" s="100" t="s">
        <v>17</v>
      </c>
      <c r="H1269" s="103">
        <v>0.85</v>
      </c>
      <c r="I1269" s="101">
        <f t="shared" si="21"/>
        <v>-1.2572533849129685E-2</v>
      </c>
    </row>
    <row r="1270" spans="1:9" x14ac:dyDescent="0.3">
      <c r="A1270" s="100" t="s">
        <v>23</v>
      </c>
      <c r="B1270" s="100" t="s">
        <v>33</v>
      </c>
      <c r="C1270" s="100" t="s">
        <v>26</v>
      </c>
      <c r="D1270" s="102">
        <v>45657</v>
      </c>
      <c r="E1270" s="103">
        <v>0.83979999999999999</v>
      </c>
      <c r="F1270" s="100">
        <v>1</v>
      </c>
      <c r="G1270" s="100" t="s">
        <v>17</v>
      </c>
      <c r="H1270" s="103">
        <v>0.85</v>
      </c>
      <c r="I1270" s="101">
        <f t="shared" si="21"/>
        <v>2.8158667972575931E-2</v>
      </c>
    </row>
    <row r="1271" spans="1:9" x14ac:dyDescent="0.3">
      <c r="A1271" s="100" t="s">
        <v>23</v>
      </c>
      <c r="B1271" s="100" t="s">
        <v>33</v>
      </c>
      <c r="C1271" s="100" t="s">
        <v>26</v>
      </c>
      <c r="D1271" s="102">
        <v>45688</v>
      </c>
      <c r="E1271" s="103">
        <v>0.83919999999999995</v>
      </c>
      <c r="F1271" s="100">
        <v>1</v>
      </c>
      <c r="G1271" s="100" t="s">
        <v>17</v>
      </c>
      <c r="H1271" s="103">
        <v>0.85</v>
      </c>
      <c r="I1271" s="101">
        <f t="shared" si="21"/>
        <v>-7.144558228150095E-4</v>
      </c>
    </row>
    <row r="1272" spans="1:9" x14ac:dyDescent="0.3">
      <c r="A1272" s="100" t="s">
        <v>23</v>
      </c>
      <c r="B1272" s="100" t="s">
        <v>33</v>
      </c>
      <c r="C1272" s="100" t="s">
        <v>26</v>
      </c>
      <c r="D1272" s="102">
        <v>45716</v>
      </c>
      <c r="E1272" s="103">
        <v>0.82450000000000001</v>
      </c>
      <c r="F1272" s="100">
        <v>1</v>
      </c>
      <c r="G1272" s="100" t="s">
        <v>17</v>
      </c>
      <c r="H1272" s="103">
        <v>0.85</v>
      </c>
      <c r="I1272" s="101">
        <f t="shared" si="21"/>
        <v>-1.7516682554814034E-2</v>
      </c>
    </row>
    <row r="1273" spans="1:9" x14ac:dyDescent="0.3">
      <c r="A1273" s="100" t="s">
        <v>23</v>
      </c>
      <c r="B1273" s="100" t="s">
        <v>33</v>
      </c>
      <c r="C1273" s="100" t="s">
        <v>26</v>
      </c>
      <c r="D1273" s="102">
        <v>45747</v>
      </c>
      <c r="E1273" s="103">
        <v>0.84240000000000004</v>
      </c>
      <c r="F1273" s="100">
        <v>1</v>
      </c>
      <c r="G1273" s="100" t="s">
        <v>17</v>
      </c>
      <c r="H1273" s="103">
        <v>0.85</v>
      </c>
      <c r="I1273" s="101">
        <f t="shared" si="21"/>
        <v>2.171012734990907E-2</v>
      </c>
    </row>
    <row r="1274" spans="1:9" x14ac:dyDescent="0.3">
      <c r="A1274" s="100" t="s">
        <v>23</v>
      </c>
      <c r="B1274" s="100" t="s">
        <v>33</v>
      </c>
      <c r="C1274" s="100" t="s">
        <v>26</v>
      </c>
      <c r="D1274" s="102">
        <v>45777</v>
      </c>
      <c r="E1274" s="103">
        <v>0.84750000000000003</v>
      </c>
      <c r="F1274" s="100">
        <v>1</v>
      </c>
      <c r="G1274" s="100" t="s">
        <v>17</v>
      </c>
      <c r="H1274" s="103">
        <v>0.85</v>
      </c>
      <c r="I1274" s="101">
        <f t="shared" si="21"/>
        <v>6.0541310541310459E-3</v>
      </c>
    </row>
    <row r="1275" spans="1:9" x14ac:dyDescent="0.3">
      <c r="A1275" s="100" t="s">
        <v>23</v>
      </c>
      <c r="B1275" s="100" t="s">
        <v>33</v>
      </c>
      <c r="C1275" s="100" t="s">
        <v>26</v>
      </c>
      <c r="D1275" s="102">
        <v>45808</v>
      </c>
      <c r="E1275" s="103">
        <v>0.79479999999999995</v>
      </c>
      <c r="F1275" s="100">
        <v>1</v>
      </c>
      <c r="G1275" s="100" t="s">
        <v>17</v>
      </c>
      <c r="H1275" s="103">
        <v>0.85</v>
      </c>
      <c r="I1275" s="101">
        <f t="shared" si="21"/>
        <v>-6.2182890855457321E-2</v>
      </c>
    </row>
    <row r="1276" spans="1:9" x14ac:dyDescent="0.3">
      <c r="A1276" s="100" t="s">
        <v>23</v>
      </c>
      <c r="B1276" s="100" t="s">
        <v>33</v>
      </c>
      <c r="C1276" s="100" t="s">
        <v>26</v>
      </c>
      <c r="D1276" s="102">
        <v>45838</v>
      </c>
      <c r="E1276" s="103">
        <v>0.85229999999999995</v>
      </c>
      <c r="F1276" s="100">
        <v>1</v>
      </c>
      <c r="G1276" s="100" t="s">
        <v>17</v>
      </c>
      <c r="H1276" s="103">
        <v>0.85</v>
      </c>
      <c r="I1276" s="101">
        <f t="shared" si="21"/>
        <v>7.2345244086562663E-2</v>
      </c>
    </row>
    <row r="1277" spans="1:9" x14ac:dyDescent="0.3">
      <c r="A1277" s="100" t="s">
        <v>23</v>
      </c>
      <c r="B1277" s="100" t="s">
        <v>33</v>
      </c>
      <c r="C1277" s="100" t="s">
        <v>26</v>
      </c>
      <c r="D1277" s="102">
        <v>45869</v>
      </c>
      <c r="E1277" s="103">
        <v>0.81499999999999995</v>
      </c>
      <c r="F1277" s="100">
        <v>0</v>
      </c>
      <c r="G1277" s="100" t="s">
        <v>17</v>
      </c>
      <c r="H1277" s="103">
        <v>0.85</v>
      </c>
      <c r="I1277" s="101">
        <f t="shared" si="21"/>
        <v>-4.3763932887480934E-2</v>
      </c>
    </row>
    <row r="1278" spans="1:9" x14ac:dyDescent="0.3">
      <c r="A1278" s="100" t="s">
        <v>23</v>
      </c>
      <c r="B1278" s="100" t="s">
        <v>33</v>
      </c>
      <c r="C1278" s="100" t="s">
        <v>26</v>
      </c>
      <c r="D1278" s="102">
        <v>45900</v>
      </c>
      <c r="E1278" s="103">
        <v>0.84099999999999997</v>
      </c>
      <c r="F1278" s="100">
        <v>0</v>
      </c>
      <c r="G1278" s="100" t="s">
        <v>17</v>
      </c>
      <c r="H1278" s="103">
        <v>0.85</v>
      </c>
      <c r="I1278" s="101">
        <f t="shared" si="21"/>
        <v>3.1901840490797577E-2</v>
      </c>
    </row>
    <row r="1279" spans="1:9" x14ac:dyDescent="0.3">
      <c r="A1279" s="100" t="s">
        <v>23</v>
      </c>
      <c r="B1279" s="100" t="s">
        <v>33</v>
      </c>
      <c r="C1279" s="100" t="s">
        <v>26</v>
      </c>
      <c r="D1279" s="102">
        <v>45930</v>
      </c>
      <c r="E1279" s="103">
        <v>0.80600000000000005</v>
      </c>
      <c r="F1279" s="100">
        <v>1</v>
      </c>
      <c r="G1279" s="100" t="s">
        <v>17</v>
      </c>
      <c r="H1279" s="103">
        <v>0.85</v>
      </c>
      <c r="I1279" s="101">
        <f t="shared" si="21"/>
        <v>-4.1617122473246039E-2</v>
      </c>
    </row>
    <row r="1280" spans="1:9" x14ac:dyDescent="0.3">
      <c r="A1280" s="100" t="s">
        <v>23</v>
      </c>
      <c r="B1280" s="100" t="s">
        <v>33</v>
      </c>
      <c r="C1280" s="100" t="s">
        <v>26</v>
      </c>
      <c r="D1280" s="102">
        <v>45961</v>
      </c>
      <c r="E1280" s="103">
        <v>0.85199999999999998</v>
      </c>
      <c r="F1280" s="100">
        <v>0</v>
      </c>
      <c r="G1280" s="100" t="s">
        <v>17</v>
      </c>
      <c r="H1280" s="103">
        <v>0.85</v>
      </c>
      <c r="I1280" s="101">
        <f t="shared" si="21"/>
        <v>5.7071960297766657E-2</v>
      </c>
    </row>
    <row r="1281" spans="1:9" x14ac:dyDescent="0.3">
      <c r="A1281" s="100" t="s">
        <v>23</v>
      </c>
      <c r="B1281" s="100" t="s">
        <v>33</v>
      </c>
      <c r="C1281" s="100" t="s">
        <v>26</v>
      </c>
      <c r="D1281" s="102">
        <v>45991</v>
      </c>
      <c r="E1281" s="103">
        <v>0.79900000000000004</v>
      </c>
      <c r="F1281" s="100">
        <v>0</v>
      </c>
      <c r="G1281" s="100" t="s">
        <v>17</v>
      </c>
      <c r="H1281" s="103">
        <v>0.85</v>
      </c>
      <c r="I1281" s="101">
        <f t="shared" si="21"/>
        <v>-6.2206572769952978E-2</v>
      </c>
    </row>
    <row r="1282" spans="1:9" x14ac:dyDescent="0.3">
      <c r="A1282" s="100" t="s">
        <v>23</v>
      </c>
      <c r="B1282" s="100" t="s">
        <v>33</v>
      </c>
      <c r="C1282" s="100" t="s">
        <v>27</v>
      </c>
      <c r="D1282" s="102">
        <v>45535</v>
      </c>
      <c r="E1282" s="103">
        <v>0.67390000000000005</v>
      </c>
      <c r="F1282" s="100">
        <v>0</v>
      </c>
      <c r="G1282" s="100" t="s">
        <v>17</v>
      </c>
      <c r="H1282" s="103">
        <v>0.7</v>
      </c>
      <c r="I1282" s="101" t="str">
        <f t="shared" si="21"/>
        <v/>
      </c>
    </row>
    <row r="1283" spans="1:9" x14ac:dyDescent="0.3">
      <c r="A1283" s="100" t="s">
        <v>23</v>
      </c>
      <c r="B1283" s="100" t="s">
        <v>33</v>
      </c>
      <c r="C1283" s="100" t="s">
        <v>27</v>
      </c>
      <c r="D1283" s="102">
        <v>45565</v>
      </c>
      <c r="E1283" s="103">
        <v>0.66790000000000005</v>
      </c>
      <c r="F1283" s="100">
        <v>1</v>
      </c>
      <c r="G1283" s="100" t="s">
        <v>17</v>
      </c>
      <c r="H1283" s="103">
        <v>0.7</v>
      </c>
      <c r="I1283" s="101">
        <f t="shared" ref="I1283:I1346" si="22">IF(OR(B1283&lt;&gt;B1282,C1283&lt;&gt;C1282),"",IF(E1282=0,"",IF(G1283="UP",(E1283-E1282)/E1282,-((E1283-E1282)/E1282))))</f>
        <v>-8.9033981302863996E-3</v>
      </c>
    </row>
    <row r="1284" spans="1:9" x14ac:dyDescent="0.3">
      <c r="A1284" s="100" t="s">
        <v>23</v>
      </c>
      <c r="B1284" s="100" t="s">
        <v>33</v>
      </c>
      <c r="C1284" s="100" t="s">
        <v>27</v>
      </c>
      <c r="D1284" s="102">
        <v>45596</v>
      </c>
      <c r="E1284" s="103">
        <v>0.70789999999999997</v>
      </c>
      <c r="F1284" s="100">
        <v>0</v>
      </c>
      <c r="G1284" s="100" t="s">
        <v>17</v>
      </c>
      <c r="H1284" s="103">
        <v>0.7</v>
      </c>
      <c r="I1284" s="101">
        <f t="shared" si="22"/>
        <v>5.9889204970803897E-2</v>
      </c>
    </row>
    <row r="1285" spans="1:9" x14ac:dyDescent="0.3">
      <c r="A1285" s="100" t="s">
        <v>23</v>
      </c>
      <c r="B1285" s="100" t="s">
        <v>33</v>
      </c>
      <c r="C1285" s="100" t="s">
        <v>27</v>
      </c>
      <c r="D1285" s="102">
        <v>45626</v>
      </c>
      <c r="E1285" s="103">
        <v>0.72589999999999999</v>
      </c>
      <c r="F1285" s="100">
        <v>0</v>
      </c>
      <c r="G1285" s="100" t="s">
        <v>17</v>
      </c>
      <c r="H1285" s="103">
        <v>0.7</v>
      </c>
      <c r="I1285" s="101">
        <f t="shared" si="22"/>
        <v>2.5427320242972194E-2</v>
      </c>
    </row>
    <row r="1286" spans="1:9" x14ac:dyDescent="0.3">
      <c r="A1286" s="100" t="s">
        <v>23</v>
      </c>
      <c r="B1286" s="100" t="s">
        <v>33</v>
      </c>
      <c r="C1286" s="100" t="s">
        <v>27</v>
      </c>
      <c r="D1286" s="102">
        <v>45657</v>
      </c>
      <c r="E1286" s="103">
        <v>0.70020000000000004</v>
      </c>
      <c r="F1286" s="100">
        <v>1</v>
      </c>
      <c r="G1286" s="100" t="s">
        <v>17</v>
      </c>
      <c r="H1286" s="103">
        <v>0.7</v>
      </c>
      <c r="I1286" s="101">
        <f t="shared" si="22"/>
        <v>-3.5404325664692031E-2</v>
      </c>
    </row>
    <row r="1287" spans="1:9" x14ac:dyDescent="0.3">
      <c r="A1287" s="100" t="s">
        <v>23</v>
      </c>
      <c r="B1287" s="100" t="s">
        <v>33</v>
      </c>
      <c r="C1287" s="100" t="s">
        <v>27</v>
      </c>
      <c r="D1287" s="102">
        <v>45688</v>
      </c>
      <c r="E1287" s="103">
        <v>0.6996</v>
      </c>
      <c r="F1287" s="100">
        <v>1</v>
      </c>
      <c r="G1287" s="100" t="s">
        <v>17</v>
      </c>
      <c r="H1287" s="103">
        <v>0.7</v>
      </c>
      <c r="I1287" s="101">
        <f t="shared" si="22"/>
        <v>-8.5689802913459711E-4</v>
      </c>
    </row>
    <row r="1288" spans="1:9" x14ac:dyDescent="0.3">
      <c r="A1288" s="100" t="s">
        <v>23</v>
      </c>
      <c r="B1288" s="100" t="s">
        <v>33</v>
      </c>
      <c r="C1288" s="100" t="s">
        <v>27</v>
      </c>
      <c r="D1288" s="102">
        <v>45716</v>
      </c>
      <c r="E1288" s="103">
        <v>0.72540000000000004</v>
      </c>
      <c r="F1288" s="100">
        <v>1</v>
      </c>
      <c r="G1288" s="100" t="s">
        <v>17</v>
      </c>
      <c r="H1288" s="103">
        <v>0.7</v>
      </c>
      <c r="I1288" s="101">
        <f t="shared" si="22"/>
        <v>3.6878216123499209E-2</v>
      </c>
    </row>
    <row r="1289" spans="1:9" x14ac:dyDescent="0.3">
      <c r="A1289" s="100" t="s">
        <v>23</v>
      </c>
      <c r="B1289" s="100" t="s">
        <v>33</v>
      </c>
      <c r="C1289" s="100" t="s">
        <v>27</v>
      </c>
      <c r="D1289" s="102">
        <v>45747</v>
      </c>
      <c r="E1289" s="103">
        <v>0.74609999999999999</v>
      </c>
      <c r="F1289" s="100">
        <v>1</v>
      </c>
      <c r="G1289" s="100" t="s">
        <v>17</v>
      </c>
      <c r="H1289" s="103">
        <v>0.7</v>
      </c>
      <c r="I1289" s="101">
        <f t="shared" si="22"/>
        <v>2.853598014888329E-2</v>
      </c>
    </row>
    <row r="1290" spans="1:9" x14ac:dyDescent="0.3">
      <c r="A1290" s="100" t="s">
        <v>23</v>
      </c>
      <c r="B1290" s="100" t="s">
        <v>33</v>
      </c>
      <c r="C1290" s="100" t="s">
        <v>27</v>
      </c>
      <c r="D1290" s="102">
        <v>45777</v>
      </c>
      <c r="E1290" s="103">
        <v>0.75349999999999995</v>
      </c>
      <c r="F1290" s="100">
        <v>1</v>
      </c>
      <c r="G1290" s="100" t="s">
        <v>17</v>
      </c>
      <c r="H1290" s="103">
        <v>0.7</v>
      </c>
      <c r="I1290" s="101">
        <f t="shared" si="22"/>
        <v>9.9182415225840537E-3</v>
      </c>
    </row>
    <row r="1291" spans="1:9" x14ac:dyDescent="0.3">
      <c r="A1291" s="100" t="s">
        <v>23</v>
      </c>
      <c r="B1291" s="100" t="s">
        <v>33</v>
      </c>
      <c r="C1291" s="100" t="s">
        <v>27</v>
      </c>
      <c r="D1291" s="102">
        <v>45808</v>
      </c>
      <c r="E1291" s="103">
        <v>0.73970000000000002</v>
      </c>
      <c r="F1291" s="100">
        <v>1</v>
      </c>
      <c r="G1291" s="100" t="s">
        <v>17</v>
      </c>
      <c r="H1291" s="103">
        <v>0.7</v>
      </c>
      <c r="I1291" s="101">
        <f t="shared" si="22"/>
        <v>-1.8314532183145223E-2</v>
      </c>
    </row>
    <row r="1292" spans="1:9" x14ac:dyDescent="0.3">
      <c r="A1292" s="100" t="s">
        <v>23</v>
      </c>
      <c r="B1292" s="100" t="s">
        <v>33</v>
      </c>
      <c r="C1292" s="100" t="s">
        <v>27</v>
      </c>
      <c r="D1292" s="102">
        <v>45838</v>
      </c>
      <c r="E1292" s="103">
        <v>0.78200000000000003</v>
      </c>
      <c r="F1292" s="100">
        <v>1</v>
      </c>
      <c r="G1292" s="100" t="s">
        <v>17</v>
      </c>
      <c r="H1292" s="103">
        <v>0.7</v>
      </c>
      <c r="I1292" s="101">
        <f t="shared" si="22"/>
        <v>5.7185345410301479E-2</v>
      </c>
    </row>
    <row r="1293" spans="1:9" x14ac:dyDescent="0.3">
      <c r="A1293" s="100" t="s">
        <v>23</v>
      </c>
      <c r="B1293" s="100" t="s">
        <v>33</v>
      </c>
      <c r="C1293" s="100" t="s">
        <v>27</v>
      </c>
      <c r="D1293" s="102">
        <v>45869</v>
      </c>
      <c r="E1293" s="103">
        <v>0.72099999999999997</v>
      </c>
      <c r="F1293" s="100">
        <v>0</v>
      </c>
      <c r="G1293" s="100" t="s">
        <v>17</v>
      </c>
      <c r="H1293" s="103">
        <v>0.7</v>
      </c>
      <c r="I1293" s="101">
        <f t="shared" si="22"/>
        <v>-7.8005115089514132E-2</v>
      </c>
    </row>
    <row r="1294" spans="1:9" x14ac:dyDescent="0.3">
      <c r="A1294" s="100" t="s">
        <v>23</v>
      </c>
      <c r="B1294" s="100" t="s">
        <v>33</v>
      </c>
      <c r="C1294" s="100" t="s">
        <v>27</v>
      </c>
      <c r="D1294" s="102">
        <v>45900</v>
      </c>
      <c r="E1294" s="103">
        <v>0.755</v>
      </c>
      <c r="F1294" s="100">
        <v>0</v>
      </c>
      <c r="G1294" s="100" t="s">
        <v>17</v>
      </c>
      <c r="H1294" s="103">
        <v>0.7</v>
      </c>
      <c r="I1294" s="101">
        <f t="shared" si="22"/>
        <v>4.7156726768377295E-2</v>
      </c>
    </row>
    <row r="1295" spans="1:9" x14ac:dyDescent="0.3">
      <c r="A1295" s="100" t="s">
        <v>23</v>
      </c>
      <c r="B1295" s="100" t="s">
        <v>33</v>
      </c>
      <c r="C1295" s="100" t="s">
        <v>27</v>
      </c>
      <c r="D1295" s="102">
        <v>45930</v>
      </c>
      <c r="E1295" s="103">
        <v>0.72899999999999998</v>
      </c>
      <c r="F1295" s="100">
        <v>0</v>
      </c>
      <c r="G1295" s="100" t="s">
        <v>17</v>
      </c>
      <c r="H1295" s="103">
        <v>0.7</v>
      </c>
      <c r="I1295" s="101">
        <f t="shared" si="22"/>
        <v>-3.4437086092715265E-2</v>
      </c>
    </row>
    <row r="1296" spans="1:9" x14ac:dyDescent="0.3">
      <c r="A1296" s="100" t="s">
        <v>23</v>
      </c>
      <c r="B1296" s="100" t="s">
        <v>33</v>
      </c>
      <c r="C1296" s="100" t="s">
        <v>27</v>
      </c>
      <c r="D1296" s="102">
        <v>45961</v>
      </c>
      <c r="E1296" s="103">
        <v>0.75800000000000001</v>
      </c>
      <c r="F1296" s="100">
        <v>0</v>
      </c>
      <c r="G1296" s="100" t="s">
        <v>17</v>
      </c>
      <c r="H1296" s="103">
        <v>0.7</v>
      </c>
      <c r="I1296" s="101">
        <f t="shared" si="22"/>
        <v>3.978052126200278E-2</v>
      </c>
    </row>
    <row r="1297" spans="1:9" x14ac:dyDescent="0.3">
      <c r="A1297" s="100" t="s">
        <v>23</v>
      </c>
      <c r="B1297" s="100" t="s">
        <v>33</v>
      </c>
      <c r="C1297" s="100" t="s">
        <v>27</v>
      </c>
      <c r="D1297" s="102">
        <v>45991</v>
      </c>
      <c r="E1297" s="103">
        <v>0.73299999999999998</v>
      </c>
      <c r="F1297" s="100">
        <v>0</v>
      </c>
      <c r="G1297" s="100" t="s">
        <v>17</v>
      </c>
      <c r="H1297" s="103">
        <v>0.7</v>
      </c>
      <c r="I1297" s="101">
        <f t="shared" si="22"/>
        <v>-3.2981530343007943E-2</v>
      </c>
    </row>
    <row r="1298" spans="1:9" x14ac:dyDescent="0.3">
      <c r="I1298" s="101" t="str">
        <f t="shared" si="22"/>
        <v/>
      </c>
    </row>
    <row r="1299" spans="1:9" x14ac:dyDescent="0.3">
      <c r="I1299" s="101" t="str">
        <f t="shared" si="22"/>
        <v/>
      </c>
    </row>
    <row r="1300" spans="1:9" x14ac:dyDescent="0.3">
      <c r="I1300" s="101" t="str">
        <f t="shared" si="22"/>
        <v/>
      </c>
    </row>
    <row r="1301" spans="1:9" x14ac:dyDescent="0.3">
      <c r="I1301" s="101" t="str">
        <f t="shared" si="22"/>
        <v/>
      </c>
    </row>
    <row r="1302" spans="1:9" x14ac:dyDescent="0.3">
      <c r="I1302" s="101" t="str">
        <f t="shared" si="22"/>
        <v/>
      </c>
    </row>
    <row r="1303" spans="1:9" x14ac:dyDescent="0.3">
      <c r="I1303" s="101" t="str">
        <f t="shared" si="22"/>
        <v/>
      </c>
    </row>
    <row r="1304" spans="1:9" x14ac:dyDescent="0.3">
      <c r="I1304" s="101" t="str">
        <f t="shared" si="22"/>
        <v/>
      </c>
    </row>
    <row r="1305" spans="1:9" x14ac:dyDescent="0.3">
      <c r="I1305" s="101" t="str">
        <f t="shared" si="22"/>
        <v/>
      </c>
    </row>
    <row r="1306" spans="1:9" x14ac:dyDescent="0.3">
      <c r="I1306" s="101" t="str">
        <f t="shared" si="22"/>
        <v/>
      </c>
    </row>
    <row r="1307" spans="1:9" x14ac:dyDescent="0.3">
      <c r="I1307" s="101" t="str">
        <f t="shared" si="22"/>
        <v/>
      </c>
    </row>
    <row r="1308" spans="1:9" x14ac:dyDescent="0.3">
      <c r="I1308" s="101" t="str">
        <f t="shared" si="22"/>
        <v/>
      </c>
    </row>
    <row r="1309" spans="1:9" x14ac:dyDescent="0.3">
      <c r="I1309" s="101" t="str">
        <f t="shared" si="22"/>
        <v/>
      </c>
    </row>
    <row r="1310" spans="1:9" x14ac:dyDescent="0.3">
      <c r="I1310" s="101" t="str">
        <f t="shared" si="22"/>
        <v/>
      </c>
    </row>
    <row r="1311" spans="1:9" x14ac:dyDescent="0.3">
      <c r="I1311" s="101" t="str">
        <f t="shared" si="22"/>
        <v/>
      </c>
    </row>
    <row r="1312" spans="1:9" x14ac:dyDescent="0.3">
      <c r="I1312" s="101" t="str">
        <f t="shared" si="22"/>
        <v/>
      </c>
    </row>
    <row r="1313" spans="9:9" x14ac:dyDescent="0.3">
      <c r="I1313" s="101" t="str">
        <f t="shared" si="22"/>
        <v/>
      </c>
    </row>
    <row r="1314" spans="9:9" x14ac:dyDescent="0.3">
      <c r="I1314" s="101" t="str">
        <f t="shared" si="22"/>
        <v/>
      </c>
    </row>
    <row r="1315" spans="9:9" x14ac:dyDescent="0.3">
      <c r="I1315" s="101" t="str">
        <f t="shared" si="22"/>
        <v/>
      </c>
    </row>
    <row r="1316" spans="9:9" x14ac:dyDescent="0.3">
      <c r="I1316" s="101" t="str">
        <f t="shared" si="22"/>
        <v/>
      </c>
    </row>
    <row r="1317" spans="9:9" x14ac:dyDescent="0.3">
      <c r="I1317" s="101" t="str">
        <f t="shared" si="22"/>
        <v/>
      </c>
    </row>
    <row r="1318" spans="9:9" x14ac:dyDescent="0.3">
      <c r="I1318" s="101" t="str">
        <f t="shared" si="22"/>
        <v/>
      </c>
    </row>
    <row r="1319" spans="9:9" x14ac:dyDescent="0.3">
      <c r="I1319" s="101" t="str">
        <f t="shared" si="22"/>
        <v/>
      </c>
    </row>
    <row r="1320" spans="9:9" x14ac:dyDescent="0.3">
      <c r="I1320" s="101" t="str">
        <f t="shared" si="22"/>
        <v/>
      </c>
    </row>
    <row r="1321" spans="9:9" x14ac:dyDescent="0.3">
      <c r="I1321" s="101" t="str">
        <f t="shared" si="22"/>
        <v/>
      </c>
    </row>
    <row r="1322" spans="9:9" x14ac:dyDescent="0.3">
      <c r="I1322" s="101" t="str">
        <f t="shared" si="22"/>
        <v/>
      </c>
    </row>
    <row r="1323" spans="9:9" x14ac:dyDescent="0.3">
      <c r="I1323" s="101" t="str">
        <f t="shared" si="22"/>
        <v/>
      </c>
    </row>
    <row r="1324" spans="9:9" x14ac:dyDescent="0.3">
      <c r="I1324" s="101" t="str">
        <f t="shared" si="22"/>
        <v/>
      </c>
    </row>
    <row r="1325" spans="9:9" x14ac:dyDescent="0.3">
      <c r="I1325" s="101" t="str">
        <f t="shared" si="22"/>
        <v/>
      </c>
    </row>
    <row r="1326" spans="9:9" x14ac:dyDescent="0.3">
      <c r="I1326" s="101" t="str">
        <f t="shared" si="22"/>
        <v/>
      </c>
    </row>
    <row r="1327" spans="9:9" x14ac:dyDescent="0.3">
      <c r="I1327" s="101" t="str">
        <f t="shared" si="22"/>
        <v/>
      </c>
    </row>
    <row r="1328" spans="9:9" x14ac:dyDescent="0.3">
      <c r="I1328" s="101" t="str">
        <f t="shared" si="22"/>
        <v/>
      </c>
    </row>
    <row r="1329" spans="9:9" x14ac:dyDescent="0.3">
      <c r="I1329" s="101" t="str">
        <f t="shared" si="22"/>
        <v/>
      </c>
    </row>
    <row r="1330" spans="9:9" x14ac:dyDescent="0.3">
      <c r="I1330" s="101" t="str">
        <f t="shared" si="22"/>
        <v/>
      </c>
    </row>
    <row r="1331" spans="9:9" x14ac:dyDescent="0.3">
      <c r="I1331" s="101" t="str">
        <f t="shared" si="22"/>
        <v/>
      </c>
    </row>
    <row r="1332" spans="9:9" x14ac:dyDescent="0.3">
      <c r="I1332" s="101" t="str">
        <f t="shared" si="22"/>
        <v/>
      </c>
    </row>
    <row r="1333" spans="9:9" x14ac:dyDescent="0.3">
      <c r="I1333" s="101" t="str">
        <f t="shared" si="22"/>
        <v/>
      </c>
    </row>
    <row r="1334" spans="9:9" x14ac:dyDescent="0.3">
      <c r="I1334" s="101" t="str">
        <f t="shared" si="22"/>
        <v/>
      </c>
    </row>
    <row r="1335" spans="9:9" x14ac:dyDescent="0.3">
      <c r="I1335" s="101" t="str">
        <f t="shared" si="22"/>
        <v/>
      </c>
    </row>
    <row r="1336" spans="9:9" x14ac:dyDescent="0.3">
      <c r="I1336" s="101" t="str">
        <f t="shared" si="22"/>
        <v/>
      </c>
    </row>
    <row r="1337" spans="9:9" x14ac:dyDescent="0.3">
      <c r="I1337" s="101" t="str">
        <f t="shared" si="22"/>
        <v/>
      </c>
    </row>
    <row r="1338" spans="9:9" x14ac:dyDescent="0.3">
      <c r="I1338" s="101" t="str">
        <f t="shared" si="22"/>
        <v/>
      </c>
    </row>
    <row r="1339" spans="9:9" x14ac:dyDescent="0.3">
      <c r="I1339" s="101" t="str">
        <f t="shared" si="22"/>
        <v/>
      </c>
    </row>
    <row r="1340" spans="9:9" x14ac:dyDescent="0.3">
      <c r="I1340" s="101" t="str">
        <f t="shared" si="22"/>
        <v/>
      </c>
    </row>
    <row r="1341" spans="9:9" x14ac:dyDescent="0.3">
      <c r="I1341" s="101" t="str">
        <f t="shared" si="22"/>
        <v/>
      </c>
    </row>
    <row r="1342" spans="9:9" x14ac:dyDescent="0.3">
      <c r="I1342" s="101" t="str">
        <f t="shared" si="22"/>
        <v/>
      </c>
    </row>
    <row r="1343" spans="9:9" x14ac:dyDescent="0.3">
      <c r="I1343" s="101" t="str">
        <f t="shared" si="22"/>
        <v/>
      </c>
    </row>
    <row r="1344" spans="9:9" x14ac:dyDescent="0.3">
      <c r="I1344" s="101" t="str">
        <f t="shared" si="22"/>
        <v/>
      </c>
    </row>
    <row r="1345" spans="9:9" x14ac:dyDescent="0.3">
      <c r="I1345" s="101" t="str">
        <f t="shared" si="22"/>
        <v/>
      </c>
    </row>
    <row r="1346" spans="9:9" x14ac:dyDescent="0.3">
      <c r="I1346" s="101" t="str">
        <f t="shared" si="22"/>
        <v/>
      </c>
    </row>
    <row r="1347" spans="9:9" x14ac:dyDescent="0.3">
      <c r="I1347" s="101" t="str">
        <f t="shared" ref="I1347:I1410" si="23">IF(OR(B1347&lt;&gt;B1346,C1347&lt;&gt;C1346),"",IF(E1346=0,"",IF(G1347="UP",(E1347-E1346)/E1346,-((E1347-E1346)/E1346))))</f>
        <v/>
      </c>
    </row>
    <row r="1348" spans="9:9" x14ac:dyDescent="0.3">
      <c r="I1348" s="101" t="str">
        <f t="shared" si="23"/>
        <v/>
      </c>
    </row>
    <row r="1349" spans="9:9" x14ac:dyDescent="0.3">
      <c r="I1349" s="101" t="str">
        <f t="shared" si="23"/>
        <v/>
      </c>
    </row>
    <row r="1350" spans="9:9" x14ac:dyDescent="0.3">
      <c r="I1350" s="101" t="str">
        <f t="shared" si="23"/>
        <v/>
      </c>
    </row>
    <row r="1351" spans="9:9" x14ac:dyDescent="0.3">
      <c r="I1351" s="101" t="str">
        <f t="shared" si="23"/>
        <v/>
      </c>
    </row>
    <row r="1352" spans="9:9" x14ac:dyDescent="0.3">
      <c r="I1352" s="101" t="str">
        <f t="shared" si="23"/>
        <v/>
      </c>
    </row>
    <row r="1353" spans="9:9" x14ac:dyDescent="0.3">
      <c r="I1353" s="101" t="str">
        <f t="shared" si="23"/>
        <v/>
      </c>
    </row>
    <row r="1354" spans="9:9" x14ac:dyDescent="0.3">
      <c r="I1354" s="101" t="str">
        <f t="shared" si="23"/>
        <v/>
      </c>
    </row>
    <row r="1355" spans="9:9" x14ac:dyDescent="0.3">
      <c r="I1355" s="101" t="str">
        <f t="shared" si="23"/>
        <v/>
      </c>
    </row>
    <row r="1356" spans="9:9" x14ac:dyDescent="0.3">
      <c r="I1356" s="101" t="str">
        <f t="shared" si="23"/>
        <v/>
      </c>
    </row>
    <row r="1357" spans="9:9" x14ac:dyDescent="0.3">
      <c r="I1357" s="101" t="str">
        <f t="shared" si="23"/>
        <v/>
      </c>
    </row>
    <row r="1358" spans="9:9" x14ac:dyDescent="0.3">
      <c r="I1358" s="101" t="str">
        <f t="shared" si="23"/>
        <v/>
      </c>
    </row>
    <row r="1359" spans="9:9" x14ac:dyDescent="0.3">
      <c r="I1359" s="101" t="str">
        <f t="shared" si="23"/>
        <v/>
      </c>
    </row>
    <row r="1360" spans="9:9" x14ac:dyDescent="0.3">
      <c r="I1360" s="101" t="str">
        <f t="shared" si="23"/>
        <v/>
      </c>
    </row>
    <row r="1361" spans="9:9" x14ac:dyDescent="0.3">
      <c r="I1361" s="101" t="str">
        <f t="shared" si="23"/>
        <v/>
      </c>
    </row>
    <row r="1362" spans="9:9" x14ac:dyDescent="0.3">
      <c r="I1362" s="101" t="str">
        <f t="shared" si="23"/>
        <v/>
      </c>
    </row>
    <row r="1363" spans="9:9" x14ac:dyDescent="0.3">
      <c r="I1363" s="101" t="str">
        <f t="shared" si="23"/>
        <v/>
      </c>
    </row>
    <row r="1364" spans="9:9" x14ac:dyDescent="0.3">
      <c r="I1364" s="101" t="str">
        <f t="shared" si="23"/>
        <v/>
      </c>
    </row>
    <row r="1365" spans="9:9" x14ac:dyDescent="0.3">
      <c r="I1365" s="101" t="str">
        <f t="shared" si="23"/>
        <v/>
      </c>
    </row>
    <row r="1366" spans="9:9" x14ac:dyDescent="0.3">
      <c r="I1366" s="101" t="str">
        <f t="shared" si="23"/>
        <v/>
      </c>
    </row>
    <row r="1367" spans="9:9" x14ac:dyDescent="0.3">
      <c r="I1367" s="101" t="str">
        <f t="shared" si="23"/>
        <v/>
      </c>
    </row>
    <row r="1368" spans="9:9" x14ac:dyDescent="0.3">
      <c r="I1368" s="101" t="str">
        <f t="shared" si="23"/>
        <v/>
      </c>
    </row>
    <row r="1369" spans="9:9" x14ac:dyDescent="0.3">
      <c r="I1369" s="101" t="str">
        <f t="shared" si="23"/>
        <v/>
      </c>
    </row>
    <row r="1370" spans="9:9" x14ac:dyDescent="0.3">
      <c r="I1370" s="101" t="str">
        <f t="shared" si="23"/>
        <v/>
      </c>
    </row>
    <row r="1371" spans="9:9" x14ac:dyDescent="0.3">
      <c r="I1371" s="101" t="str">
        <f t="shared" si="23"/>
        <v/>
      </c>
    </row>
    <row r="1372" spans="9:9" x14ac:dyDescent="0.3">
      <c r="I1372" s="101" t="str">
        <f t="shared" si="23"/>
        <v/>
      </c>
    </row>
    <row r="1373" spans="9:9" x14ac:dyDescent="0.3">
      <c r="I1373" s="101" t="str">
        <f t="shared" si="23"/>
        <v/>
      </c>
    </row>
    <row r="1374" spans="9:9" x14ac:dyDescent="0.3">
      <c r="I1374" s="101" t="str">
        <f t="shared" si="23"/>
        <v/>
      </c>
    </row>
    <row r="1375" spans="9:9" x14ac:dyDescent="0.3">
      <c r="I1375" s="101" t="str">
        <f t="shared" si="23"/>
        <v/>
      </c>
    </row>
    <row r="1376" spans="9:9" x14ac:dyDescent="0.3">
      <c r="I1376" s="101" t="str">
        <f t="shared" si="23"/>
        <v/>
      </c>
    </row>
    <row r="1377" spans="9:9" x14ac:dyDescent="0.3">
      <c r="I1377" s="101" t="str">
        <f t="shared" si="23"/>
        <v/>
      </c>
    </row>
    <row r="1378" spans="9:9" x14ac:dyDescent="0.3">
      <c r="I1378" s="101" t="str">
        <f t="shared" si="23"/>
        <v/>
      </c>
    </row>
    <row r="1379" spans="9:9" x14ac:dyDescent="0.3">
      <c r="I1379" s="101" t="str">
        <f t="shared" si="23"/>
        <v/>
      </c>
    </row>
    <row r="1380" spans="9:9" x14ac:dyDescent="0.3">
      <c r="I1380" s="101" t="str">
        <f t="shared" si="23"/>
        <v/>
      </c>
    </row>
    <row r="1381" spans="9:9" x14ac:dyDescent="0.3">
      <c r="I1381" s="101" t="str">
        <f t="shared" si="23"/>
        <v/>
      </c>
    </row>
    <row r="1382" spans="9:9" x14ac:dyDescent="0.3">
      <c r="I1382" s="101" t="str">
        <f t="shared" si="23"/>
        <v/>
      </c>
    </row>
    <row r="1383" spans="9:9" x14ac:dyDescent="0.3">
      <c r="I1383" s="101" t="str">
        <f t="shared" si="23"/>
        <v/>
      </c>
    </row>
    <row r="1384" spans="9:9" x14ac:dyDescent="0.3">
      <c r="I1384" s="101" t="str">
        <f t="shared" si="23"/>
        <v/>
      </c>
    </row>
    <row r="1385" spans="9:9" x14ac:dyDescent="0.3">
      <c r="I1385" s="101" t="str">
        <f t="shared" si="23"/>
        <v/>
      </c>
    </row>
    <row r="1386" spans="9:9" x14ac:dyDescent="0.3">
      <c r="I1386" s="101" t="str">
        <f t="shared" si="23"/>
        <v/>
      </c>
    </row>
    <row r="1387" spans="9:9" x14ac:dyDescent="0.3">
      <c r="I1387" s="101" t="str">
        <f t="shared" si="23"/>
        <v/>
      </c>
    </row>
    <row r="1388" spans="9:9" x14ac:dyDescent="0.3">
      <c r="I1388" s="101" t="str">
        <f t="shared" si="23"/>
        <v/>
      </c>
    </row>
    <row r="1389" spans="9:9" x14ac:dyDescent="0.3">
      <c r="I1389" s="101" t="str">
        <f t="shared" si="23"/>
        <v/>
      </c>
    </row>
    <row r="1390" spans="9:9" x14ac:dyDescent="0.3">
      <c r="I1390" s="101" t="str">
        <f t="shared" si="23"/>
        <v/>
      </c>
    </row>
    <row r="1391" spans="9:9" x14ac:dyDescent="0.3">
      <c r="I1391" s="101" t="str">
        <f t="shared" si="23"/>
        <v/>
      </c>
    </row>
    <row r="1392" spans="9:9" x14ac:dyDescent="0.3">
      <c r="I1392" s="101" t="str">
        <f t="shared" si="23"/>
        <v/>
      </c>
    </row>
    <row r="1393" spans="9:9" x14ac:dyDescent="0.3">
      <c r="I1393" s="101" t="str">
        <f t="shared" si="23"/>
        <v/>
      </c>
    </row>
    <row r="1394" spans="9:9" x14ac:dyDescent="0.3">
      <c r="I1394" s="101" t="str">
        <f t="shared" si="23"/>
        <v/>
      </c>
    </row>
    <row r="1395" spans="9:9" x14ac:dyDescent="0.3">
      <c r="I1395" s="101" t="str">
        <f t="shared" si="23"/>
        <v/>
      </c>
    </row>
    <row r="1396" spans="9:9" x14ac:dyDescent="0.3">
      <c r="I1396" s="101" t="str">
        <f t="shared" si="23"/>
        <v/>
      </c>
    </row>
    <row r="1397" spans="9:9" x14ac:dyDescent="0.3">
      <c r="I1397" s="101" t="str">
        <f t="shared" si="23"/>
        <v/>
      </c>
    </row>
    <row r="1398" spans="9:9" x14ac:dyDescent="0.3">
      <c r="I1398" s="101" t="str">
        <f t="shared" si="23"/>
        <v/>
      </c>
    </row>
    <row r="1399" spans="9:9" x14ac:dyDescent="0.3">
      <c r="I1399" s="101" t="str">
        <f t="shared" si="23"/>
        <v/>
      </c>
    </row>
    <row r="1400" spans="9:9" x14ac:dyDescent="0.3">
      <c r="I1400" s="101" t="str">
        <f t="shared" si="23"/>
        <v/>
      </c>
    </row>
    <row r="1401" spans="9:9" x14ac:dyDescent="0.3">
      <c r="I1401" s="101" t="str">
        <f t="shared" si="23"/>
        <v/>
      </c>
    </row>
    <row r="1402" spans="9:9" x14ac:dyDescent="0.3">
      <c r="I1402" s="101" t="str">
        <f t="shared" si="23"/>
        <v/>
      </c>
    </row>
    <row r="1403" spans="9:9" x14ac:dyDescent="0.3">
      <c r="I1403" s="101" t="str">
        <f t="shared" si="23"/>
        <v/>
      </c>
    </row>
    <row r="1404" spans="9:9" x14ac:dyDescent="0.3">
      <c r="I1404" s="101" t="str">
        <f t="shared" si="23"/>
        <v/>
      </c>
    </row>
    <row r="1405" spans="9:9" x14ac:dyDescent="0.3">
      <c r="I1405" s="101" t="str">
        <f t="shared" si="23"/>
        <v/>
      </c>
    </row>
    <row r="1406" spans="9:9" x14ac:dyDescent="0.3">
      <c r="I1406" s="101" t="str">
        <f t="shared" si="23"/>
        <v/>
      </c>
    </row>
    <row r="1407" spans="9:9" x14ac:dyDescent="0.3">
      <c r="I1407" s="101" t="str">
        <f t="shared" si="23"/>
        <v/>
      </c>
    </row>
    <row r="1408" spans="9:9" x14ac:dyDescent="0.3">
      <c r="I1408" s="101" t="str">
        <f t="shared" si="23"/>
        <v/>
      </c>
    </row>
    <row r="1409" spans="9:9" x14ac:dyDescent="0.3">
      <c r="I1409" s="101" t="str">
        <f t="shared" si="23"/>
        <v/>
      </c>
    </row>
    <row r="1410" spans="9:9" x14ac:dyDescent="0.3">
      <c r="I1410" s="101" t="str">
        <f t="shared" si="23"/>
        <v/>
      </c>
    </row>
    <row r="1411" spans="9:9" x14ac:dyDescent="0.3">
      <c r="I1411" s="101" t="str">
        <f t="shared" ref="I1411:I1474" si="24">IF(OR(B1411&lt;&gt;B1410,C1411&lt;&gt;C1410),"",IF(E1410=0,"",IF(G1411="UP",(E1411-E1410)/E1410,-((E1411-E1410)/E1410))))</f>
        <v/>
      </c>
    </row>
    <row r="1412" spans="9:9" x14ac:dyDescent="0.3">
      <c r="I1412" s="101" t="str">
        <f t="shared" si="24"/>
        <v/>
      </c>
    </row>
    <row r="1413" spans="9:9" x14ac:dyDescent="0.3">
      <c r="I1413" s="101" t="str">
        <f t="shared" si="24"/>
        <v/>
      </c>
    </row>
    <row r="1414" spans="9:9" x14ac:dyDescent="0.3">
      <c r="I1414" s="101" t="str">
        <f t="shared" si="24"/>
        <v/>
      </c>
    </row>
    <row r="1415" spans="9:9" x14ac:dyDescent="0.3">
      <c r="I1415" s="101" t="str">
        <f t="shared" si="24"/>
        <v/>
      </c>
    </row>
    <row r="1416" spans="9:9" x14ac:dyDescent="0.3">
      <c r="I1416" s="101" t="str">
        <f t="shared" si="24"/>
        <v/>
      </c>
    </row>
    <row r="1417" spans="9:9" x14ac:dyDescent="0.3">
      <c r="I1417" s="101" t="str">
        <f t="shared" si="24"/>
        <v/>
      </c>
    </row>
    <row r="1418" spans="9:9" x14ac:dyDescent="0.3">
      <c r="I1418" s="101" t="str">
        <f t="shared" si="24"/>
        <v/>
      </c>
    </row>
    <row r="1419" spans="9:9" x14ac:dyDescent="0.3">
      <c r="I1419" s="101" t="str">
        <f t="shared" si="24"/>
        <v/>
      </c>
    </row>
    <row r="1420" spans="9:9" x14ac:dyDescent="0.3">
      <c r="I1420" s="101" t="str">
        <f t="shared" si="24"/>
        <v/>
      </c>
    </row>
    <row r="1421" spans="9:9" x14ac:dyDescent="0.3">
      <c r="I1421" s="101" t="str">
        <f t="shared" si="24"/>
        <v/>
      </c>
    </row>
    <row r="1422" spans="9:9" x14ac:dyDescent="0.3">
      <c r="I1422" s="101" t="str">
        <f t="shared" si="24"/>
        <v/>
      </c>
    </row>
    <row r="1423" spans="9:9" x14ac:dyDescent="0.3">
      <c r="I1423" s="101" t="str">
        <f t="shared" si="24"/>
        <v/>
      </c>
    </row>
    <row r="1424" spans="9:9" x14ac:dyDescent="0.3">
      <c r="I1424" s="101" t="str">
        <f t="shared" si="24"/>
        <v/>
      </c>
    </row>
    <row r="1425" spans="9:9" x14ac:dyDescent="0.3">
      <c r="I1425" s="101" t="str">
        <f t="shared" si="24"/>
        <v/>
      </c>
    </row>
    <row r="1426" spans="9:9" x14ac:dyDescent="0.3">
      <c r="I1426" s="101" t="str">
        <f t="shared" si="24"/>
        <v/>
      </c>
    </row>
    <row r="1427" spans="9:9" x14ac:dyDescent="0.3">
      <c r="I1427" s="101" t="str">
        <f t="shared" si="24"/>
        <v/>
      </c>
    </row>
    <row r="1428" spans="9:9" x14ac:dyDescent="0.3">
      <c r="I1428" s="101" t="str">
        <f t="shared" si="24"/>
        <v/>
      </c>
    </row>
    <row r="1429" spans="9:9" x14ac:dyDescent="0.3">
      <c r="I1429" s="101" t="str">
        <f t="shared" si="24"/>
        <v/>
      </c>
    </row>
    <row r="1430" spans="9:9" x14ac:dyDescent="0.3">
      <c r="I1430" s="101" t="str">
        <f t="shared" si="24"/>
        <v/>
      </c>
    </row>
    <row r="1431" spans="9:9" x14ac:dyDescent="0.3">
      <c r="I1431" s="101" t="str">
        <f t="shared" si="24"/>
        <v/>
      </c>
    </row>
    <row r="1432" spans="9:9" x14ac:dyDescent="0.3">
      <c r="I1432" s="101" t="str">
        <f t="shared" si="24"/>
        <v/>
      </c>
    </row>
    <row r="1433" spans="9:9" x14ac:dyDescent="0.3">
      <c r="I1433" s="101" t="str">
        <f t="shared" si="24"/>
        <v/>
      </c>
    </row>
    <row r="1434" spans="9:9" x14ac:dyDescent="0.3">
      <c r="I1434" s="101" t="str">
        <f t="shared" si="24"/>
        <v/>
      </c>
    </row>
    <row r="1435" spans="9:9" x14ac:dyDescent="0.3">
      <c r="I1435" s="101" t="str">
        <f t="shared" si="24"/>
        <v/>
      </c>
    </row>
    <row r="1436" spans="9:9" x14ac:dyDescent="0.3">
      <c r="I1436" s="101" t="str">
        <f t="shared" si="24"/>
        <v/>
      </c>
    </row>
    <row r="1437" spans="9:9" x14ac:dyDescent="0.3">
      <c r="I1437" s="101" t="str">
        <f t="shared" si="24"/>
        <v/>
      </c>
    </row>
    <row r="1438" spans="9:9" x14ac:dyDescent="0.3">
      <c r="I1438" s="101" t="str">
        <f t="shared" si="24"/>
        <v/>
      </c>
    </row>
    <row r="1439" spans="9:9" x14ac:dyDescent="0.3">
      <c r="I1439" s="101" t="str">
        <f t="shared" si="24"/>
        <v/>
      </c>
    </row>
    <row r="1440" spans="9:9" x14ac:dyDescent="0.3">
      <c r="I1440" s="101" t="str">
        <f t="shared" si="24"/>
        <v/>
      </c>
    </row>
    <row r="1441" spans="9:9" x14ac:dyDescent="0.3">
      <c r="I1441" s="101" t="str">
        <f t="shared" si="24"/>
        <v/>
      </c>
    </row>
    <row r="1442" spans="9:9" x14ac:dyDescent="0.3">
      <c r="I1442" s="101" t="str">
        <f t="shared" si="24"/>
        <v/>
      </c>
    </row>
    <row r="1443" spans="9:9" x14ac:dyDescent="0.3">
      <c r="I1443" s="101" t="str">
        <f t="shared" si="24"/>
        <v/>
      </c>
    </row>
    <row r="1444" spans="9:9" x14ac:dyDescent="0.3">
      <c r="I1444" s="101" t="str">
        <f t="shared" si="24"/>
        <v/>
      </c>
    </row>
    <row r="1445" spans="9:9" x14ac:dyDescent="0.3">
      <c r="I1445" s="101" t="str">
        <f t="shared" si="24"/>
        <v/>
      </c>
    </row>
    <row r="1446" spans="9:9" x14ac:dyDescent="0.3">
      <c r="I1446" s="101" t="str">
        <f t="shared" si="24"/>
        <v/>
      </c>
    </row>
    <row r="1447" spans="9:9" x14ac:dyDescent="0.3">
      <c r="I1447" s="101" t="str">
        <f t="shared" si="24"/>
        <v/>
      </c>
    </row>
    <row r="1448" spans="9:9" x14ac:dyDescent="0.3">
      <c r="I1448" s="101" t="str">
        <f t="shared" si="24"/>
        <v/>
      </c>
    </row>
    <row r="1449" spans="9:9" x14ac:dyDescent="0.3">
      <c r="I1449" s="101" t="str">
        <f t="shared" si="24"/>
        <v/>
      </c>
    </row>
    <row r="1450" spans="9:9" x14ac:dyDescent="0.3">
      <c r="I1450" s="101" t="str">
        <f t="shared" si="24"/>
        <v/>
      </c>
    </row>
    <row r="1451" spans="9:9" x14ac:dyDescent="0.3">
      <c r="I1451" s="101" t="str">
        <f t="shared" si="24"/>
        <v/>
      </c>
    </row>
    <row r="1452" spans="9:9" x14ac:dyDescent="0.3">
      <c r="I1452" s="101" t="str">
        <f t="shared" si="24"/>
        <v/>
      </c>
    </row>
    <row r="1453" spans="9:9" x14ac:dyDescent="0.3">
      <c r="I1453" s="101" t="str">
        <f t="shared" si="24"/>
        <v/>
      </c>
    </row>
    <row r="1454" spans="9:9" x14ac:dyDescent="0.3">
      <c r="I1454" s="101" t="str">
        <f t="shared" si="24"/>
        <v/>
      </c>
    </row>
    <row r="1455" spans="9:9" x14ac:dyDescent="0.3">
      <c r="I1455" s="101" t="str">
        <f t="shared" si="24"/>
        <v/>
      </c>
    </row>
    <row r="1456" spans="9:9" x14ac:dyDescent="0.3">
      <c r="I1456" s="101" t="str">
        <f t="shared" si="24"/>
        <v/>
      </c>
    </row>
    <row r="1457" spans="9:9" x14ac:dyDescent="0.3">
      <c r="I1457" s="101" t="str">
        <f t="shared" si="24"/>
        <v/>
      </c>
    </row>
    <row r="1458" spans="9:9" x14ac:dyDescent="0.3">
      <c r="I1458" s="101" t="str">
        <f t="shared" si="24"/>
        <v/>
      </c>
    </row>
    <row r="1459" spans="9:9" x14ac:dyDescent="0.3">
      <c r="I1459" s="101" t="str">
        <f t="shared" si="24"/>
        <v/>
      </c>
    </row>
    <row r="1460" spans="9:9" x14ac:dyDescent="0.3">
      <c r="I1460" s="101" t="str">
        <f t="shared" si="24"/>
        <v/>
      </c>
    </row>
    <row r="1461" spans="9:9" x14ac:dyDescent="0.3">
      <c r="I1461" s="101" t="str">
        <f t="shared" si="24"/>
        <v/>
      </c>
    </row>
    <row r="1462" spans="9:9" x14ac:dyDescent="0.3">
      <c r="I1462" s="101" t="str">
        <f t="shared" si="24"/>
        <v/>
      </c>
    </row>
    <row r="1463" spans="9:9" x14ac:dyDescent="0.3">
      <c r="I1463" s="101" t="str">
        <f t="shared" si="24"/>
        <v/>
      </c>
    </row>
    <row r="1464" spans="9:9" x14ac:dyDescent="0.3">
      <c r="I1464" s="101" t="str">
        <f t="shared" si="24"/>
        <v/>
      </c>
    </row>
    <row r="1465" spans="9:9" x14ac:dyDescent="0.3">
      <c r="I1465" s="101" t="str">
        <f t="shared" si="24"/>
        <v/>
      </c>
    </row>
    <row r="1466" spans="9:9" x14ac:dyDescent="0.3">
      <c r="I1466" s="101" t="str">
        <f t="shared" si="24"/>
        <v/>
      </c>
    </row>
    <row r="1467" spans="9:9" x14ac:dyDescent="0.3">
      <c r="I1467" s="101" t="str">
        <f t="shared" si="24"/>
        <v/>
      </c>
    </row>
    <row r="1468" spans="9:9" x14ac:dyDescent="0.3">
      <c r="I1468" s="101" t="str">
        <f t="shared" si="24"/>
        <v/>
      </c>
    </row>
    <row r="1469" spans="9:9" x14ac:dyDescent="0.3">
      <c r="I1469" s="101" t="str">
        <f t="shared" si="24"/>
        <v/>
      </c>
    </row>
    <row r="1470" spans="9:9" x14ac:dyDescent="0.3">
      <c r="I1470" s="101" t="str">
        <f t="shared" si="24"/>
        <v/>
      </c>
    </row>
    <row r="1471" spans="9:9" x14ac:dyDescent="0.3">
      <c r="I1471" s="101" t="str">
        <f t="shared" si="24"/>
        <v/>
      </c>
    </row>
    <row r="1472" spans="9:9" x14ac:dyDescent="0.3">
      <c r="I1472" s="101" t="str">
        <f t="shared" si="24"/>
        <v/>
      </c>
    </row>
    <row r="1473" spans="9:9" x14ac:dyDescent="0.3">
      <c r="I1473" s="101" t="str">
        <f t="shared" si="24"/>
        <v/>
      </c>
    </row>
    <row r="1474" spans="9:9" x14ac:dyDescent="0.3">
      <c r="I1474" s="101" t="str">
        <f t="shared" si="24"/>
        <v/>
      </c>
    </row>
    <row r="1475" spans="9:9" x14ac:dyDescent="0.3">
      <c r="I1475" s="101" t="str">
        <f t="shared" ref="I1475:I1538" si="25">IF(OR(B1475&lt;&gt;B1474,C1475&lt;&gt;C1474),"",IF(E1474=0,"",IF(G1475="UP",(E1475-E1474)/E1474,-((E1475-E1474)/E1474))))</f>
        <v/>
      </c>
    </row>
    <row r="1476" spans="9:9" x14ac:dyDescent="0.3">
      <c r="I1476" s="101" t="str">
        <f t="shared" si="25"/>
        <v/>
      </c>
    </row>
    <row r="1477" spans="9:9" x14ac:dyDescent="0.3">
      <c r="I1477" s="101" t="str">
        <f t="shared" si="25"/>
        <v/>
      </c>
    </row>
    <row r="1478" spans="9:9" x14ac:dyDescent="0.3">
      <c r="I1478" s="101" t="str">
        <f t="shared" si="25"/>
        <v/>
      </c>
    </row>
    <row r="1479" spans="9:9" x14ac:dyDescent="0.3">
      <c r="I1479" s="101" t="str">
        <f t="shared" si="25"/>
        <v/>
      </c>
    </row>
    <row r="1480" spans="9:9" x14ac:dyDescent="0.3">
      <c r="I1480" s="101" t="str">
        <f t="shared" si="25"/>
        <v/>
      </c>
    </row>
    <row r="1481" spans="9:9" x14ac:dyDescent="0.3">
      <c r="I1481" s="101" t="str">
        <f t="shared" si="25"/>
        <v/>
      </c>
    </row>
    <row r="1482" spans="9:9" x14ac:dyDescent="0.3">
      <c r="I1482" s="101" t="str">
        <f t="shared" si="25"/>
        <v/>
      </c>
    </row>
    <row r="1483" spans="9:9" x14ac:dyDescent="0.3">
      <c r="I1483" s="101" t="str">
        <f t="shared" si="25"/>
        <v/>
      </c>
    </row>
    <row r="1484" spans="9:9" x14ac:dyDescent="0.3">
      <c r="I1484" s="101" t="str">
        <f t="shared" si="25"/>
        <v/>
      </c>
    </row>
    <row r="1485" spans="9:9" x14ac:dyDescent="0.3">
      <c r="I1485" s="101" t="str">
        <f t="shared" si="25"/>
        <v/>
      </c>
    </row>
    <row r="1486" spans="9:9" x14ac:dyDescent="0.3">
      <c r="I1486" s="101" t="str">
        <f t="shared" si="25"/>
        <v/>
      </c>
    </row>
    <row r="1487" spans="9:9" x14ac:dyDescent="0.3">
      <c r="I1487" s="101" t="str">
        <f t="shared" si="25"/>
        <v/>
      </c>
    </row>
    <row r="1488" spans="9:9" x14ac:dyDescent="0.3">
      <c r="I1488" s="101" t="str">
        <f t="shared" si="25"/>
        <v/>
      </c>
    </row>
    <row r="1489" spans="9:9" x14ac:dyDescent="0.3">
      <c r="I1489" s="101" t="str">
        <f t="shared" si="25"/>
        <v/>
      </c>
    </row>
    <row r="1490" spans="9:9" x14ac:dyDescent="0.3">
      <c r="I1490" s="101" t="str">
        <f t="shared" si="25"/>
        <v/>
      </c>
    </row>
    <row r="1491" spans="9:9" x14ac:dyDescent="0.3">
      <c r="I1491" s="101" t="str">
        <f t="shared" si="25"/>
        <v/>
      </c>
    </row>
    <row r="1492" spans="9:9" x14ac:dyDescent="0.3">
      <c r="I1492" s="101" t="str">
        <f t="shared" si="25"/>
        <v/>
      </c>
    </row>
    <row r="1493" spans="9:9" x14ac:dyDescent="0.3">
      <c r="I1493" s="101" t="str">
        <f t="shared" si="25"/>
        <v/>
      </c>
    </row>
    <row r="1494" spans="9:9" x14ac:dyDescent="0.3">
      <c r="I1494" s="101" t="str">
        <f t="shared" si="25"/>
        <v/>
      </c>
    </row>
    <row r="1495" spans="9:9" x14ac:dyDescent="0.3">
      <c r="I1495" s="101" t="str">
        <f t="shared" si="25"/>
        <v/>
      </c>
    </row>
    <row r="1496" spans="9:9" x14ac:dyDescent="0.3">
      <c r="I1496" s="101" t="str">
        <f t="shared" si="25"/>
        <v/>
      </c>
    </row>
    <row r="1497" spans="9:9" x14ac:dyDescent="0.3">
      <c r="I1497" s="101" t="str">
        <f t="shared" si="25"/>
        <v/>
      </c>
    </row>
    <row r="1498" spans="9:9" x14ac:dyDescent="0.3">
      <c r="I1498" s="101" t="str">
        <f t="shared" si="25"/>
        <v/>
      </c>
    </row>
    <row r="1499" spans="9:9" x14ac:dyDescent="0.3">
      <c r="I1499" s="101" t="str">
        <f t="shared" si="25"/>
        <v/>
      </c>
    </row>
    <row r="1500" spans="9:9" x14ac:dyDescent="0.3">
      <c r="I1500" s="101" t="str">
        <f t="shared" si="25"/>
        <v/>
      </c>
    </row>
    <row r="1501" spans="9:9" x14ac:dyDescent="0.3">
      <c r="I1501" s="101" t="str">
        <f t="shared" si="25"/>
        <v/>
      </c>
    </row>
    <row r="1502" spans="9:9" x14ac:dyDescent="0.3">
      <c r="I1502" s="101" t="str">
        <f t="shared" si="25"/>
        <v/>
      </c>
    </row>
    <row r="1503" spans="9:9" x14ac:dyDescent="0.3">
      <c r="I1503" s="101" t="str">
        <f t="shared" si="25"/>
        <v/>
      </c>
    </row>
    <row r="1504" spans="9:9" x14ac:dyDescent="0.3">
      <c r="I1504" s="101" t="str">
        <f t="shared" si="25"/>
        <v/>
      </c>
    </row>
    <row r="1505" spans="9:9" x14ac:dyDescent="0.3">
      <c r="I1505" s="101" t="str">
        <f t="shared" si="25"/>
        <v/>
      </c>
    </row>
    <row r="1506" spans="9:9" x14ac:dyDescent="0.3">
      <c r="I1506" s="101" t="str">
        <f t="shared" si="25"/>
        <v/>
      </c>
    </row>
    <row r="1507" spans="9:9" x14ac:dyDescent="0.3">
      <c r="I1507" s="101" t="str">
        <f t="shared" si="25"/>
        <v/>
      </c>
    </row>
    <row r="1508" spans="9:9" x14ac:dyDescent="0.3">
      <c r="I1508" s="101" t="str">
        <f t="shared" si="25"/>
        <v/>
      </c>
    </row>
    <row r="1509" spans="9:9" x14ac:dyDescent="0.3">
      <c r="I1509" s="101" t="str">
        <f t="shared" si="25"/>
        <v/>
      </c>
    </row>
    <row r="1510" spans="9:9" x14ac:dyDescent="0.3">
      <c r="I1510" s="101" t="str">
        <f t="shared" si="25"/>
        <v/>
      </c>
    </row>
    <row r="1511" spans="9:9" x14ac:dyDescent="0.3">
      <c r="I1511" s="101" t="str">
        <f t="shared" si="25"/>
        <v/>
      </c>
    </row>
    <row r="1512" spans="9:9" x14ac:dyDescent="0.3">
      <c r="I1512" s="101" t="str">
        <f t="shared" si="25"/>
        <v/>
      </c>
    </row>
    <row r="1513" spans="9:9" x14ac:dyDescent="0.3">
      <c r="I1513" s="101" t="str">
        <f t="shared" si="25"/>
        <v/>
      </c>
    </row>
    <row r="1514" spans="9:9" x14ac:dyDescent="0.3">
      <c r="I1514" s="101" t="str">
        <f t="shared" si="25"/>
        <v/>
      </c>
    </row>
    <row r="1515" spans="9:9" x14ac:dyDescent="0.3">
      <c r="I1515" s="101" t="str">
        <f t="shared" si="25"/>
        <v/>
      </c>
    </row>
    <row r="1516" spans="9:9" x14ac:dyDescent="0.3">
      <c r="I1516" s="101" t="str">
        <f t="shared" si="25"/>
        <v/>
      </c>
    </row>
    <row r="1517" spans="9:9" x14ac:dyDescent="0.3">
      <c r="I1517" s="101" t="str">
        <f t="shared" si="25"/>
        <v/>
      </c>
    </row>
    <row r="1518" spans="9:9" x14ac:dyDescent="0.3">
      <c r="I1518" s="101" t="str">
        <f t="shared" si="25"/>
        <v/>
      </c>
    </row>
    <row r="1519" spans="9:9" x14ac:dyDescent="0.3">
      <c r="I1519" s="101" t="str">
        <f t="shared" si="25"/>
        <v/>
      </c>
    </row>
    <row r="1520" spans="9:9" x14ac:dyDescent="0.3">
      <c r="I1520" s="101" t="str">
        <f t="shared" si="25"/>
        <v/>
      </c>
    </row>
    <row r="1521" spans="9:9" x14ac:dyDescent="0.3">
      <c r="I1521" s="101" t="str">
        <f t="shared" si="25"/>
        <v/>
      </c>
    </row>
    <row r="1522" spans="9:9" x14ac:dyDescent="0.3">
      <c r="I1522" s="101" t="str">
        <f t="shared" si="25"/>
        <v/>
      </c>
    </row>
    <row r="1523" spans="9:9" x14ac:dyDescent="0.3">
      <c r="I1523" s="101" t="str">
        <f t="shared" si="25"/>
        <v/>
      </c>
    </row>
    <row r="1524" spans="9:9" x14ac:dyDescent="0.3">
      <c r="I1524" s="101" t="str">
        <f t="shared" si="25"/>
        <v/>
      </c>
    </row>
    <row r="1525" spans="9:9" x14ac:dyDescent="0.3">
      <c r="I1525" s="101" t="str">
        <f t="shared" si="25"/>
        <v/>
      </c>
    </row>
    <row r="1526" spans="9:9" x14ac:dyDescent="0.3">
      <c r="I1526" s="101" t="str">
        <f t="shared" si="25"/>
        <v/>
      </c>
    </row>
    <row r="1527" spans="9:9" x14ac:dyDescent="0.3">
      <c r="I1527" s="101" t="str">
        <f t="shared" si="25"/>
        <v/>
      </c>
    </row>
    <row r="1528" spans="9:9" x14ac:dyDescent="0.3">
      <c r="I1528" s="101" t="str">
        <f t="shared" si="25"/>
        <v/>
      </c>
    </row>
    <row r="1529" spans="9:9" x14ac:dyDescent="0.3">
      <c r="I1529" s="101" t="str">
        <f t="shared" si="25"/>
        <v/>
      </c>
    </row>
    <row r="1530" spans="9:9" x14ac:dyDescent="0.3">
      <c r="I1530" s="101" t="str">
        <f t="shared" si="25"/>
        <v/>
      </c>
    </row>
    <row r="1531" spans="9:9" x14ac:dyDescent="0.3">
      <c r="I1531" s="101" t="str">
        <f t="shared" si="25"/>
        <v/>
      </c>
    </row>
    <row r="1532" spans="9:9" x14ac:dyDescent="0.3">
      <c r="I1532" s="101" t="str">
        <f t="shared" si="25"/>
        <v/>
      </c>
    </row>
    <row r="1533" spans="9:9" x14ac:dyDescent="0.3">
      <c r="I1533" s="101" t="str">
        <f t="shared" si="25"/>
        <v/>
      </c>
    </row>
    <row r="1534" spans="9:9" x14ac:dyDescent="0.3">
      <c r="I1534" s="101" t="str">
        <f t="shared" si="25"/>
        <v/>
      </c>
    </row>
    <row r="1535" spans="9:9" x14ac:dyDescent="0.3">
      <c r="I1535" s="101" t="str">
        <f t="shared" si="25"/>
        <v/>
      </c>
    </row>
    <row r="1536" spans="9:9" x14ac:dyDescent="0.3">
      <c r="I1536" s="101" t="str">
        <f t="shared" si="25"/>
        <v/>
      </c>
    </row>
    <row r="1537" spans="9:9" x14ac:dyDescent="0.3">
      <c r="I1537" s="101" t="str">
        <f t="shared" si="25"/>
        <v/>
      </c>
    </row>
    <row r="1538" spans="9:9" x14ac:dyDescent="0.3">
      <c r="I1538" s="101" t="str">
        <f t="shared" si="25"/>
        <v/>
      </c>
    </row>
    <row r="1539" spans="9:9" x14ac:dyDescent="0.3">
      <c r="I1539" s="101" t="str">
        <f t="shared" ref="I1539:I1602" si="26">IF(OR(B1539&lt;&gt;B1538,C1539&lt;&gt;C1538),"",IF(E1538=0,"",IF(G1539="UP",(E1539-E1538)/E1538,-((E1539-E1538)/E1538))))</f>
        <v/>
      </c>
    </row>
    <row r="1540" spans="9:9" x14ac:dyDescent="0.3">
      <c r="I1540" s="101" t="str">
        <f t="shared" si="26"/>
        <v/>
      </c>
    </row>
    <row r="1541" spans="9:9" x14ac:dyDescent="0.3">
      <c r="I1541" s="101" t="str">
        <f t="shared" si="26"/>
        <v/>
      </c>
    </row>
    <row r="1542" spans="9:9" x14ac:dyDescent="0.3">
      <c r="I1542" s="101" t="str">
        <f t="shared" si="26"/>
        <v/>
      </c>
    </row>
    <row r="1543" spans="9:9" x14ac:dyDescent="0.3">
      <c r="I1543" s="101" t="str">
        <f t="shared" si="26"/>
        <v/>
      </c>
    </row>
    <row r="1544" spans="9:9" x14ac:dyDescent="0.3">
      <c r="I1544" s="101" t="str">
        <f t="shared" si="26"/>
        <v/>
      </c>
    </row>
    <row r="1545" spans="9:9" x14ac:dyDescent="0.3">
      <c r="I1545" s="101" t="str">
        <f t="shared" si="26"/>
        <v/>
      </c>
    </row>
    <row r="1546" spans="9:9" x14ac:dyDescent="0.3">
      <c r="I1546" s="101" t="str">
        <f t="shared" si="26"/>
        <v/>
      </c>
    </row>
    <row r="1547" spans="9:9" x14ac:dyDescent="0.3">
      <c r="I1547" s="101" t="str">
        <f t="shared" si="26"/>
        <v/>
      </c>
    </row>
    <row r="1548" spans="9:9" x14ac:dyDescent="0.3">
      <c r="I1548" s="101" t="str">
        <f t="shared" si="26"/>
        <v/>
      </c>
    </row>
    <row r="1549" spans="9:9" x14ac:dyDescent="0.3">
      <c r="I1549" s="101" t="str">
        <f t="shared" si="26"/>
        <v/>
      </c>
    </row>
    <row r="1550" spans="9:9" x14ac:dyDescent="0.3">
      <c r="I1550" s="101" t="str">
        <f t="shared" si="26"/>
        <v/>
      </c>
    </row>
    <row r="1551" spans="9:9" x14ac:dyDescent="0.3">
      <c r="I1551" s="101" t="str">
        <f t="shared" si="26"/>
        <v/>
      </c>
    </row>
    <row r="1552" spans="9:9" x14ac:dyDescent="0.3">
      <c r="I1552" s="101" t="str">
        <f t="shared" si="26"/>
        <v/>
      </c>
    </row>
    <row r="1553" spans="9:9" x14ac:dyDescent="0.3">
      <c r="I1553" s="101" t="str">
        <f t="shared" si="26"/>
        <v/>
      </c>
    </row>
    <row r="1554" spans="9:9" x14ac:dyDescent="0.3">
      <c r="I1554" s="101" t="str">
        <f t="shared" si="26"/>
        <v/>
      </c>
    </row>
    <row r="1555" spans="9:9" x14ac:dyDescent="0.3">
      <c r="I1555" s="101" t="str">
        <f t="shared" si="26"/>
        <v/>
      </c>
    </row>
    <row r="1556" spans="9:9" x14ac:dyDescent="0.3">
      <c r="I1556" s="101" t="str">
        <f t="shared" si="26"/>
        <v/>
      </c>
    </row>
    <row r="1557" spans="9:9" x14ac:dyDescent="0.3">
      <c r="I1557" s="101" t="str">
        <f t="shared" si="26"/>
        <v/>
      </c>
    </row>
    <row r="1558" spans="9:9" x14ac:dyDescent="0.3">
      <c r="I1558" s="101" t="str">
        <f t="shared" si="26"/>
        <v/>
      </c>
    </row>
    <row r="1559" spans="9:9" x14ac:dyDescent="0.3">
      <c r="I1559" s="101" t="str">
        <f t="shared" si="26"/>
        <v/>
      </c>
    </row>
    <row r="1560" spans="9:9" x14ac:dyDescent="0.3">
      <c r="I1560" s="101" t="str">
        <f t="shared" si="26"/>
        <v/>
      </c>
    </row>
    <row r="1561" spans="9:9" x14ac:dyDescent="0.3">
      <c r="I1561" s="101" t="str">
        <f t="shared" si="26"/>
        <v/>
      </c>
    </row>
    <row r="1562" spans="9:9" x14ac:dyDescent="0.3">
      <c r="I1562" s="101" t="str">
        <f t="shared" si="26"/>
        <v/>
      </c>
    </row>
    <row r="1563" spans="9:9" x14ac:dyDescent="0.3">
      <c r="I1563" s="101" t="str">
        <f t="shared" si="26"/>
        <v/>
      </c>
    </row>
    <row r="1564" spans="9:9" x14ac:dyDescent="0.3">
      <c r="I1564" s="101" t="str">
        <f t="shared" si="26"/>
        <v/>
      </c>
    </row>
    <row r="1565" spans="9:9" x14ac:dyDescent="0.3">
      <c r="I1565" s="101" t="str">
        <f t="shared" si="26"/>
        <v/>
      </c>
    </row>
    <row r="1566" spans="9:9" x14ac:dyDescent="0.3">
      <c r="I1566" s="101" t="str">
        <f t="shared" si="26"/>
        <v/>
      </c>
    </row>
    <row r="1567" spans="9:9" x14ac:dyDescent="0.3">
      <c r="I1567" s="101" t="str">
        <f t="shared" si="26"/>
        <v/>
      </c>
    </row>
    <row r="1568" spans="9:9" x14ac:dyDescent="0.3">
      <c r="I1568" s="101" t="str">
        <f t="shared" si="26"/>
        <v/>
      </c>
    </row>
    <row r="1569" spans="9:9" x14ac:dyDescent="0.3">
      <c r="I1569" s="101" t="str">
        <f t="shared" si="26"/>
        <v/>
      </c>
    </row>
    <row r="1570" spans="9:9" x14ac:dyDescent="0.3">
      <c r="I1570" s="101" t="str">
        <f t="shared" si="26"/>
        <v/>
      </c>
    </row>
    <row r="1571" spans="9:9" x14ac:dyDescent="0.3">
      <c r="I1571" s="101" t="str">
        <f t="shared" si="26"/>
        <v/>
      </c>
    </row>
    <row r="1572" spans="9:9" x14ac:dyDescent="0.3">
      <c r="I1572" s="101" t="str">
        <f t="shared" si="26"/>
        <v/>
      </c>
    </row>
    <row r="1573" spans="9:9" x14ac:dyDescent="0.3">
      <c r="I1573" s="101" t="str">
        <f t="shared" si="26"/>
        <v/>
      </c>
    </row>
    <row r="1574" spans="9:9" x14ac:dyDescent="0.3">
      <c r="I1574" s="101" t="str">
        <f t="shared" si="26"/>
        <v/>
      </c>
    </row>
    <row r="1575" spans="9:9" x14ac:dyDescent="0.3">
      <c r="I1575" s="101" t="str">
        <f t="shared" si="26"/>
        <v/>
      </c>
    </row>
    <row r="1576" spans="9:9" x14ac:dyDescent="0.3">
      <c r="I1576" s="101" t="str">
        <f t="shared" si="26"/>
        <v/>
      </c>
    </row>
    <row r="1577" spans="9:9" x14ac:dyDescent="0.3">
      <c r="I1577" s="101" t="str">
        <f t="shared" si="26"/>
        <v/>
      </c>
    </row>
    <row r="1578" spans="9:9" x14ac:dyDescent="0.3">
      <c r="I1578" s="101" t="str">
        <f t="shared" si="26"/>
        <v/>
      </c>
    </row>
    <row r="1579" spans="9:9" x14ac:dyDescent="0.3">
      <c r="I1579" s="101" t="str">
        <f t="shared" si="26"/>
        <v/>
      </c>
    </row>
    <row r="1580" spans="9:9" x14ac:dyDescent="0.3">
      <c r="I1580" s="101" t="str">
        <f t="shared" si="26"/>
        <v/>
      </c>
    </row>
    <row r="1581" spans="9:9" x14ac:dyDescent="0.3">
      <c r="I1581" s="101" t="str">
        <f t="shared" si="26"/>
        <v/>
      </c>
    </row>
    <row r="1582" spans="9:9" x14ac:dyDescent="0.3">
      <c r="I1582" s="101" t="str">
        <f t="shared" si="26"/>
        <v/>
      </c>
    </row>
    <row r="1583" spans="9:9" x14ac:dyDescent="0.3">
      <c r="I1583" s="101" t="str">
        <f t="shared" si="26"/>
        <v/>
      </c>
    </row>
    <row r="1584" spans="9:9" x14ac:dyDescent="0.3">
      <c r="I1584" s="101" t="str">
        <f t="shared" si="26"/>
        <v/>
      </c>
    </row>
    <row r="1585" spans="9:9" x14ac:dyDescent="0.3">
      <c r="I1585" s="101" t="str">
        <f t="shared" si="26"/>
        <v/>
      </c>
    </row>
    <row r="1586" spans="9:9" x14ac:dyDescent="0.3">
      <c r="I1586" s="101" t="str">
        <f t="shared" si="26"/>
        <v/>
      </c>
    </row>
    <row r="1587" spans="9:9" x14ac:dyDescent="0.3">
      <c r="I1587" s="101" t="str">
        <f t="shared" si="26"/>
        <v/>
      </c>
    </row>
    <row r="1588" spans="9:9" x14ac:dyDescent="0.3">
      <c r="I1588" s="101" t="str">
        <f t="shared" si="26"/>
        <v/>
      </c>
    </row>
    <row r="1589" spans="9:9" x14ac:dyDescent="0.3">
      <c r="I1589" s="101" t="str">
        <f t="shared" si="26"/>
        <v/>
      </c>
    </row>
    <row r="1590" spans="9:9" x14ac:dyDescent="0.3">
      <c r="I1590" s="101" t="str">
        <f t="shared" si="26"/>
        <v/>
      </c>
    </row>
    <row r="1591" spans="9:9" x14ac:dyDescent="0.3">
      <c r="I1591" s="101" t="str">
        <f t="shared" si="26"/>
        <v/>
      </c>
    </row>
    <row r="1592" spans="9:9" x14ac:dyDescent="0.3">
      <c r="I1592" s="101" t="str">
        <f t="shared" si="26"/>
        <v/>
      </c>
    </row>
    <row r="1593" spans="9:9" x14ac:dyDescent="0.3">
      <c r="I1593" s="101" t="str">
        <f t="shared" si="26"/>
        <v/>
      </c>
    </row>
    <row r="1594" spans="9:9" x14ac:dyDescent="0.3">
      <c r="I1594" s="101" t="str">
        <f t="shared" si="26"/>
        <v/>
      </c>
    </row>
    <row r="1595" spans="9:9" x14ac:dyDescent="0.3">
      <c r="I1595" s="101" t="str">
        <f t="shared" si="26"/>
        <v/>
      </c>
    </row>
    <row r="1596" spans="9:9" x14ac:dyDescent="0.3">
      <c r="I1596" s="101" t="str">
        <f t="shared" si="26"/>
        <v/>
      </c>
    </row>
    <row r="1597" spans="9:9" x14ac:dyDescent="0.3">
      <c r="I1597" s="101" t="str">
        <f t="shared" si="26"/>
        <v/>
      </c>
    </row>
    <row r="1598" spans="9:9" x14ac:dyDescent="0.3">
      <c r="I1598" s="101" t="str">
        <f t="shared" si="26"/>
        <v/>
      </c>
    </row>
    <row r="1599" spans="9:9" x14ac:dyDescent="0.3">
      <c r="I1599" s="101" t="str">
        <f t="shared" si="26"/>
        <v/>
      </c>
    </row>
    <row r="1600" spans="9:9" x14ac:dyDescent="0.3">
      <c r="I1600" s="101" t="str">
        <f t="shared" si="26"/>
        <v/>
      </c>
    </row>
    <row r="1601" spans="9:9" x14ac:dyDescent="0.3">
      <c r="I1601" s="101" t="str">
        <f t="shared" si="26"/>
        <v/>
      </c>
    </row>
    <row r="1602" spans="9:9" x14ac:dyDescent="0.3">
      <c r="I1602" s="101" t="str">
        <f t="shared" si="26"/>
        <v/>
      </c>
    </row>
    <row r="1603" spans="9:9" x14ac:dyDescent="0.3">
      <c r="I1603" s="101" t="str">
        <f t="shared" ref="I1603:I1666" si="27">IF(OR(B1603&lt;&gt;B1602,C1603&lt;&gt;C1602),"",IF(E1602=0,"",IF(G1603="UP",(E1603-E1602)/E1602,-((E1603-E1602)/E1602))))</f>
        <v/>
      </c>
    </row>
    <row r="1604" spans="9:9" x14ac:dyDescent="0.3">
      <c r="I1604" s="101" t="str">
        <f t="shared" si="27"/>
        <v/>
      </c>
    </row>
    <row r="1605" spans="9:9" x14ac:dyDescent="0.3">
      <c r="I1605" s="101" t="str">
        <f t="shared" si="27"/>
        <v/>
      </c>
    </row>
    <row r="1606" spans="9:9" x14ac:dyDescent="0.3">
      <c r="I1606" s="101" t="str">
        <f t="shared" si="27"/>
        <v/>
      </c>
    </row>
    <row r="1607" spans="9:9" x14ac:dyDescent="0.3">
      <c r="I1607" s="101" t="str">
        <f t="shared" si="27"/>
        <v/>
      </c>
    </row>
    <row r="1608" spans="9:9" x14ac:dyDescent="0.3">
      <c r="I1608" s="101" t="str">
        <f t="shared" si="27"/>
        <v/>
      </c>
    </row>
    <row r="1609" spans="9:9" x14ac:dyDescent="0.3">
      <c r="I1609" s="101" t="str">
        <f t="shared" si="27"/>
        <v/>
      </c>
    </row>
    <row r="1610" spans="9:9" x14ac:dyDescent="0.3">
      <c r="I1610" s="101" t="str">
        <f t="shared" si="27"/>
        <v/>
      </c>
    </row>
    <row r="1611" spans="9:9" x14ac:dyDescent="0.3">
      <c r="I1611" s="101" t="str">
        <f t="shared" si="27"/>
        <v/>
      </c>
    </row>
    <row r="1612" spans="9:9" x14ac:dyDescent="0.3">
      <c r="I1612" s="101" t="str">
        <f t="shared" si="27"/>
        <v/>
      </c>
    </row>
    <row r="1613" spans="9:9" x14ac:dyDescent="0.3">
      <c r="I1613" s="101" t="str">
        <f t="shared" si="27"/>
        <v/>
      </c>
    </row>
    <row r="1614" spans="9:9" x14ac:dyDescent="0.3">
      <c r="I1614" s="101" t="str">
        <f t="shared" si="27"/>
        <v/>
      </c>
    </row>
    <row r="1615" spans="9:9" x14ac:dyDescent="0.3">
      <c r="I1615" s="101" t="str">
        <f t="shared" si="27"/>
        <v/>
      </c>
    </row>
    <row r="1616" spans="9:9" x14ac:dyDescent="0.3">
      <c r="I1616" s="101" t="str">
        <f t="shared" si="27"/>
        <v/>
      </c>
    </row>
    <row r="1617" spans="9:9" x14ac:dyDescent="0.3">
      <c r="I1617" s="101" t="str">
        <f t="shared" si="27"/>
        <v/>
      </c>
    </row>
    <row r="1618" spans="9:9" x14ac:dyDescent="0.3">
      <c r="I1618" s="101" t="str">
        <f t="shared" si="27"/>
        <v/>
      </c>
    </row>
    <row r="1619" spans="9:9" x14ac:dyDescent="0.3">
      <c r="I1619" s="101" t="str">
        <f t="shared" si="27"/>
        <v/>
      </c>
    </row>
    <row r="1620" spans="9:9" x14ac:dyDescent="0.3">
      <c r="I1620" s="101" t="str">
        <f t="shared" si="27"/>
        <v/>
      </c>
    </row>
    <row r="1621" spans="9:9" x14ac:dyDescent="0.3">
      <c r="I1621" s="101" t="str">
        <f t="shared" si="27"/>
        <v/>
      </c>
    </row>
    <row r="1622" spans="9:9" x14ac:dyDescent="0.3">
      <c r="I1622" s="101" t="str">
        <f t="shared" si="27"/>
        <v/>
      </c>
    </row>
    <row r="1623" spans="9:9" x14ac:dyDescent="0.3">
      <c r="I1623" s="101" t="str">
        <f t="shared" si="27"/>
        <v/>
      </c>
    </row>
    <row r="1624" spans="9:9" x14ac:dyDescent="0.3">
      <c r="I1624" s="101" t="str">
        <f t="shared" si="27"/>
        <v/>
      </c>
    </row>
    <row r="1625" spans="9:9" x14ac:dyDescent="0.3">
      <c r="I1625" s="101" t="str">
        <f t="shared" si="27"/>
        <v/>
      </c>
    </row>
    <row r="1626" spans="9:9" x14ac:dyDescent="0.3">
      <c r="I1626" s="101" t="str">
        <f t="shared" si="27"/>
        <v/>
      </c>
    </row>
    <row r="1627" spans="9:9" x14ac:dyDescent="0.3">
      <c r="I1627" s="101" t="str">
        <f t="shared" si="27"/>
        <v/>
      </c>
    </row>
    <row r="1628" spans="9:9" x14ac:dyDescent="0.3">
      <c r="I1628" s="101" t="str">
        <f t="shared" si="27"/>
        <v/>
      </c>
    </row>
    <row r="1629" spans="9:9" x14ac:dyDescent="0.3">
      <c r="I1629" s="101" t="str">
        <f t="shared" si="27"/>
        <v/>
      </c>
    </row>
    <row r="1630" spans="9:9" x14ac:dyDescent="0.3">
      <c r="I1630" s="101" t="str">
        <f t="shared" si="27"/>
        <v/>
      </c>
    </row>
    <row r="1631" spans="9:9" x14ac:dyDescent="0.3">
      <c r="I1631" s="101" t="str">
        <f t="shared" si="27"/>
        <v/>
      </c>
    </row>
    <row r="1632" spans="9:9" x14ac:dyDescent="0.3">
      <c r="I1632" s="101" t="str">
        <f t="shared" si="27"/>
        <v/>
      </c>
    </row>
    <row r="1633" spans="9:9" x14ac:dyDescent="0.3">
      <c r="I1633" s="101" t="str">
        <f t="shared" si="27"/>
        <v/>
      </c>
    </row>
    <row r="1634" spans="9:9" x14ac:dyDescent="0.3">
      <c r="I1634" s="101" t="str">
        <f t="shared" si="27"/>
        <v/>
      </c>
    </row>
    <row r="1635" spans="9:9" x14ac:dyDescent="0.3">
      <c r="I1635" s="101" t="str">
        <f t="shared" si="27"/>
        <v/>
      </c>
    </row>
    <row r="1636" spans="9:9" x14ac:dyDescent="0.3">
      <c r="I1636" s="101" t="str">
        <f t="shared" si="27"/>
        <v/>
      </c>
    </row>
    <row r="1637" spans="9:9" x14ac:dyDescent="0.3">
      <c r="I1637" s="101" t="str">
        <f t="shared" si="27"/>
        <v/>
      </c>
    </row>
    <row r="1638" spans="9:9" x14ac:dyDescent="0.3">
      <c r="I1638" s="101" t="str">
        <f t="shared" si="27"/>
        <v/>
      </c>
    </row>
    <row r="1639" spans="9:9" x14ac:dyDescent="0.3">
      <c r="I1639" s="101" t="str">
        <f t="shared" si="27"/>
        <v/>
      </c>
    </row>
    <row r="1640" spans="9:9" x14ac:dyDescent="0.3">
      <c r="I1640" s="101" t="str">
        <f t="shared" si="27"/>
        <v/>
      </c>
    </row>
    <row r="1641" spans="9:9" x14ac:dyDescent="0.3">
      <c r="I1641" s="101" t="str">
        <f t="shared" si="27"/>
        <v/>
      </c>
    </row>
    <row r="1642" spans="9:9" x14ac:dyDescent="0.3">
      <c r="I1642" s="101" t="str">
        <f t="shared" si="27"/>
        <v/>
      </c>
    </row>
    <row r="1643" spans="9:9" x14ac:dyDescent="0.3">
      <c r="I1643" s="101" t="str">
        <f t="shared" si="27"/>
        <v/>
      </c>
    </row>
    <row r="1644" spans="9:9" x14ac:dyDescent="0.3">
      <c r="I1644" s="101" t="str">
        <f t="shared" si="27"/>
        <v/>
      </c>
    </row>
    <row r="1645" spans="9:9" x14ac:dyDescent="0.3">
      <c r="I1645" s="101" t="str">
        <f t="shared" si="27"/>
        <v/>
      </c>
    </row>
    <row r="1646" spans="9:9" x14ac:dyDescent="0.3">
      <c r="I1646" s="101" t="str">
        <f t="shared" si="27"/>
        <v/>
      </c>
    </row>
    <row r="1647" spans="9:9" x14ac:dyDescent="0.3">
      <c r="I1647" s="101" t="str">
        <f t="shared" si="27"/>
        <v/>
      </c>
    </row>
    <row r="1648" spans="9:9" x14ac:dyDescent="0.3">
      <c r="I1648" s="101" t="str">
        <f t="shared" si="27"/>
        <v/>
      </c>
    </row>
    <row r="1649" spans="9:9" x14ac:dyDescent="0.3">
      <c r="I1649" s="101" t="str">
        <f t="shared" si="27"/>
        <v/>
      </c>
    </row>
    <row r="1650" spans="9:9" x14ac:dyDescent="0.3">
      <c r="I1650" s="101" t="str">
        <f t="shared" si="27"/>
        <v/>
      </c>
    </row>
    <row r="1651" spans="9:9" x14ac:dyDescent="0.3">
      <c r="I1651" s="101" t="str">
        <f t="shared" si="27"/>
        <v/>
      </c>
    </row>
    <row r="1652" spans="9:9" x14ac:dyDescent="0.3">
      <c r="I1652" s="101" t="str">
        <f t="shared" si="27"/>
        <v/>
      </c>
    </row>
    <row r="1653" spans="9:9" x14ac:dyDescent="0.3">
      <c r="I1653" s="101" t="str">
        <f t="shared" si="27"/>
        <v/>
      </c>
    </row>
    <row r="1654" spans="9:9" x14ac:dyDescent="0.3">
      <c r="I1654" s="101" t="str">
        <f t="shared" si="27"/>
        <v/>
      </c>
    </row>
    <row r="1655" spans="9:9" x14ac:dyDescent="0.3">
      <c r="I1655" s="101" t="str">
        <f t="shared" si="27"/>
        <v/>
      </c>
    </row>
    <row r="1656" spans="9:9" x14ac:dyDescent="0.3">
      <c r="I1656" s="101" t="str">
        <f t="shared" si="27"/>
        <v/>
      </c>
    </row>
    <row r="1657" spans="9:9" x14ac:dyDescent="0.3">
      <c r="I1657" s="101" t="str">
        <f t="shared" si="27"/>
        <v/>
      </c>
    </row>
    <row r="1658" spans="9:9" x14ac:dyDescent="0.3">
      <c r="I1658" s="101" t="str">
        <f t="shared" si="27"/>
        <v/>
      </c>
    </row>
    <row r="1659" spans="9:9" x14ac:dyDescent="0.3">
      <c r="I1659" s="101" t="str">
        <f t="shared" si="27"/>
        <v/>
      </c>
    </row>
    <row r="1660" spans="9:9" x14ac:dyDescent="0.3">
      <c r="I1660" s="101" t="str">
        <f t="shared" si="27"/>
        <v/>
      </c>
    </row>
    <row r="1661" spans="9:9" x14ac:dyDescent="0.3">
      <c r="I1661" s="101" t="str">
        <f t="shared" si="27"/>
        <v/>
      </c>
    </row>
    <row r="1662" spans="9:9" x14ac:dyDescent="0.3">
      <c r="I1662" s="101" t="str">
        <f t="shared" si="27"/>
        <v/>
      </c>
    </row>
    <row r="1663" spans="9:9" x14ac:dyDescent="0.3">
      <c r="I1663" s="101" t="str">
        <f t="shared" si="27"/>
        <v/>
      </c>
    </row>
    <row r="1664" spans="9:9" x14ac:dyDescent="0.3">
      <c r="I1664" s="101" t="str">
        <f t="shared" si="27"/>
        <v/>
      </c>
    </row>
    <row r="1665" spans="9:9" x14ac:dyDescent="0.3">
      <c r="I1665" s="101" t="str">
        <f t="shared" si="27"/>
        <v/>
      </c>
    </row>
    <row r="1666" spans="9:9" x14ac:dyDescent="0.3">
      <c r="I1666" s="101" t="str">
        <f t="shared" si="27"/>
        <v/>
      </c>
    </row>
    <row r="1667" spans="9:9" x14ac:dyDescent="0.3">
      <c r="I1667" s="101" t="str">
        <f t="shared" ref="I1667:I1730" si="28">IF(OR(B1667&lt;&gt;B1666,C1667&lt;&gt;C1666),"",IF(E1666=0,"",IF(G1667="UP",(E1667-E1666)/E1666,-((E1667-E1666)/E1666))))</f>
        <v/>
      </c>
    </row>
    <row r="1668" spans="9:9" x14ac:dyDescent="0.3">
      <c r="I1668" s="101" t="str">
        <f t="shared" si="28"/>
        <v/>
      </c>
    </row>
    <row r="1669" spans="9:9" x14ac:dyDescent="0.3">
      <c r="I1669" s="101" t="str">
        <f t="shared" si="28"/>
        <v/>
      </c>
    </row>
    <row r="1670" spans="9:9" x14ac:dyDescent="0.3">
      <c r="I1670" s="101" t="str">
        <f t="shared" si="28"/>
        <v/>
      </c>
    </row>
    <row r="1671" spans="9:9" x14ac:dyDescent="0.3">
      <c r="I1671" s="101" t="str">
        <f t="shared" si="28"/>
        <v/>
      </c>
    </row>
    <row r="1672" spans="9:9" x14ac:dyDescent="0.3">
      <c r="I1672" s="101" t="str">
        <f t="shared" si="28"/>
        <v/>
      </c>
    </row>
    <row r="1673" spans="9:9" x14ac:dyDescent="0.3">
      <c r="I1673" s="101" t="str">
        <f t="shared" si="28"/>
        <v/>
      </c>
    </row>
    <row r="1674" spans="9:9" x14ac:dyDescent="0.3">
      <c r="I1674" s="101" t="str">
        <f t="shared" si="28"/>
        <v/>
      </c>
    </row>
    <row r="1675" spans="9:9" x14ac:dyDescent="0.3">
      <c r="I1675" s="101" t="str">
        <f t="shared" si="28"/>
        <v/>
      </c>
    </row>
    <row r="1676" spans="9:9" x14ac:dyDescent="0.3">
      <c r="I1676" s="101" t="str">
        <f t="shared" si="28"/>
        <v/>
      </c>
    </row>
    <row r="1677" spans="9:9" x14ac:dyDescent="0.3">
      <c r="I1677" s="101" t="str">
        <f t="shared" si="28"/>
        <v/>
      </c>
    </row>
    <row r="1678" spans="9:9" x14ac:dyDescent="0.3">
      <c r="I1678" s="101" t="str">
        <f t="shared" si="28"/>
        <v/>
      </c>
    </row>
    <row r="1679" spans="9:9" x14ac:dyDescent="0.3">
      <c r="I1679" s="101" t="str">
        <f t="shared" si="28"/>
        <v/>
      </c>
    </row>
    <row r="1680" spans="9:9" x14ac:dyDescent="0.3">
      <c r="I1680" s="101" t="str">
        <f t="shared" si="28"/>
        <v/>
      </c>
    </row>
    <row r="1681" spans="9:9" x14ac:dyDescent="0.3">
      <c r="I1681" s="101" t="str">
        <f t="shared" si="28"/>
        <v/>
      </c>
    </row>
    <row r="1682" spans="9:9" x14ac:dyDescent="0.3">
      <c r="I1682" s="101" t="str">
        <f t="shared" si="28"/>
        <v/>
      </c>
    </row>
    <row r="1683" spans="9:9" x14ac:dyDescent="0.3">
      <c r="I1683" s="101" t="str">
        <f t="shared" si="28"/>
        <v/>
      </c>
    </row>
    <row r="1684" spans="9:9" x14ac:dyDescent="0.3">
      <c r="I1684" s="101" t="str">
        <f t="shared" si="28"/>
        <v/>
      </c>
    </row>
    <row r="1685" spans="9:9" x14ac:dyDescent="0.3">
      <c r="I1685" s="101" t="str">
        <f t="shared" si="28"/>
        <v/>
      </c>
    </row>
    <row r="1686" spans="9:9" x14ac:dyDescent="0.3">
      <c r="I1686" s="101" t="str">
        <f t="shared" si="28"/>
        <v/>
      </c>
    </row>
    <row r="1687" spans="9:9" x14ac:dyDescent="0.3">
      <c r="I1687" s="101" t="str">
        <f t="shared" si="28"/>
        <v/>
      </c>
    </row>
    <row r="1688" spans="9:9" x14ac:dyDescent="0.3">
      <c r="I1688" s="101" t="str">
        <f t="shared" si="28"/>
        <v/>
      </c>
    </row>
    <row r="1689" spans="9:9" x14ac:dyDescent="0.3">
      <c r="I1689" s="101" t="str">
        <f t="shared" si="28"/>
        <v/>
      </c>
    </row>
    <row r="1690" spans="9:9" x14ac:dyDescent="0.3">
      <c r="I1690" s="101" t="str">
        <f t="shared" si="28"/>
        <v/>
      </c>
    </row>
    <row r="1691" spans="9:9" x14ac:dyDescent="0.3">
      <c r="I1691" s="101" t="str">
        <f t="shared" si="28"/>
        <v/>
      </c>
    </row>
    <row r="1692" spans="9:9" x14ac:dyDescent="0.3">
      <c r="I1692" s="101" t="str">
        <f t="shared" si="28"/>
        <v/>
      </c>
    </row>
    <row r="1693" spans="9:9" x14ac:dyDescent="0.3">
      <c r="I1693" s="101" t="str">
        <f t="shared" si="28"/>
        <v/>
      </c>
    </row>
    <row r="1694" spans="9:9" x14ac:dyDescent="0.3">
      <c r="I1694" s="101" t="str">
        <f t="shared" si="28"/>
        <v/>
      </c>
    </row>
    <row r="1695" spans="9:9" x14ac:dyDescent="0.3">
      <c r="I1695" s="101" t="str">
        <f t="shared" si="28"/>
        <v/>
      </c>
    </row>
    <row r="1696" spans="9:9" x14ac:dyDescent="0.3">
      <c r="I1696" s="101" t="str">
        <f t="shared" si="28"/>
        <v/>
      </c>
    </row>
    <row r="1697" spans="9:9" x14ac:dyDescent="0.3">
      <c r="I1697" s="101" t="str">
        <f t="shared" si="28"/>
        <v/>
      </c>
    </row>
    <row r="1698" spans="9:9" x14ac:dyDescent="0.3">
      <c r="I1698" s="101" t="str">
        <f t="shared" si="28"/>
        <v/>
      </c>
    </row>
    <row r="1699" spans="9:9" x14ac:dyDescent="0.3">
      <c r="I1699" s="101" t="str">
        <f t="shared" si="28"/>
        <v/>
      </c>
    </row>
    <row r="1700" spans="9:9" x14ac:dyDescent="0.3">
      <c r="I1700" s="101" t="str">
        <f t="shared" si="28"/>
        <v/>
      </c>
    </row>
    <row r="1701" spans="9:9" x14ac:dyDescent="0.3">
      <c r="I1701" s="101" t="str">
        <f t="shared" si="28"/>
        <v/>
      </c>
    </row>
    <row r="1702" spans="9:9" x14ac:dyDescent="0.3">
      <c r="I1702" s="101" t="str">
        <f t="shared" si="28"/>
        <v/>
      </c>
    </row>
    <row r="1703" spans="9:9" x14ac:dyDescent="0.3">
      <c r="I1703" s="101" t="str">
        <f t="shared" si="28"/>
        <v/>
      </c>
    </row>
    <row r="1704" spans="9:9" x14ac:dyDescent="0.3">
      <c r="I1704" s="101" t="str">
        <f t="shared" si="28"/>
        <v/>
      </c>
    </row>
    <row r="1705" spans="9:9" x14ac:dyDescent="0.3">
      <c r="I1705" s="101" t="str">
        <f t="shared" si="28"/>
        <v/>
      </c>
    </row>
    <row r="1706" spans="9:9" x14ac:dyDescent="0.3">
      <c r="I1706" s="101" t="str">
        <f t="shared" si="28"/>
        <v/>
      </c>
    </row>
    <row r="1707" spans="9:9" x14ac:dyDescent="0.3">
      <c r="I1707" s="101" t="str">
        <f t="shared" si="28"/>
        <v/>
      </c>
    </row>
    <row r="1708" spans="9:9" x14ac:dyDescent="0.3">
      <c r="I1708" s="101" t="str">
        <f t="shared" si="28"/>
        <v/>
      </c>
    </row>
    <row r="1709" spans="9:9" x14ac:dyDescent="0.3">
      <c r="I1709" s="101" t="str">
        <f t="shared" si="28"/>
        <v/>
      </c>
    </row>
    <row r="1710" spans="9:9" x14ac:dyDescent="0.3">
      <c r="I1710" s="101" t="str">
        <f t="shared" si="28"/>
        <v/>
      </c>
    </row>
    <row r="1711" spans="9:9" x14ac:dyDescent="0.3">
      <c r="I1711" s="101" t="str">
        <f t="shared" si="28"/>
        <v/>
      </c>
    </row>
    <row r="1712" spans="9:9" x14ac:dyDescent="0.3">
      <c r="I1712" s="101" t="str">
        <f t="shared" si="28"/>
        <v/>
      </c>
    </row>
    <row r="1713" spans="9:9" x14ac:dyDescent="0.3">
      <c r="I1713" s="101" t="str">
        <f t="shared" si="28"/>
        <v/>
      </c>
    </row>
    <row r="1714" spans="9:9" x14ac:dyDescent="0.3">
      <c r="I1714" s="101" t="str">
        <f t="shared" si="28"/>
        <v/>
      </c>
    </row>
    <row r="1715" spans="9:9" x14ac:dyDescent="0.3">
      <c r="I1715" s="101" t="str">
        <f t="shared" si="28"/>
        <v/>
      </c>
    </row>
    <row r="1716" spans="9:9" x14ac:dyDescent="0.3">
      <c r="I1716" s="101" t="str">
        <f t="shared" si="28"/>
        <v/>
      </c>
    </row>
    <row r="1717" spans="9:9" x14ac:dyDescent="0.3">
      <c r="I1717" s="101" t="str">
        <f t="shared" si="28"/>
        <v/>
      </c>
    </row>
    <row r="1718" spans="9:9" x14ac:dyDescent="0.3">
      <c r="I1718" s="101" t="str">
        <f t="shared" si="28"/>
        <v/>
      </c>
    </row>
    <row r="1719" spans="9:9" x14ac:dyDescent="0.3">
      <c r="I1719" s="101" t="str">
        <f t="shared" si="28"/>
        <v/>
      </c>
    </row>
    <row r="1720" spans="9:9" x14ac:dyDescent="0.3">
      <c r="I1720" s="101" t="str">
        <f t="shared" si="28"/>
        <v/>
      </c>
    </row>
    <row r="1721" spans="9:9" x14ac:dyDescent="0.3">
      <c r="I1721" s="101" t="str">
        <f t="shared" si="28"/>
        <v/>
      </c>
    </row>
    <row r="1722" spans="9:9" x14ac:dyDescent="0.3">
      <c r="I1722" s="101" t="str">
        <f t="shared" si="28"/>
        <v/>
      </c>
    </row>
    <row r="1723" spans="9:9" x14ac:dyDescent="0.3">
      <c r="I1723" s="101" t="str">
        <f t="shared" si="28"/>
        <v/>
      </c>
    </row>
    <row r="1724" spans="9:9" x14ac:dyDescent="0.3">
      <c r="I1724" s="101" t="str">
        <f t="shared" si="28"/>
        <v/>
      </c>
    </row>
    <row r="1725" spans="9:9" x14ac:dyDescent="0.3">
      <c r="I1725" s="101" t="str">
        <f t="shared" si="28"/>
        <v/>
      </c>
    </row>
    <row r="1726" spans="9:9" x14ac:dyDescent="0.3">
      <c r="I1726" s="101" t="str">
        <f t="shared" si="28"/>
        <v/>
      </c>
    </row>
    <row r="1727" spans="9:9" x14ac:dyDescent="0.3">
      <c r="I1727" s="101" t="str">
        <f t="shared" si="28"/>
        <v/>
      </c>
    </row>
    <row r="1728" spans="9:9" x14ac:dyDescent="0.3">
      <c r="I1728" s="101" t="str">
        <f t="shared" si="28"/>
        <v/>
      </c>
    </row>
    <row r="1729" spans="9:9" x14ac:dyDescent="0.3">
      <c r="I1729" s="101" t="str">
        <f t="shared" si="28"/>
        <v/>
      </c>
    </row>
    <row r="1730" spans="9:9" x14ac:dyDescent="0.3">
      <c r="I1730" s="101" t="str">
        <f t="shared" si="28"/>
        <v/>
      </c>
    </row>
    <row r="1731" spans="9:9" x14ac:dyDescent="0.3">
      <c r="I1731" s="101" t="str">
        <f t="shared" ref="I1731:I1794" si="29">IF(OR(B1731&lt;&gt;B1730,C1731&lt;&gt;C1730),"",IF(E1730=0,"",IF(G1731="UP",(E1731-E1730)/E1730,-((E1731-E1730)/E1730))))</f>
        <v/>
      </c>
    </row>
    <row r="1732" spans="9:9" x14ac:dyDescent="0.3">
      <c r="I1732" s="101" t="str">
        <f t="shared" si="29"/>
        <v/>
      </c>
    </row>
    <row r="1733" spans="9:9" x14ac:dyDescent="0.3">
      <c r="I1733" s="101" t="str">
        <f t="shared" si="29"/>
        <v/>
      </c>
    </row>
    <row r="1734" spans="9:9" x14ac:dyDescent="0.3">
      <c r="I1734" s="101" t="str">
        <f t="shared" si="29"/>
        <v/>
      </c>
    </row>
    <row r="1735" spans="9:9" x14ac:dyDescent="0.3">
      <c r="I1735" s="101" t="str">
        <f t="shared" si="29"/>
        <v/>
      </c>
    </row>
    <row r="1736" spans="9:9" x14ac:dyDescent="0.3">
      <c r="I1736" s="101" t="str">
        <f t="shared" si="29"/>
        <v/>
      </c>
    </row>
    <row r="1737" spans="9:9" x14ac:dyDescent="0.3">
      <c r="I1737" s="101" t="str">
        <f t="shared" si="29"/>
        <v/>
      </c>
    </row>
    <row r="1738" spans="9:9" x14ac:dyDescent="0.3">
      <c r="I1738" s="101" t="str">
        <f t="shared" si="29"/>
        <v/>
      </c>
    </row>
    <row r="1739" spans="9:9" x14ac:dyDescent="0.3">
      <c r="I1739" s="101" t="str">
        <f t="shared" si="29"/>
        <v/>
      </c>
    </row>
    <row r="1740" spans="9:9" x14ac:dyDescent="0.3">
      <c r="I1740" s="101" t="str">
        <f t="shared" si="29"/>
        <v/>
      </c>
    </row>
    <row r="1741" spans="9:9" x14ac:dyDescent="0.3">
      <c r="I1741" s="101" t="str">
        <f t="shared" si="29"/>
        <v/>
      </c>
    </row>
    <row r="1742" spans="9:9" x14ac:dyDescent="0.3">
      <c r="I1742" s="101" t="str">
        <f t="shared" si="29"/>
        <v/>
      </c>
    </row>
    <row r="1743" spans="9:9" x14ac:dyDescent="0.3">
      <c r="I1743" s="101" t="str">
        <f t="shared" si="29"/>
        <v/>
      </c>
    </row>
    <row r="1744" spans="9:9" x14ac:dyDescent="0.3">
      <c r="I1744" s="101" t="str">
        <f t="shared" si="29"/>
        <v/>
      </c>
    </row>
    <row r="1745" spans="9:9" x14ac:dyDescent="0.3">
      <c r="I1745" s="101" t="str">
        <f t="shared" si="29"/>
        <v/>
      </c>
    </row>
    <row r="1746" spans="9:9" x14ac:dyDescent="0.3">
      <c r="I1746" s="101" t="str">
        <f t="shared" si="29"/>
        <v/>
      </c>
    </row>
    <row r="1747" spans="9:9" x14ac:dyDescent="0.3">
      <c r="I1747" s="101" t="str">
        <f t="shared" si="29"/>
        <v/>
      </c>
    </row>
    <row r="1748" spans="9:9" x14ac:dyDescent="0.3">
      <c r="I1748" s="101" t="str">
        <f t="shared" si="29"/>
        <v/>
      </c>
    </row>
    <row r="1749" spans="9:9" x14ac:dyDescent="0.3">
      <c r="I1749" s="101" t="str">
        <f t="shared" si="29"/>
        <v/>
      </c>
    </row>
    <row r="1750" spans="9:9" x14ac:dyDescent="0.3">
      <c r="I1750" s="101" t="str">
        <f t="shared" si="29"/>
        <v/>
      </c>
    </row>
    <row r="1751" spans="9:9" x14ac:dyDescent="0.3">
      <c r="I1751" s="101" t="str">
        <f t="shared" si="29"/>
        <v/>
      </c>
    </row>
    <row r="1752" spans="9:9" x14ac:dyDescent="0.3">
      <c r="I1752" s="101" t="str">
        <f t="shared" si="29"/>
        <v/>
      </c>
    </row>
    <row r="1753" spans="9:9" x14ac:dyDescent="0.3">
      <c r="I1753" s="101" t="str">
        <f t="shared" si="29"/>
        <v/>
      </c>
    </row>
    <row r="1754" spans="9:9" x14ac:dyDescent="0.3">
      <c r="I1754" s="101" t="str">
        <f t="shared" si="29"/>
        <v/>
      </c>
    </row>
    <row r="1755" spans="9:9" x14ac:dyDescent="0.3">
      <c r="I1755" s="101" t="str">
        <f t="shared" si="29"/>
        <v/>
      </c>
    </row>
    <row r="1756" spans="9:9" x14ac:dyDescent="0.3">
      <c r="I1756" s="101" t="str">
        <f t="shared" si="29"/>
        <v/>
      </c>
    </row>
    <row r="1757" spans="9:9" x14ac:dyDescent="0.3">
      <c r="I1757" s="101" t="str">
        <f t="shared" si="29"/>
        <v/>
      </c>
    </row>
    <row r="1758" spans="9:9" x14ac:dyDescent="0.3">
      <c r="I1758" s="101" t="str">
        <f t="shared" si="29"/>
        <v/>
      </c>
    </row>
    <row r="1759" spans="9:9" x14ac:dyDescent="0.3">
      <c r="I1759" s="101" t="str">
        <f t="shared" si="29"/>
        <v/>
      </c>
    </row>
    <row r="1760" spans="9:9" x14ac:dyDescent="0.3">
      <c r="I1760" s="101" t="str">
        <f t="shared" si="29"/>
        <v/>
      </c>
    </row>
    <row r="1761" spans="9:9" x14ac:dyDescent="0.3">
      <c r="I1761" s="101" t="str">
        <f t="shared" si="29"/>
        <v/>
      </c>
    </row>
    <row r="1762" spans="9:9" x14ac:dyDescent="0.3">
      <c r="I1762" s="101" t="str">
        <f t="shared" si="29"/>
        <v/>
      </c>
    </row>
    <row r="1763" spans="9:9" x14ac:dyDescent="0.3">
      <c r="I1763" s="101" t="str">
        <f t="shared" si="29"/>
        <v/>
      </c>
    </row>
    <row r="1764" spans="9:9" x14ac:dyDescent="0.3">
      <c r="I1764" s="101" t="str">
        <f t="shared" si="29"/>
        <v/>
      </c>
    </row>
    <row r="1765" spans="9:9" x14ac:dyDescent="0.3">
      <c r="I1765" s="101" t="str">
        <f t="shared" si="29"/>
        <v/>
      </c>
    </row>
    <row r="1766" spans="9:9" x14ac:dyDescent="0.3">
      <c r="I1766" s="101" t="str">
        <f t="shared" si="29"/>
        <v/>
      </c>
    </row>
    <row r="1767" spans="9:9" x14ac:dyDescent="0.3">
      <c r="I1767" s="101" t="str">
        <f t="shared" si="29"/>
        <v/>
      </c>
    </row>
    <row r="1768" spans="9:9" x14ac:dyDescent="0.3">
      <c r="I1768" s="101" t="str">
        <f t="shared" si="29"/>
        <v/>
      </c>
    </row>
    <row r="1769" spans="9:9" x14ac:dyDescent="0.3">
      <c r="I1769" s="101" t="str">
        <f t="shared" si="29"/>
        <v/>
      </c>
    </row>
    <row r="1770" spans="9:9" x14ac:dyDescent="0.3">
      <c r="I1770" s="101" t="str">
        <f t="shared" si="29"/>
        <v/>
      </c>
    </row>
    <row r="1771" spans="9:9" x14ac:dyDescent="0.3">
      <c r="I1771" s="101" t="str">
        <f t="shared" si="29"/>
        <v/>
      </c>
    </row>
    <row r="1772" spans="9:9" x14ac:dyDescent="0.3">
      <c r="I1772" s="101" t="str">
        <f t="shared" si="29"/>
        <v/>
      </c>
    </row>
    <row r="1773" spans="9:9" x14ac:dyDescent="0.3">
      <c r="I1773" s="101" t="str">
        <f t="shared" si="29"/>
        <v/>
      </c>
    </row>
    <row r="1774" spans="9:9" x14ac:dyDescent="0.3">
      <c r="I1774" s="101" t="str">
        <f t="shared" si="29"/>
        <v/>
      </c>
    </row>
    <row r="1775" spans="9:9" x14ac:dyDescent="0.3">
      <c r="I1775" s="101" t="str">
        <f t="shared" si="29"/>
        <v/>
      </c>
    </row>
    <row r="1776" spans="9:9" x14ac:dyDescent="0.3">
      <c r="I1776" s="101" t="str">
        <f t="shared" si="29"/>
        <v/>
      </c>
    </row>
    <row r="1777" spans="9:9" x14ac:dyDescent="0.3">
      <c r="I1777" s="101" t="str">
        <f t="shared" si="29"/>
        <v/>
      </c>
    </row>
    <row r="1778" spans="9:9" x14ac:dyDescent="0.3">
      <c r="I1778" s="101" t="str">
        <f t="shared" si="29"/>
        <v/>
      </c>
    </row>
    <row r="1779" spans="9:9" x14ac:dyDescent="0.3">
      <c r="I1779" s="101" t="str">
        <f t="shared" si="29"/>
        <v/>
      </c>
    </row>
    <row r="1780" spans="9:9" x14ac:dyDescent="0.3">
      <c r="I1780" s="101" t="str">
        <f t="shared" si="29"/>
        <v/>
      </c>
    </row>
    <row r="1781" spans="9:9" x14ac:dyDescent="0.3">
      <c r="I1781" s="101" t="str">
        <f t="shared" si="29"/>
        <v/>
      </c>
    </row>
    <row r="1782" spans="9:9" x14ac:dyDescent="0.3">
      <c r="I1782" s="101" t="str">
        <f t="shared" si="29"/>
        <v/>
      </c>
    </row>
    <row r="1783" spans="9:9" x14ac:dyDescent="0.3">
      <c r="I1783" s="101" t="str">
        <f t="shared" si="29"/>
        <v/>
      </c>
    </row>
    <row r="1784" spans="9:9" x14ac:dyDescent="0.3">
      <c r="I1784" s="101" t="str">
        <f t="shared" si="29"/>
        <v/>
      </c>
    </row>
    <row r="1785" spans="9:9" x14ac:dyDescent="0.3">
      <c r="I1785" s="101" t="str">
        <f t="shared" si="29"/>
        <v/>
      </c>
    </row>
    <row r="1786" spans="9:9" x14ac:dyDescent="0.3">
      <c r="I1786" s="101" t="str">
        <f t="shared" si="29"/>
        <v/>
      </c>
    </row>
    <row r="1787" spans="9:9" x14ac:dyDescent="0.3">
      <c r="I1787" s="101" t="str">
        <f t="shared" si="29"/>
        <v/>
      </c>
    </row>
    <row r="1788" spans="9:9" x14ac:dyDescent="0.3">
      <c r="I1788" s="101" t="str">
        <f t="shared" si="29"/>
        <v/>
      </c>
    </row>
    <row r="1789" spans="9:9" x14ac:dyDescent="0.3">
      <c r="I1789" s="101" t="str">
        <f t="shared" si="29"/>
        <v/>
      </c>
    </row>
    <row r="1790" spans="9:9" x14ac:dyDescent="0.3">
      <c r="I1790" s="101" t="str">
        <f t="shared" si="29"/>
        <v/>
      </c>
    </row>
    <row r="1791" spans="9:9" x14ac:dyDescent="0.3">
      <c r="I1791" s="101" t="str">
        <f t="shared" si="29"/>
        <v/>
      </c>
    </row>
    <row r="1792" spans="9:9" x14ac:dyDescent="0.3">
      <c r="I1792" s="101" t="str">
        <f t="shared" si="29"/>
        <v/>
      </c>
    </row>
    <row r="1793" spans="9:9" x14ac:dyDescent="0.3">
      <c r="I1793" s="101" t="str">
        <f t="shared" si="29"/>
        <v/>
      </c>
    </row>
    <row r="1794" spans="9:9" x14ac:dyDescent="0.3">
      <c r="I1794" s="101" t="str">
        <f t="shared" si="29"/>
        <v/>
      </c>
    </row>
    <row r="1795" spans="9:9" x14ac:dyDescent="0.3">
      <c r="I1795" s="101" t="str">
        <f t="shared" ref="I1795:I1858" si="30">IF(OR(B1795&lt;&gt;B1794,C1795&lt;&gt;C1794),"",IF(E1794=0,"",IF(G1795="UP",(E1795-E1794)/E1794,-((E1795-E1794)/E1794))))</f>
        <v/>
      </c>
    </row>
    <row r="1796" spans="9:9" x14ac:dyDescent="0.3">
      <c r="I1796" s="101" t="str">
        <f t="shared" si="30"/>
        <v/>
      </c>
    </row>
    <row r="1797" spans="9:9" x14ac:dyDescent="0.3">
      <c r="I1797" s="101" t="str">
        <f t="shared" si="30"/>
        <v/>
      </c>
    </row>
    <row r="1798" spans="9:9" x14ac:dyDescent="0.3">
      <c r="I1798" s="101" t="str">
        <f t="shared" si="30"/>
        <v/>
      </c>
    </row>
    <row r="1799" spans="9:9" x14ac:dyDescent="0.3">
      <c r="I1799" s="101" t="str">
        <f t="shared" si="30"/>
        <v/>
      </c>
    </row>
    <row r="1800" spans="9:9" x14ac:dyDescent="0.3">
      <c r="I1800" s="101" t="str">
        <f t="shared" si="30"/>
        <v/>
      </c>
    </row>
    <row r="1801" spans="9:9" x14ac:dyDescent="0.3">
      <c r="I1801" s="101" t="str">
        <f t="shared" si="30"/>
        <v/>
      </c>
    </row>
    <row r="1802" spans="9:9" x14ac:dyDescent="0.3">
      <c r="I1802" s="101" t="str">
        <f t="shared" si="30"/>
        <v/>
      </c>
    </row>
    <row r="1803" spans="9:9" x14ac:dyDescent="0.3">
      <c r="I1803" s="101" t="str">
        <f t="shared" si="30"/>
        <v/>
      </c>
    </row>
    <row r="1804" spans="9:9" x14ac:dyDescent="0.3">
      <c r="I1804" s="101" t="str">
        <f t="shared" si="30"/>
        <v/>
      </c>
    </row>
    <row r="1805" spans="9:9" x14ac:dyDescent="0.3">
      <c r="I1805" s="101" t="str">
        <f t="shared" si="30"/>
        <v/>
      </c>
    </row>
    <row r="1806" spans="9:9" x14ac:dyDescent="0.3">
      <c r="I1806" s="101" t="str">
        <f t="shared" si="30"/>
        <v/>
      </c>
    </row>
    <row r="1807" spans="9:9" x14ac:dyDescent="0.3">
      <c r="I1807" s="101" t="str">
        <f t="shared" si="30"/>
        <v/>
      </c>
    </row>
    <row r="1808" spans="9:9" x14ac:dyDescent="0.3">
      <c r="I1808" s="101" t="str">
        <f t="shared" si="30"/>
        <v/>
      </c>
    </row>
    <row r="1809" spans="9:9" x14ac:dyDescent="0.3">
      <c r="I1809" s="101" t="str">
        <f t="shared" si="30"/>
        <v/>
      </c>
    </row>
    <row r="1810" spans="9:9" x14ac:dyDescent="0.3">
      <c r="I1810" s="101" t="str">
        <f t="shared" si="30"/>
        <v/>
      </c>
    </row>
    <row r="1811" spans="9:9" x14ac:dyDescent="0.3">
      <c r="I1811" s="101" t="str">
        <f t="shared" si="30"/>
        <v/>
      </c>
    </row>
    <row r="1812" spans="9:9" x14ac:dyDescent="0.3">
      <c r="I1812" s="101" t="str">
        <f t="shared" si="30"/>
        <v/>
      </c>
    </row>
    <row r="1813" spans="9:9" x14ac:dyDescent="0.3">
      <c r="I1813" s="101" t="str">
        <f t="shared" si="30"/>
        <v/>
      </c>
    </row>
    <row r="1814" spans="9:9" x14ac:dyDescent="0.3">
      <c r="I1814" s="101" t="str">
        <f t="shared" si="30"/>
        <v/>
      </c>
    </row>
    <row r="1815" spans="9:9" x14ac:dyDescent="0.3">
      <c r="I1815" s="101" t="str">
        <f t="shared" si="30"/>
        <v/>
      </c>
    </row>
    <row r="1816" spans="9:9" x14ac:dyDescent="0.3">
      <c r="I1816" s="101" t="str">
        <f t="shared" si="30"/>
        <v/>
      </c>
    </row>
    <row r="1817" spans="9:9" x14ac:dyDescent="0.3">
      <c r="I1817" s="101" t="str">
        <f t="shared" si="30"/>
        <v/>
      </c>
    </row>
    <row r="1818" spans="9:9" x14ac:dyDescent="0.3">
      <c r="I1818" s="101" t="str">
        <f t="shared" si="30"/>
        <v/>
      </c>
    </row>
    <row r="1819" spans="9:9" x14ac:dyDescent="0.3">
      <c r="I1819" s="101" t="str">
        <f t="shared" si="30"/>
        <v/>
      </c>
    </row>
    <row r="1820" spans="9:9" x14ac:dyDescent="0.3">
      <c r="I1820" s="101" t="str">
        <f t="shared" si="30"/>
        <v/>
      </c>
    </row>
    <row r="1821" spans="9:9" x14ac:dyDescent="0.3">
      <c r="I1821" s="101" t="str">
        <f t="shared" si="30"/>
        <v/>
      </c>
    </row>
    <row r="1822" spans="9:9" x14ac:dyDescent="0.3">
      <c r="I1822" s="101" t="str">
        <f t="shared" si="30"/>
        <v/>
      </c>
    </row>
    <row r="1823" spans="9:9" x14ac:dyDescent="0.3">
      <c r="I1823" s="101" t="str">
        <f t="shared" si="30"/>
        <v/>
      </c>
    </row>
    <row r="1824" spans="9:9" x14ac:dyDescent="0.3">
      <c r="I1824" s="101" t="str">
        <f t="shared" si="30"/>
        <v/>
      </c>
    </row>
    <row r="1825" spans="9:9" x14ac:dyDescent="0.3">
      <c r="I1825" s="101" t="str">
        <f t="shared" si="30"/>
        <v/>
      </c>
    </row>
    <row r="1826" spans="9:9" x14ac:dyDescent="0.3">
      <c r="I1826" s="101" t="str">
        <f t="shared" si="30"/>
        <v/>
      </c>
    </row>
    <row r="1827" spans="9:9" x14ac:dyDescent="0.3">
      <c r="I1827" s="101" t="str">
        <f t="shared" si="30"/>
        <v/>
      </c>
    </row>
    <row r="1828" spans="9:9" x14ac:dyDescent="0.3">
      <c r="I1828" s="101" t="str">
        <f t="shared" si="30"/>
        <v/>
      </c>
    </row>
    <row r="1829" spans="9:9" x14ac:dyDescent="0.3">
      <c r="I1829" s="101" t="str">
        <f t="shared" si="30"/>
        <v/>
      </c>
    </row>
    <row r="1830" spans="9:9" x14ac:dyDescent="0.3">
      <c r="I1830" s="101" t="str">
        <f t="shared" si="30"/>
        <v/>
      </c>
    </row>
    <row r="1831" spans="9:9" x14ac:dyDescent="0.3">
      <c r="I1831" s="101" t="str">
        <f t="shared" si="30"/>
        <v/>
      </c>
    </row>
    <row r="1832" spans="9:9" x14ac:dyDescent="0.3">
      <c r="I1832" s="101" t="str">
        <f t="shared" si="30"/>
        <v/>
      </c>
    </row>
    <row r="1833" spans="9:9" x14ac:dyDescent="0.3">
      <c r="I1833" s="101" t="str">
        <f t="shared" si="30"/>
        <v/>
      </c>
    </row>
    <row r="1834" spans="9:9" x14ac:dyDescent="0.3">
      <c r="I1834" s="101" t="str">
        <f t="shared" si="30"/>
        <v/>
      </c>
    </row>
    <row r="1835" spans="9:9" x14ac:dyDescent="0.3">
      <c r="I1835" s="101" t="str">
        <f t="shared" si="30"/>
        <v/>
      </c>
    </row>
    <row r="1836" spans="9:9" x14ac:dyDescent="0.3">
      <c r="I1836" s="101" t="str">
        <f t="shared" si="30"/>
        <v/>
      </c>
    </row>
    <row r="1837" spans="9:9" x14ac:dyDescent="0.3">
      <c r="I1837" s="101" t="str">
        <f t="shared" si="30"/>
        <v/>
      </c>
    </row>
    <row r="1838" spans="9:9" x14ac:dyDescent="0.3">
      <c r="I1838" s="101" t="str">
        <f t="shared" si="30"/>
        <v/>
      </c>
    </row>
    <row r="1839" spans="9:9" x14ac:dyDescent="0.3">
      <c r="I1839" s="101" t="str">
        <f t="shared" si="30"/>
        <v/>
      </c>
    </row>
    <row r="1840" spans="9:9" x14ac:dyDescent="0.3">
      <c r="I1840" s="101" t="str">
        <f t="shared" si="30"/>
        <v/>
      </c>
    </row>
    <row r="1841" spans="9:9" x14ac:dyDescent="0.3">
      <c r="I1841" s="101" t="str">
        <f t="shared" si="30"/>
        <v/>
      </c>
    </row>
    <row r="1842" spans="9:9" x14ac:dyDescent="0.3">
      <c r="I1842" s="101" t="str">
        <f t="shared" si="30"/>
        <v/>
      </c>
    </row>
    <row r="1843" spans="9:9" x14ac:dyDescent="0.3">
      <c r="I1843" s="101" t="str">
        <f t="shared" si="30"/>
        <v/>
      </c>
    </row>
    <row r="1844" spans="9:9" x14ac:dyDescent="0.3">
      <c r="I1844" s="101" t="str">
        <f t="shared" si="30"/>
        <v/>
      </c>
    </row>
    <row r="1845" spans="9:9" x14ac:dyDescent="0.3">
      <c r="I1845" s="101" t="str">
        <f t="shared" si="30"/>
        <v/>
      </c>
    </row>
    <row r="1846" spans="9:9" x14ac:dyDescent="0.3">
      <c r="I1846" s="101" t="str">
        <f t="shared" si="30"/>
        <v/>
      </c>
    </row>
    <row r="1847" spans="9:9" x14ac:dyDescent="0.3">
      <c r="I1847" s="101" t="str">
        <f t="shared" si="30"/>
        <v/>
      </c>
    </row>
    <row r="1848" spans="9:9" x14ac:dyDescent="0.3">
      <c r="I1848" s="101" t="str">
        <f t="shared" si="30"/>
        <v/>
      </c>
    </row>
    <row r="1849" spans="9:9" x14ac:dyDescent="0.3">
      <c r="I1849" s="101" t="str">
        <f t="shared" si="30"/>
        <v/>
      </c>
    </row>
    <row r="1850" spans="9:9" x14ac:dyDescent="0.3">
      <c r="I1850" s="101" t="str">
        <f t="shared" si="30"/>
        <v/>
      </c>
    </row>
    <row r="1851" spans="9:9" x14ac:dyDescent="0.3">
      <c r="I1851" s="101" t="str">
        <f t="shared" si="30"/>
        <v/>
      </c>
    </row>
    <row r="1852" spans="9:9" x14ac:dyDescent="0.3">
      <c r="I1852" s="101" t="str">
        <f t="shared" si="30"/>
        <v/>
      </c>
    </row>
    <row r="1853" spans="9:9" x14ac:dyDescent="0.3">
      <c r="I1853" s="101" t="str">
        <f t="shared" si="30"/>
        <v/>
      </c>
    </row>
    <row r="1854" spans="9:9" x14ac:dyDescent="0.3">
      <c r="I1854" s="101" t="str">
        <f t="shared" si="30"/>
        <v/>
      </c>
    </row>
    <row r="1855" spans="9:9" x14ac:dyDescent="0.3">
      <c r="I1855" s="101" t="str">
        <f t="shared" si="30"/>
        <v/>
      </c>
    </row>
    <row r="1856" spans="9:9" x14ac:dyDescent="0.3">
      <c r="I1856" s="101" t="str">
        <f t="shared" si="30"/>
        <v/>
      </c>
    </row>
    <row r="1857" spans="9:9" x14ac:dyDescent="0.3">
      <c r="I1857" s="101" t="str">
        <f t="shared" si="30"/>
        <v/>
      </c>
    </row>
    <row r="1858" spans="9:9" x14ac:dyDescent="0.3">
      <c r="I1858" s="101" t="str">
        <f t="shared" si="30"/>
        <v/>
      </c>
    </row>
    <row r="1859" spans="9:9" x14ac:dyDescent="0.3">
      <c r="I1859" s="101" t="str">
        <f t="shared" ref="I1859:I1922" si="31">IF(OR(B1859&lt;&gt;B1858,C1859&lt;&gt;C1858),"",IF(E1858=0,"",IF(G1859="UP",(E1859-E1858)/E1858,-((E1859-E1858)/E1858))))</f>
        <v/>
      </c>
    </row>
    <row r="1860" spans="9:9" x14ac:dyDescent="0.3">
      <c r="I1860" s="101" t="str">
        <f t="shared" si="31"/>
        <v/>
      </c>
    </row>
    <row r="1861" spans="9:9" x14ac:dyDescent="0.3">
      <c r="I1861" s="101" t="str">
        <f t="shared" si="31"/>
        <v/>
      </c>
    </row>
    <row r="1862" spans="9:9" x14ac:dyDescent="0.3">
      <c r="I1862" s="101" t="str">
        <f t="shared" si="31"/>
        <v/>
      </c>
    </row>
    <row r="1863" spans="9:9" x14ac:dyDescent="0.3">
      <c r="I1863" s="101" t="str">
        <f t="shared" si="31"/>
        <v/>
      </c>
    </row>
    <row r="1864" spans="9:9" x14ac:dyDescent="0.3">
      <c r="I1864" s="101" t="str">
        <f t="shared" si="31"/>
        <v/>
      </c>
    </row>
    <row r="1865" spans="9:9" x14ac:dyDescent="0.3">
      <c r="I1865" s="101" t="str">
        <f t="shared" si="31"/>
        <v/>
      </c>
    </row>
    <row r="1866" spans="9:9" x14ac:dyDescent="0.3">
      <c r="I1866" s="101" t="str">
        <f t="shared" si="31"/>
        <v/>
      </c>
    </row>
    <row r="1867" spans="9:9" x14ac:dyDescent="0.3">
      <c r="I1867" s="101" t="str">
        <f t="shared" si="31"/>
        <v/>
      </c>
    </row>
    <row r="1868" spans="9:9" x14ac:dyDescent="0.3">
      <c r="I1868" s="101" t="str">
        <f t="shared" si="31"/>
        <v/>
      </c>
    </row>
    <row r="1869" spans="9:9" x14ac:dyDescent="0.3">
      <c r="I1869" s="101" t="str">
        <f t="shared" si="31"/>
        <v/>
      </c>
    </row>
    <row r="1870" spans="9:9" x14ac:dyDescent="0.3">
      <c r="I1870" s="101" t="str">
        <f t="shared" si="31"/>
        <v/>
      </c>
    </row>
    <row r="1871" spans="9:9" x14ac:dyDescent="0.3">
      <c r="I1871" s="101" t="str">
        <f t="shared" si="31"/>
        <v/>
      </c>
    </row>
    <row r="1872" spans="9:9" x14ac:dyDescent="0.3">
      <c r="I1872" s="101" t="str">
        <f t="shared" si="31"/>
        <v/>
      </c>
    </row>
    <row r="1873" spans="9:9" x14ac:dyDescent="0.3">
      <c r="I1873" s="101" t="str">
        <f t="shared" si="31"/>
        <v/>
      </c>
    </row>
    <row r="1874" spans="9:9" x14ac:dyDescent="0.3">
      <c r="I1874" s="101" t="str">
        <f t="shared" si="31"/>
        <v/>
      </c>
    </row>
    <row r="1875" spans="9:9" x14ac:dyDescent="0.3">
      <c r="I1875" s="101" t="str">
        <f t="shared" si="31"/>
        <v/>
      </c>
    </row>
    <row r="1876" spans="9:9" x14ac:dyDescent="0.3">
      <c r="I1876" s="101" t="str">
        <f t="shared" si="31"/>
        <v/>
      </c>
    </row>
    <row r="1877" spans="9:9" x14ac:dyDescent="0.3">
      <c r="I1877" s="101" t="str">
        <f t="shared" si="31"/>
        <v/>
      </c>
    </row>
    <row r="1878" spans="9:9" x14ac:dyDescent="0.3">
      <c r="I1878" s="101" t="str">
        <f t="shared" si="31"/>
        <v/>
      </c>
    </row>
    <row r="1879" spans="9:9" x14ac:dyDescent="0.3">
      <c r="I1879" s="101" t="str">
        <f t="shared" si="31"/>
        <v/>
      </c>
    </row>
    <row r="1880" spans="9:9" x14ac:dyDescent="0.3">
      <c r="I1880" s="101" t="str">
        <f t="shared" si="31"/>
        <v/>
      </c>
    </row>
    <row r="1881" spans="9:9" x14ac:dyDescent="0.3">
      <c r="I1881" s="101" t="str">
        <f t="shared" si="31"/>
        <v/>
      </c>
    </row>
    <row r="1882" spans="9:9" x14ac:dyDescent="0.3">
      <c r="I1882" s="101" t="str">
        <f t="shared" si="31"/>
        <v/>
      </c>
    </row>
    <row r="1883" spans="9:9" x14ac:dyDescent="0.3">
      <c r="I1883" s="101" t="str">
        <f t="shared" si="31"/>
        <v/>
      </c>
    </row>
    <row r="1884" spans="9:9" x14ac:dyDescent="0.3">
      <c r="I1884" s="101" t="str">
        <f t="shared" si="31"/>
        <v/>
      </c>
    </row>
    <row r="1885" spans="9:9" x14ac:dyDescent="0.3">
      <c r="I1885" s="101" t="str">
        <f t="shared" si="31"/>
        <v/>
      </c>
    </row>
    <row r="1886" spans="9:9" x14ac:dyDescent="0.3">
      <c r="I1886" s="101" t="str">
        <f t="shared" si="31"/>
        <v/>
      </c>
    </row>
    <row r="1887" spans="9:9" x14ac:dyDescent="0.3">
      <c r="I1887" s="101" t="str">
        <f t="shared" si="31"/>
        <v/>
      </c>
    </row>
    <row r="1888" spans="9:9" x14ac:dyDescent="0.3">
      <c r="I1888" s="101" t="str">
        <f t="shared" si="31"/>
        <v/>
      </c>
    </row>
    <row r="1889" spans="9:9" x14ac:dyDescent="0.3">
      <c r="I1889" s="101" t="str">
        <f t="shared" si="31"/>
        <v/>
      </c>
    </row>
    <row r="1890" spans="9:9" x14ac:dyDescent="0.3">
      <c r="I1890" s="101" t="str">
        <f t="shared" si="31"/>
        <v/>
      </c>
    </row>
    <row r="1891" spans="9:9" x14ac:dyDescent="0.3">
      <c r="I1891" s="101" t="str">
        <f t="shared" si="31"/>
        <v/>
      </c>
    </row>
    <row r="1892" spans="9:9" x14ac:dyDescent="0.3">
      <c r="I1892" s="101" t="str">
        <f t="shared" si="31"/>
        <v/>
      </c>
    </row>
    <row r="1893" spans="9:9" x14ac:dyDescent="0.3">
      <c r="I1893" s="101" t="str">
        <f t="shared" si="31"/>
        <v/>
      </c>
    </row>
    <row r="1894" spans="9:9" x14ac:dyDescent="0.3">
      <c r="I1894" s="101" t="str">
        <f t="shared" si="31"/>
        <v/>
      </c>
    </row>
    <row r="1895" spans="9:9" x14ac:dyDescent="0.3">
      <c r="I1895" s="101" t="str">
        <f t="shared" si="31"/>
        <v/>
      </c>
    </row>
    <row r="1896" spans="9:9" x14ac:dyDescent="0.3">
      <c r="I1896" s="101" t="str">
        <f t="shared" si="31"/>
        <v/>
      </c>
    </row>
    <row r="1897" spans="9:9" x14ac:dyDescent="0.3">
      <c r="I1897" s="101" t="str">
        <f t="shared" si="31"/>
        <v/>
      </c>
    </row>
    <row r="1898" spans="9:9" x14ac:dyDescent="0.3">
      <c r="I1898" s="101" t="str">
        <f t="shared" si="31"/>
        <v/>
      </c>
    </row>
    <row r="1899" spans="9:9" x14ac:dyDescent="0.3">
      <c r="I1899" s="101" t="str">
        <f t="shared" si="31"/>
        <v/>
      </c>
    </row>
    <row r="1900" spans="9:9" x14ac:dyDescent="0.3">
      <c r="I1900" s="101" t="str">
        <f t="shared" si="31"/>
        <v/>
      </c>
    </row>
    <row r="1901" spans="9:9" x14ac:dyDescent="0.3">
      <c r="I1901" s="101" t="str">
        <f t="shared" si="31"/>
        <v/>
      </c>
    </row>
    <row r="1902" spans="9:9" x14ac:dyDescent="0.3">
      <c r="I1902" s="101" t="str">
        <f t="shared" si="31"/>
        <v/>
      </c>
    </row>
    <row r="1903" spans="9:9" x14ac:dyDescent="0.3">
      <c r="I1903" s="101" t="str">
        <f t="shared" si="31"/>
        <v/>
      </c>
    </row>
    <row r="1904" spans="9:9" x14ac:dyDescent="0.3">
      <c r="I1904" s="101" t="str">
        <f t="shared" si="31"/>
        <v/>
      </c>
    </row>
    <row r="1905" spans="9:9" x14ac:dyDescent="0.3">
      <c r="I1905" s="101" t="str">
        <f t="shared" si="31"/>
        <v/>
      </c>
    </row>
    <row r="1906" spans="9:9" x14ac:dyDescent="0.3">
      <c r="I1906" s="101" t="str">
        <f t="shared" si="31"/>
        <v/>
      </c>
    </row>
    <row r="1907" spans="9:9" x14ac:dyDescent="0.3">
      <c r="I1907" s="101" t="str">
        <f t="shared" si="31"/>
        <v/>
      </c>
    </row>
    <row r="1908" spans="9:9" x14ac:dyDescent="0.3">
      <c r="I1908" s="101" t="str">
        <f t="shared" si="31"/>
        <v/>
      </c>
    </row>
    <row r="1909" spans="9:9" x14ac:dyDescent="0.3">
      <c r="I1909" s="101" t="str">
        <f t="shared" si="31"/>
        <v/>
      </c>
    </row>
    <row r="1910" spans="9:9" x14ac:dyDescent="0.3">
      <c r="I1910" s="101" t="str">
        <f t="shared" si="31"/>
        <v/>
      </c>
    </row>
    <row r="1911" spans="9:9" x14ac:dyDescent="0.3">
      <c r="I1911" s="101" t="str">
        <f t="shared" si="31"/>
        <v/>
      </c>
    </row>
    <row r="1912" spans="9:9" x14ac:dyDescent="0.3">
      <c r="I1912" s="101" t="str">
        <f t="shared" si="31"/>
        <v/>
      </c>
    </row>
    <row r="1913" spans="9:9" x14ac:dyDescent="0.3">
      <c r="I1913" s="101" t="str">
        <f t="shared" si="31"/>
        <v/>
      </c>
    </row>
    <row r="1914" spans="9:9" x14ac:dyDescent="0.3">
      <c r="I1914" s="101" t="str">
        <f t="shared" si="31"/>
        <v/>
      </c>
    </row>
    <row r="1915" spans="9:9" x14ac:dyDescent="0.3">
      <c r="I1915" s="101" t="str">
        <f t="shared" si="31"/>
        <v/>
      </c>
    </row>
    <row r="1916" spans="9:9" x14ac:dyDescent="0.3">
      <c r="I1916" s="101" t="str">
        <f t="shared" si="31"/>
        <v/>
      </c>
    </row>
    <row r="1917" spans="9:9" x14ac:dyDescent="0.3">
      <c r="I1917" s="101" t="str">
        <f t="shared" si="31"/>
        <v/>
      </c>
    </row>
    <row r="1918" spans="9:9" x14ac:dyDescent="0.3">
      <c r="I1918" s="101" t="str">
        <f t="shared" si="31"/>
        <v/>
      </c>
    </row>
    <row r="1919" spans="9:9" x14ac:dyDescent="0.3">
      <c r="I1919" s="101" t="str">
        <f t="shared" si="31"/>
        <v/>
      </c>
    </row>
    <row r="1920" spans="9:9" x14ac:dyDescent="0.3">
      <c r="I1920" s="101" t="str">
        <f t="shared" si="31"/>
        <v/>
      </c>
    </row>
    <row r="1921" spans="9:9" x14ac:dyDescent="0.3">
      <c r="I1921" s="101" t="str">
        <f t="shared" si="31"/>
        <v/>
      </c>
    </row>
    <row r="1922" spans="9:9" x14ac:dyDescent="0.3">
      <c r="I1922" s="101" t="str">
        <f t="shared" si="31"/>
        <v/>
      </c>
    </row>
    <row r="1923" spans="9:9" x14ac:dyDescent="0.3">
      <c r="I1923" s="101" t="str">
        <f t="shared" ref="I1923:I1986" si="32">IF(OR(B1923&lt;&gt;B1922,C1923&lt;&gt;C1922),"",IF(E1922=0,"",IF(G1923="UP",(E1923-E1922)/E1922,-((E1923-E1922)/E1922))))</f>
        <v/>
      </c>
    </row>
    <row r="1924" spans="9:9" x14ac:dyDescent="0.3">
      <c r="I1924" s="101" t="str">
        <f t="shared" si="32"/>
        <v/>
      </c>
    </row>
    <row r="1925" spans="9:9" x14ac:dyDescent="0.3">
      <c r="I1925" s="101" t="str">
        <f t="shared" si="32"/>
        <v/>
      </c>
    </row>
    <row r="1926" spans="9:9" x14ac:dyDescent="0.3">
      <c r="I1926" s="101" t="str">
        <f t="shared" si="32"/>
        <v/>
      </c>
    </row>
    <row r="1927" spans="9:9" x14ac:dyDescent="0.3">
      <c r="I1927" s="101" t="str">
        <f t="shared" si="32"/>
        <v/>
      </c>
    </row>
    <row r="1928" spans="9:9" x14ac:dyDescent="0.3">
      <c r="I1928" s="101" t="str">
        <f t="shared" si="32"/>
        <v/>
      </c>
    </row>
    <row r="1929" spans="9:9" x14ac:dyDescent="0.3">
      <c r="I1929" s="101" t="str">
        <f t="shared" si="32"/>
        <v/>
      </c>
    </row>
    <row r="1930" spans="9:9" x14ac:dyDescent="0.3">
      <c r="I1930" s="101" t="str">
        <f t="shared" si="32"/>
        <v/>
      </c>
    </row>
    <row r="1931" spans="9:9" x14ac:dyDescent="0.3">
      <c r="I1931" s="101" t="str">
        <f t="shared" si="32"/>
        <v/>
      </c>
    </row>
    <row r="1932" spans="9:9" x14ac:dyDescent="0.3">
      <c r="I1932" s="101" t="str">
        <f t="shared" si="32"/>
        <v/>
      </c>
    </row>
    <row r="1933" spans="9:9" x14ac:dyDescent="0.3">
      <c r="I1933" s="101" t="str">
        <f t="shared" si="32"/>
        <v/>
      </c>
    </row>
    <row r="1934" spans="9:9" x14ac:dyDescent="0.3">
      <c r="I1934" s="101" t="str">
        <f t="shared" si="32"/>
        <v/>
      </c>
    </row>
    <row r="1935" spans="9:9" x14ac:dyDescent="0.3">
      <c r="I1935" s="101" t="str">
        <f t="shared" si="32"/>
        <v/>
      </c>
    </row>
    <row r="1936" spans="9:9" x14ac:dyDescent="0.3">
      <c r="I1936" s="101" t="str">
        <f t="shared" si="32"/>
        <v/>
      </c>
    </row>
    <row r="1937" spans="9:9" x14ac:dyDescent="0.3">
      <c r="I1937" s="101" t="str">
        <f t="shared" si="32"/>
        <v/>
      </c>
    </row>
    <row r="1938" spans="9:9" x14ac:dyDescent="0.3">
      <c r="I1938" s="101" t="str">
        <f t="shared" si="32"/>
        <v/>
      </c>
    </row>
    <row r="1939" spans="9:9" x14ac:dyDescent="0.3">
      <c r="I1939" s="101" t="str">
        <f t="shared" si="32"/>
        <v/>
      </c>
    </row>
    <row r="1940" spans="9:9" x14ac:dyDescent="0.3">
      <c r="I1940" s="101" t="str">
        <f t="shared" si="32"/>
        <v/>
      </c>
    </row>
    <row r="1941" spans="9:9" x14ac:dyDescent="0.3">
      <c r="I1941" s="101" t="str">
        <f t="shared" si="32"/>
        <v/>
      </c>
    </row>
    <row r="1942" spans="9:9" x14ac:dyDescent="0.3">
      <c r="I1942" s="101" t="str">
        <f t="shared" si="32"/>
        <v/>
      </c>
    </row>
    <row r="1943" spans="9:9" x14ac:dyDescent="0.3">
      <c r="I1943" s="101" t="str">
        <f t="shared" si="32"/>
        <v/>
      </c>
    </row>
    <row r="1944" spans="9:9" x14ac:dyDescent="0.3">
      <c r="I1944" s="101" t="str">
        <f t="shared" si="32"/>
        <v/>
      </c>
    </row>
    <row r="1945" spans="9:9" x14ac:dyDescent="0.3">
      <c r="I1945" s="101" t="str">
        <f t="shared" si="32"/>
        <v/>
      </c>
    </row>
    <row r="1946" spans="9:9" x14ac:dyDescent="0.3">
      <c r="I1946" s="101" t="str">
        <f t="shared" si="32"/>
        <v/>
      </c>
    </row>
    <row r="1947" spans="9:9" x14ac:dyDescent="0.3">
      <c r="I1947" s="101" t="str">
        <f t="shared" si="32"/>
        <v/>
      </c>
    </row>
    <row r="1948" spans="9:9" x14ac:dyDescent="0.3">
      <c r="I1948" s="101" t="str">
        <f t="shared" si="32"/>
        <v/>
      </c>
    </row>
    <row r="1949" spans="9:9" x14ac:dyDescent="0.3">
      <c r="I1949" s="101" t="str">
        <f t="shared" si="32"/>
        <v/>
      </c>
    </row>
    <row r="1950" spans="9:9" x14ac:dyDescent="0.3">
      <c r="I1950" s="101" t="str">
        <f t="shared" si="32"/>
        <v/>
      </c>
    </row>
    <row r="1951" spans="9:9" x14ac:dyDescent="0.3">
      <c r="I1951" s="101" t="str">
        <f t="shared" si="32"/>
        <v/>
      </c>
    </row>
    <row r="1952" spans="9:9" x14ac:dyDescent="0.3">
      <c r="I1952" s="101" t="str">
        <f t="shared" si="32"/>
        <v/>
      </c>
    </row>
    <row r="1953" spans="9:9" x14ac:dyDescent="0.3">
      <c r="I1953" s="101" t="str">
        <f t="shared" si="32"/>
        <v/>
      </c>
    </row>
    <row r="1954" spans="9:9" x14ac:dyDescent="0.3">
      <c r="I1954" s="101" t="str">
        <f t="shared" si="32"/>
        <v/>
      </c>
    </row>
    <row r="1955" spans="9:9" x14ac:dyDescent="0.3">
      <c r="I1955" s="101" t="str">
        <f t="shared" si="32"/>
        <v/>
      </c>
    </row>
    <row r="1956" spans="9:9" x14ac:dyDescent="0.3">
      <c r="I1956" s="101" t="str">
        <f t="shared" si="32"/>
        <v/>
      </c>
    </row>
    <row r="1957" spans="9:9" x14ac:dyDescent="0.3">
      <c r="I1957" s="101" t="str">
        <f t="shared" si="32"/>
        <v/>
      </c>
    </row>
    <row r="1958" spans="9:9" x14ac:dyDescent="0.3">
      <c r="I1958" s="101" t="str">
        <f t="shared" si="32"/>
        <v/>
      </c>
    </row>
    <row r="1959" spans="9:9" x14ac:dyDescent="0.3">
      <c r="I1959" s="101" t="str">
        <f t="shared" si="32"/>
        <v/>
      </c>
    </row>
    <row r="1960" spans="9:9" x14ac:dyDescent="0.3">
      <c r="I1960" s="101" t="str">
        <f t="shared" si="32"/>
        <v/>
      </c>
    </row>
    <row r="1961" spans="9:9" x14ac:dyDescent="0.3">
      <c r="I1961" s="101" t="str">
        <f t="shared" si="32"/>
        <v/>
      </c>
    </row>
    <row r="1962" spans="9:9" x14ac:dyDescent="0.3">
      <c r="I1962" s="101" t="str">
        <f t="shared" si="32"/>
        <v/>
      </c>
    </row>
    <row r="1963" spans="9:9" x14ac:dyDescent="0.3">
      <c r="I1963" s="101" t="str">
        <f t="shared" si="32"/>
        <v/>
      </c>
    </row>
    <row r="1964" spans="9:9" x14ac:dyDescent="0.3">
      <c r="I1964" s="101" t="str">
        <f t="shared" si="32"/>
        <v/>
      </c>
    </row>
    <row r="1965" spans="9:9" x14ac:dyDescent="0.3">
      <c r="I1965" s="101" t="str">
        <f t="shared" si="32"/>
        <v/>
      </c>
    </row>
    <row r="1966" spans="9:9" x14ac:dyDescent="0.3">
      <c r="I1966" s="101" t="str">
        <f t="shared" si="32"/>
        <v/>
      </c>
    </row>
    <row r="1967" spans="9:9" x14ac:dyDescent="0.3">
      <c r="I1967" s="101" t="str">
        <f t="shared" si="32"/>
        <v/>
      </c>
    </row>
    <row r="1968" spans="9:9" x14ac:dyDescent="0.3">
      <c r="I1968" s="101" t="str">
        <f t="shared" si="32"/>
        <v/>
      </c>
    </row>
    <row r="1969" spans="9:9" x14ac:dyDescent="0.3">
      <c r="I1969" s="101" t="str">
        <f t="shared" si="32"/>
        <v/>
      </c>
    </row>
    <row r="1970" spans="9:9" x14ac:dyDescent="0.3">
      <c r="I1970" s="101" t="str">
        <f t="shared" si="32"/>
        <v/>
      </c>
    </row>
    <row r="1971" spans="9:9" x14ac:dyDescent="0.3">
      <c r="I1971" s="101" t="str">
        <f t="shared" si="32"/>
        <v/>
      </c>
    </row>
    <row r="1972" spans="9:9" x14ac:dyDescent="0.3">
      <c r="I1972" s="101" t="str">
        <f t="shared" si="32"/>
        <v/>
      </c>
    </row>
    <row r="1973" spans="9:9" x14ac:dyDescent="0.3">
      <c r="I1973" s="101" t="str">
        <f t="shared" si="32"/>
        <v/>
      </c>
    </row>
    <row r="1974" spans="9:9" x14ac:dyDescent="0.3">
      <c r="I1974" s="101" t="str">
        <f t="shared" si="32"/>
        <v/>
      </c>
    </row>
    <row r="1975" spans="9:9" x14ac:dyDescent="0.3">
      <c r="I1975" s="101" t="str">
        <f t="shared" si="32"/>
        <v/>
      </c>
    </row>
    <row r="1976" spans="9:9" x14ac:dyDescent="0.3">
      <c r="I1976" s="101" t="str">
        <f t="shared" si="32"/>
        <v/>
      </c>
    </row>
    <row r="1977" spans="9:9" x14ac:dyDescent="0.3">
      <c r="I1977" s="101" t="str">
        <f t="shared" si="32"/>
        <v/>
      </c>
    </row>
    <row r="1978" spans="9:9" x14ac:dyDescent="0.3">
      <c r="I1978" s="101" t="str">
        <f t="shared" si="32"/>
        <v/>
      </c>
    </row>
    <row r="1979" spans="9:9" x14ac:dyDescent="0.3">
      <c r="I1979" s="101" t="str">
        <f t="shared" si="32"/>
        <v/>
      </c>
    </row>
    <row r="1980" spans="9:9" x14ac:dyDescent="0.3">
      <c r="I1980" s="101" t="str">
        <f t="shared" si="32"/>
        <v/>
      </c>
    </row>
    <row r="1981" spans="9:9" x14ac:dyDescent="0.3">
      <c r="I1981" s="101" t="str">
        <f t="shared" si="32"/>
        <v/>
      </c>
    </row>
    <row r="1982" spans="9:9" x14ac:dyDescent="0.3">
      <c r="I1982" s="101" t="str">
        <f t="shared" si="32"/>
        <v/>
      </c>
    </row>
    <row r="1983" spans="9:9" x14ac:dyDescent="0.3">
      <c r="I1983" s="101" t="str">
        <f t="shared" si="32"/>
        <v/>
      </c>
    </row>
    <row r="1984" spans="9:9" x14ac:dyDescent="0.3">
      <c r="I1984" s="101" t="str">
        <f t="shared" si="32"/>
        <v/>
      </c>
    </row>
    <row r="1985" spans="9:9" x14ac:dyDescent="0.3">
      <c r="I1985" s="101" t="str">
        <f t="shared" si="32"/>
        <v/>
      </c>
    </row>
    <row r="1986" spans="9:9" x14ac:dyDescent="0.3">
      <c r="I1986" s="101" t="str">
        <f t="shared" si="32"/>
        <v/>
      </c>
    </row>
    <row r="1987" spans="9:9" x14ac:dyDescent="0.3">
      <c r="I1987" s="101" t="str">
        <f t="shared" ref="I1987:I2050" si="33">IF(OR(B1987&lt;&gt;B1986,C1987&lt;&gt;C1986),"",IF(E1986=0,"",IF(G1987="UP",(E1987-E1986)/E1986,-((E1987-E1986)/E1986))))</f>
        <v/>
      </c>
    </row>
    <row r="1988" spans="9:9" x14ac:dyDescent="0.3">
      <c r="I1988" s="101" t="str">
        <f t="shared" si="33"/>
        <v/>
      </c>
    </row>
    <row r="1989" spans="9:9" x14ac:dyDescent="0.3">
      <c r="I1989" s="101" t="str">
        <f t="shared" si="33"/>
        <v/>
      </c>
    </row>
    <row r="1990" spans="9:9" x14ac:dyDescent="0.3">
      <c r="I1990" s="101" t="str">
        <f t="shared" si="33"/>
        <v/>
      </c>
    </row>
    <row r="1991" spans="9:9" x14ac:dyDescent="0.3">
      <c r="I1991" s="101" t="str">
        <f t="shared" si="33"/>
        <v/>
      </c>
    </row>
    <row r="1992" spans="9:9" x14ac:dyDescent="0.3">
      <c r="I1992" s="101" t="str">
        <f t="shared" si="33"/>
        <v/>
      </c>
    </row>
    <row r="1993" spans="9:9" x14ac:dyDescent="0.3">
      <c r="I1993" s="101" t="str">
        <f t="shared" si="33"/>
        <v/>
      </c>
    </row>
    <row r="1994" spans="9:9" x14ac:dyDescent="0.3">
      <c r="I1994" s="101" t="str">
        <f t="shared" si="33"/>
        <v/>
      </c>
    </row>
    <row r="1995" spans="9:9" x14ac:dyDescent="0.3">
      <c r="I1995" s="101" t="str">
        <f t="shared" si="33"/>
        <v/>
      </c>
    </row>
    <row r="1996" spans="9:9" x14ac:dyDescent="0.3">
      <c r="I1996" s="101" t="str">
        <f t="shared" si="33"/>
        <v/>
      </c>
    </row>
    <row r="1997" spans="9:9" x14ac:dyDescent="0.3">
      <c r="I1997" s="101" t="str">
        <f t="shared" si="33"/>
        <v/>
      </c>
    </row>
    <row r="1998" spans="9:9" x14ac:dyDescent="0.3">
      <c r="I1998" s="101" t="str">
        <f t="shared" si="33"/>
        <v/>
      </c>
    </row>
    <row r="1999" spans="9:9" x14ac:dyDescent="0.3">
      <c r="I1999" s="101" t="str">
        <f t="shared" si="33"/>
        <v/>
      </c>
    </row>
    <row r="2000" spans="9:9" x14ac:dyDescent="0.3">
      <c r="I2000" s="101" t="str">
        <f t="shared" si="33"/>
        <v/>
      </c>
    </row>
    <row r="2001" spans="9:9" x14ac:dyDescent="0.3">
      <c r="I2001" s="101" t="str">
        <f t="shared" si="33"/>
        <v/>
      </c>
    </row>
    <row r="2002" spans="9:9" x14ac:dyDescent="0.3">
      <c r="I2002" s="101" t="str">
        <f t="shared" si="33"/>
        <v/>
      </c>
    </row>
    <row r="2003" spans="9:9" x14ac:dyDescent="0.3">
      <c r="I2003" s="101" t="str">
        <f t="shared" si="33"/>
        <v/>
      </c>
    </row>
    <row r="2004" spans="9:9" x14ac:dyDescent="0.3">
      <c r="I2004" s="101" t="str">
        <f t="shared" si="33"/>
        <v/>
      </c>
    </row>
    <row r="2005" spans="9:9" x14ac:dyDescent="0.3">
      <c r="I2005" s="101" t="str">
        <f t="shared" si="33"/>
        <v/>
      </c>
    </row>
    <row r="2006" spans="9:9" x14ac:dyDescent="0.3">
      <c r="I2006" s="101" t="str">
        <f t="shared" si="33"/>
        <v/>
      </c>
    </row>
    <row r="2007" spans="9:9" x14ac:dyDescent="0.3">
      <c r="I2007" s="101" t="str">
        <f t="shared" si="33"/>
        <v/>
      </c>
    </row>
    <row r="2008" spans="9:9" x14ac:dyDescent="0.3">
      <c r="I2008" s="101" t="str">
        <f t="shared" si="33"/>
        <v/>
      </c>
    </row>
    <row r="2009" spans="9:9" x14ac:dyDescent="0.3">
      <c r="I2009" s="101" t="str">
        <f t="shared" si="33"/>
        <v/>
      </c>
    </row>
    <row r="2010" spans="9:9" x14ac:dyDescent="0.3">
      <c r="I2010" s="101" t="str">
        <f t="shared" si="33"/>
        <v/>
      </c>
    </row>
    <row r="2011" spans="9:9" x14ac:dyDescent="0.3">
      <c r="I2011" s="101" t="str">
        <f t="shared" si="33"/>
        <v/>
      </c>
    </row>
    <row r="2012" spans="9:9" x14ac:dyDescent="0.3">
      <c r="I2012" s="101" t="str">
        <f t="shared" si="33"/>
        <v/>
      </c>
    </row>
    <row r="2013" spans="9:9" x14ac:dyDescent="0.3">
      <c r="I2013" s="101" t="str">
        <f t="shared" si="33"/>
        <v/>
      </c>
    </row>
    <row r="2014" spans="9:9" x14ac:dyDescent="0.3">
      <c r="I2014" s="101" t="str">
        <f t="shared" si="33"/>
        <v/>
      </c>
    </row>
    <row r="2015" spans="9:9" x14ac:dyDescent="0.3">
      <c r="I2015" s="101" t="str">
        <f t="shared" si="33"/>
        <v/>
      </c>
    </row>
    <row r="2016" spans="9:9" x14ac:dyDescent="0.3">
      <c r="I2016" s="101" t="str">
        <f t="shared" si="33"/>
        <v/>
      </c>
    </row>
    <row r="2017" spans="9:9" x14ac:dyDescent="0.3">
      <c r="I2017" s="101" t="str">
        <f t="shared" si="33"/>
        <v/>
      </c>
    </row>
    <row r="2018" spans="9:9" x14ac:dyDescent="0.3">
      <c r="I2018" s="101" t="str">
        <f t="shared" si="33"/>
        <v/>
      </c>
    </row>
    <row r="2019" spans="9:9" x14ac:dyDescent="0.3">
      <c r="I2019" s="101" t="str">
        <f t="shared" si="33"/>
        <v/>
      </c>
    </row>
    <row r="2020" spans="9:9" x14ac:dyDescent="0.3">
      <c r="I2020" s="101" t="str">
        <f t="shared" si="33"/>
        <v/>
      </c>
    </row>
    <row r="2021" spans="9:9" x14ac:dyDescent="0.3">
      <c r="I2021" s="101" t="str">
        <f t="shared" si="33"/>
        <v/>
      </c>
    </row>
    <row r="2022" spans="9:9" x14ac:dyDescent="0.3">
      <c r="I2022" s="101" t="str">
        <f t="shared" si="33"/>
        <v/>
      </c>
    </row>
    <row r="2023" spans="9:9" x14ac:dyDescent="0.3">
      <c r="I2023" s="101" t="str">
        <f t="shared" si="33"/>
        <v/>
      </c>
    </row>
    <row r="2024" spans="9:9" x14ac:dyDescent="0.3">
      <c r="I2024" s="101" t="str">
        <f t="shared" si="33"/>
        <v/>
      </c>
    </row>
    <row r="2025" spans="9:9" x14ac:dyDescent="0.3">
      <c r="I2025" s="101" t="str">
        <f t="shared" si="33"/>
        <v/>
      </c>
    </row>
    <row r="2026" spans="9:9" x14ac:dyDescent="0.3">
      <c r="I2026" s="101" t="str">
        <f t="shared" si="33"/>
        <v/>
      </c>
    </row>
    <row r="2027" spans="9:9" x14ac:dyDescent="0.3">
      <c r="I2027" s="101" t="str">
        <f t="shared" si="33"/>
        <v/>
      </c>
    </row>
    <row r="2028" spans="9:9" x14ac:dyDescent="0.3">
      <c r="I2028" s="101" t="str">
        <f t="shared" si="33"/>
        <v/>
      </c>
    </row>
    <row r="2029" spans="9:9" x14ac:dyDescent="0.3">
      <c r="I2029" s="101" t="str">
        <f t="shared" si="33"/>
        <v/>
      </c>
    </row>
    <row r="2030" spans="9:9" x14ac:dyDescent="0.3">
      <c r="I2030" s="101" t="str">
        <f t="shared" si="33"/>
        <v/>
      </c>
    </row>
    <row r="2031" spans="9:9" x14ac:dyDescent="0.3">
      <c r="I2031" s="101" t="str">
        <f t="shared" si="33"/>
        <v/>
      </c>
    </row>
    <row r="2032" spans="9:9" x14ac:dyDescent="0.3">
      <c r="I2032" s="101" t="str">
        <f t="shared" si="33"/>
        <v/>
      </c>
    </row>
    <row r="2033" spans="9:9" x14ac:dyDescent="0.3">
      <c r="I2033" s="101" t="str">
        <f t="shared" si="33"/>
        <v/>
      </c>
    </row>
    <row r="2034" spans="9:9" x14ac:dyDescent="0.3">
      <c r="I2034" s="101" t="str">
        <f t="shared" si="33"/>
        <v/>
      </c>
    </row>
    <row r="2035" spans="9:9" x14ac:dyDescent="0.3">
      <c r="I2035" s="101" t="str">
        <f t="shared" si="33"/>
        <v/>
      </c>
    </row>
    <row r="2036" spans="9:9" x14ac:dyDescent="0.3">
      <c r="I2036" s="101" t="str">
        <f t="shared" si="33"/>
        <v/>
      </c>
    </row>
    <row r="2037" spans="9:9" x14ac:dyDescent="0.3">
      <c r="I2037" s="101" t="str">
        <f t="shared" si="33"/>
        <v/>
      </c>
    </row>
    <row r="2038" spans="9:9" x14ac:dyDescent="0.3">
      <c r="I2038" s="101" t="str">
        <f t="shared" si="33"/>
        <v/>
      </c>
    </row>
    <row r="2039" spans="9:9" x14ac:dyDescent="0.3">
      <c r="I2039" s="101" t="str">
        <f t="shared" si="33"/>
        <v/>
      </c>
    </row>
    <row r="2040" spans="9:9" x14ac:dyDescent="0.3">
      <c r="I2040" s="101" t="str">
        <f t="shared" si="33"/>
        <v/>
      </c>
    </row>
    <row r="2041" spans="9:9" x14ac:dyDescent="0.3">
      <c r="I2041" s="101" t="str">
        <f t="shared" si="33"/>
        <v/>
      </c>
    </row>
    <row r="2042" spans="9:9" x14ac:dyDescent="0.3">
      <c r="I2042" s="101" t="str">
        <f t="shared" si="33"/>
        <v/>
      </c>
    </row>
    <row r="2043" spans="9:9" x14ac:dyDescent="0.3">
      <c r="I2043" s="101" t="str">
        <f t="shared" si="33"/>
        <v/>
      </c>
    </row>
    <row r="2044" spans="9:9" x14ac:dyDescent="0.3">
      <c r="I2044" s="101" t="str">
        <f t="shared" si="33"/>
        <v/>
      </c>
    </row>
    <row r="2045" spans="9:9" x14ac:dyDescent="0.3">
      <c r="I2045" s="101" t="str">
        <f t="shared" si="33"/>
        <v/>
      </c>
    </row>
    <row r="2046" spans="9:9" x14ac:dyDescent="0.3">
      <c r="I2046" s="101" t="str">
        <f t="shared" si="33"/>
        <v/>
      </c>
    </row>
    <row r="2047" spans="9:9" x14ac:dyDescent="0.3">
      <c r="I2047" s="101" t="str">
        <f t="shared" si="33"/>
        <v/>
      </c>
    </row>
    <row r="2048" spans="9:9" x14ac:dyDescent="0.3">
      <c r="I2048" s="101" t="str">
        <f t="shared" si="33"/>
        <v/>
      </c>
    </row>
    <row r="2049" spans="9:9" x14ac:dyDescent="0.3">
      <c r="I2049" s="101" t="str">
        <f t="shared" si="33"/>
        <v/>
      </c>
    </row>
    <row r="2050" spans="9:9" x14ac:dyDescent="0.3">
      <c r="I2050" s="101" t="str">
        <f t="shared" si="33"/>
        <v/>
      </c>
    </row>
    <row r="2051" spans="9:9" x14ac:dyDescent="0.3">
      <c r="I2051" s="101" t="str">
        <f t="shared" ref="I2051:I2114" si="34">IF(OR(B2051&lt;&gt;B2050,C2051&lt;&gt;C2050),"",IF(E2050=0,"",IF(G2051="UP",(E2051-E2050)/E2050,-((E2051-E2050)/E2050))))</f>
        <v/>
      </c>
    </row>
    <row r="2052" spans="9:9" x14ac:dyDescent="0.3">
      <c r="I2052" s="101" t="str">
        <f t="shared" si="34"/>
        <v/>
      </c>
    </row>
    <row r="2053" spans="9:9" x14ac:dyDescent="0.3">
      <c r="I2053" s="101" t="str">
        <f t="shared" si="34"/>
        <v/>
      </c>
    </row>
    <row r="2054" spans="9:9" x14ac:dyDescent="0.3">
      <c r="I2054" s="101" t="str">
        <f t="shared" si="34"/>
        <v/>
      </c>
    </row>
    <row r="2055" spans="9:9" x14ac:dyDescent="0.3">
      <c r="I2055" s="101" t="str">
        <f t="shared" si="34"/>
        <v/>
      </c>
    </row>
    <row r="2056" spans="9:9" x14ac:dyDescent="0.3">
      <c r="I2056" s="101" t="str">
        <f t="shared" si="34"/>
        <v/>
      </c>
    </row>
    <row r="2057" spans="9:9" x14ac:dyDescent="0.3">
      <c r="I2057" s="101" t="str">
        <f t="shared" si="34"/>
        <v/>
      </c>
    </row>
    <row r="2058" spans="9:9" x14ac:dyDescent="0.3">
      <c r="I2058" s="101" t="str">
        <f t="shared" si="34"/>
        <v/>
      </c>
    </row>
    <row r="2059" spans="9:9" x14ac:dyDescent="0.3">
      <c r="I2059" s="101" t="str">
        <f t="shared" si="34"/>
        <v/>
      </c>
    </row>
    <row r="2060" spans="9:9" x14ac:dyDescent="0.3">
      <c r="I2060" s="101" t="str">
        <f t="shared" si="34"/>
        <v/>
      </c>
    </row>
    <row r="2061" spans="9:9" x14ac:dyDescent="0.3">
      <c r="I2061" s="101" t="str">
        <f t="shared" si="34"/>
        <v/>
      </c>
    </row>
    <row r="2062" spans="9:9" x14ac:dyDescent="0.3">
      <c r="I2062" s="101" t="str">
        <f t="shared" si="34"/>
        <v/>
      </c>
    </row>
    <row r="2063" spans="9:9" x14ac:dyDescent="0.3">
      <c r="I2063" s="101" t="str">
        <f t="shared" si="34"/>
        <v/>
      </c>
    </row>
    <row r="2064" spans="9:9" x14ac:dyDescent="0.3">
      <c r="I2064" s="101" t="str">
        <f t="shared" si="34"/>
        <v/>
      </c>
    </row>
    <row r="2065" spans="9:9" x14ac:dyDescent="0.3">
      <c r="I2065" s="101" t="str">
        <f t="shared" si="34"/>
        <v/>
      </c>
    </row>
    <row r="2066" spans="9:9" x14ac:dyDescent="0.3">
      <c r="I2066" s="101" t="str">
        <f t="shared" si="34"/>
        <v/>
      </c>
    </row>
    <row r="2067" spans="9:9" x14ac:dyDescent="0.3">
      <c r="I2067" s="101" t="str">
        <f t="shared" si="34"/>
        <v/>
      </c>
    </row>
    <row r="2068" spans="9:9" x14ac:dyDescent="0.3">
      <c r="I2068" s="101" t="str">
        <f t="shared" si="34"/>
        <v/>
      </c>
    </row>
    <row r="2069" spans="9:9" x14ac:dyDescent="0.3">
      <c r="I2069" s="101" t="str">
        <f t="shared" si="34"/>
        <v/>
      </c>
    </row>
    <row r="2070" spans="9:9" x14ac:dyDescent="0.3">
      <c r="I2070" s="101" t="str">
        <f t="shared" si="34"/>
        <v/>
      </c>
    </row>
    <row r="2071" spans="9:9" x14ac:dyDescent="0.3">
      <c r="I2071" s="101" t="str">
        <f t="shared" si="34"/>
        <v/>
      </c>
    </row>
    <row r="2072" spans="9:9" x14ac:dyDescent="0.3">
      <c r="I2072" s="101" t="str">
        <f t="shared" si="34"/>
        <v/>
      </c>
    </row>
    <row r="2073" spans="9:9" x14ac:dyDescent="0.3">
      <c r="I2073" s="101" t="str">
        <f t="shared" si="34"/>
        <v/>
      </c>
    </row>
    <row r="2074" spans="9:9" x14ac:dyDescent="0.3">
      <c r="I2074" s="101" t="str">
        <f t="shared" si="34"/>
        <v/>
      </c>
    </row>
    <row r="2075" spans="9:9" x14ac:dyDescent="0.3">
      <c r="I2075" s="101" t="str">
        <f t="shared" si="34"/>
        <v/>
      </c>
    </row>
    <row r="2076" spans="9:9" x14ac:dyDescent="0.3">
      <c r="I2076" s="101" t="str">
        <f t="shared" si="34"/>
        <v/>
      </c>
    </row>
    <row r="2077" spans="9:9" x14ac:dyDescent="0.3">
      <c r="I2077" s="101" t="str">
        <f t="shared" si="34"/>
        <v/>
      </c>
    </row>
    <row r="2078" spans="9:9" x14ac:dyDescent="0.3">
      <c r="I2078" s="101" t="str">
        <f t="shared" si="34"/>
        <v/>
      </c>
    </row>
    <row r="2079" spans="9:9" x14ac:dyDescent="0.3">
      <c r="I2079" s="101" t="str">
        <f t="shared" si="34"/>
        <v/>
      </c>
    </row>
    <row r="2080" spans="9:9" x14ac:dyDescent="0.3">
      <c r="I2080" s="101" t="str">
        <f t="shared" si="34"/>
        <v/>
      </c>
    </row>
    <row r="2081" spans="9:9" x14ac:dyDescent="0.3">
      <c r="I2081" s="101" t="str">
        <f t="shared" si="34"/>
        <v/>
      </c>
    </row>
    <row r="2082" spans="9:9" x14ac:dyDescent="0.3">
      <c r="I2082" s="101" t="str">
        <f t="shared" si="34"/>
        <v/>
      </c>
    </row>
    <row r="2083" spans="9:9" x14ac:dyDescent="0.3">
      <c r="I2083" s="101" t="str">
        <f t="shared" si="34"/>
        <v/>
      </c>
    </row>
    <row r="2084" spans="9:9" x14ac:dyDescent="0.3">
      <c r="I2084" s="101" t="str">
        <f t="shared" si="34"/>
        <v/>
      </c>
    </row>
    <row r="2085" spans="9:9" x14ac:dyDescent="0.3">
      <c r="I2085" s="101" t="str">
        <f t="shared" si="34"/>
        <v/>
      </c>
    </row>
    <row r="2086" spans="9:9" x14ac:dyDescent="0.3">
      <c r="I2086" s="101" t="str">
        <f t="shared" si="34"/>
        <v/>
      </c>
    </row>
    <row r="2087" spans="9:9" x14ac:dyDescent="0.3">
      <c r="I2087" s="101" t="str">
        <f t="shared" si="34"/>
        <v/>
      </c>
    </row>
    <row r="2088" spans="9:9" x14ac:dyDescent="0.3">
      <c r="I2088" s="101" t="str">
        <f t="shared" si="34"/>
        <v/>
      </c>
    </row>
    <row r="2089" spans="9:9" x14ac:dyDescent="0.3">
      <c r="I2089" s="101" t="str">
        <f t="shared" si="34"/>
        <v/>
      </c>
    </row>
    <row r="2090" spans="9:9" x14ac:dyDescent="0.3">
      <c r="I2090" s="101" t="str">
        <f t="shared" si="34"/>
        <v/>
      </c>
    </row>
    <row r="2091" spans="9:9" x14ac:dyDescent="0.3">
      <c r="I2091" s="101" t="str">
        <f t="shared" si="34"/>
        <v/>
      </c>
    </row>
    <row r="2092" spans="9:9" x14ac:dyDescent="0.3">
      <c r="I2092" s="101" t="str">
        <f t="shared" si="34"/>
        <v/>
      </c>
    </row>
    <row r="2093" spans="9:9" x14ac:dyDescent="0.3">
      <c r="I2093" s="101" t="str">
        <f t="shared" si="34"/>
        <v/>
      </c>
    </row>
    <row r="2094" spans="9:9" x14ac:dyDescent="0.3">
      <c r="I2094" s="101" t="str">
        <f t="shared" si="34"/>
        <v/>
      </c>
    </row>
    <row r="2095" spans="9:9" x14ac:dyDescent="0.3">
      <c r="I2095" s="101" t="str">
        <f t="shared" si="34"/>
        <v/>
      </c>
    </row>
    <row r="2096" spans="9:9" x14ac:dyDescent="0.3">
      <c r="I2096" s="101" t="str">
        <f t="shared" si="34"/>
        <v/>
      </c>
    </row>
    <row r="2097" spans="9:9" x14ac:dyDescent="0.3">
      <c r="I2097" s="101" t="str">
        <f t="shared" si="34"/>
        <v/>
      </c>
    </row>
    <row r="2098" spans="9:9" x14ac:dyDescent="0.3">
      <c r="I2098" s="101" t="str">
        <f t="shared" si="34"/>
        <v/>
      </c>
    </row>
    <row r="2099" spans="9:9" x14ac:dyDescent="0.3">
      <c r="I2099" s="101" t="str">
        <f t="shared" si="34"/>
        <v/>
      </c>
    </row>
    <row r="2100" spans="9:9" x14ac:dyDescent="0.3">
      <c r="I2100" s="101" t="str">
        <f t="shared" si="34"/>
        <v/>
      </c>
    </row>
    <row r="2101" spans="9:9" x14ac:dyDescent="0.3">
      <c r="I2101" s="101" t="str">
        <f t="shared" si="34"/>
        <v/>
      </c>
    </row>
    <row r="2102" spans="9:9" x14ac:dyDescent="0.3">
      <c r="I2102" s="101" t="str">
        <f t="shared" si="34"/>
        <v/>
      </c>
    </row>
    <row r="2103" spans="9:9" x14ac:dyDescent="0.3">
      <c r="I2103" s="101" t="str">
        <f t="shared" si="34"/>
        <v/>
      </c>
    </row>
    <row r="2104" spans="9:9" x14ac:dyDescent="0.3">
      <c r="I2104" s="101" t="str">
        <f t="shared" si="34"/>
        <v/>
      </c>
    </row>
    <row r="2105" spans="9:9" x14ac:dyDescent="0.3">
      <c r="I2105" s="101" t="str">
        <f t="shared" si="34"/>
        <v/>
      </c>
    </row>
    <row r="2106" spans="9:9" x14ac:dyDescent="0.3">
      <c r="I2106" s="101" t="str">
        <f t="shared" si="34"/>
        <v/>
      </c>
    </row>
    <row r="2107" spans="9:9" x14ac:dyDescent="0.3">
      <c r="I2107" s="101" t="str">
        <f t="shared" si="34"/>
        <v/>
      </c>
    </row>
    <row r="2108" spans="9:9" x14ac:dyDescent="0.3">
      <c r="I2108" s="101" t="str">
        <f t="shared" si="34"/>
        <v/>
      </c>
    </row>
    <row r="2109" spans="9:9" x14ac:dyDescent="0.3">
      <c r="I2109" s="101" t="str">
        <f t="shared" si="34"/>
        <v/>
      </c>
    </row>
    <row r="2110" spans="9:9" x14ac:dyDescent="0.3">
      <c r="I2110" s="101" t="str">
        <f t="shared" si="34"/>
        <v/>
      </c>
    </row>
    <row r="2111" spans="9:9" x14ac:dyDescent="0.3">
      <c r="I2111" s="101" t="str">
        <f t="shared" si="34"/>
        <v/>
      </c>
    </row>
    <row r="2112" spans="9:9" x14ac:dyDescent="0.3">
      <c r="I2112" s="101" t="str">
        <f t="shared" si="34"/>
        <v/>
      </c>
    </row>
    <row r="2113" spans="9:9" x14ac:dyDescent="0.3">
      <c r="I2113" s="101" t="str">
        <f t="shared" si="34"/>
        <v/>
      </c>
    </row>
    <row r="2114" spans="9:9" x14ac:dyDescent="0.3">
      <c r="I2114" s="101" t="str">
        <f t="shared" si="34"/>
        <v/>
      </c>
    </row>
    <row r="2115" spans="9:9" x14ac:dyDescent="0.3">
      <c r="I2115" s="101" t="str">
        <f t="shared" ref="I2115:I2178" si="35">IF(OR(B2115&lt;&gt;B2114,C2115&lt;&gt;C2114),"",IF(E2114=0,"",IF(G2115="UP",(E2115-E2114)/E2114,-((E2115-E2114)/E2114))))</f>
        <v/>
      </c>
    </row>
    <row r="2116" spans="9:9" x14ac:dyDescent="0.3">
      <c r="I2116" s="101" t="str">
        <f t="shared" si="35"/>
        <v/>
      </c>
    </row>
    <row r="2117" spans="9:9" x14ac:dyDescent="0.3">
      <c r="I2117" s="101" t="str">
        <f t="shared" si="35"/>
        <v/>
      </c>
    </row>
    <row r="2118" spans="9:9" x14ac:dyDescent="0.3">
      <c r="I2118" s="101" t="str">
        <f t="shared" si="35"/>
        <v/>
      </c>
    </row>
    <row r="2119" spans="9:9" x14ac:dyDescent="0.3">
      <c r="I2119" s="101" t="str">
        <f t="shared" si="35"/>
        <v/>
      </c>
    </row>
    <row r="2120" spans="9:9" x14ac:dyDescent="0.3">
      <c r="I2120" s="101" t="str">
        <f t="shared" si="35"/>
        <v/>
      </c>
    </row>
    <row r="2121" spans="9:9" x14ac:dyDescent="0.3">
      <c r="I2121" s="101" t="str">
        <f t="shared" si="35"/>
        <v/>
      </c>
    </row>
    <row r="2122" spans="9:9" x14ac:dyDescent="0.3">
      <c r="I2122" s="101" t="str">
        <f t="shared" si="35"/>
        <v/>
      </c>
    </row>
    <row r="2123" spans="9:9" x14ac:dyDescent="0.3">
      <c r="I2123" s="101" t="str">
        <f t="shared" si="35"/>
        <v/>
      </c>
    </row>
    <row r="2124" spans="9:9" x14ac:dyDescent="0.3">
      <c r="I2124" s="101" t="str">
        <f t="shared" si="35"/>
        <v/>
      </c>
    </row>
    <row r="2125" spans="9:9" x14ac:dyDescent="0.3">
      <c r="I2125" s="101" t="str">
        <f t="shared" si="35"/>
        <v/>
      </c>
    </row>
    <row r="2126" spans="9:9" x14ac:dyDescent="0.3">
      <c r="I2126" s="101" t="str">
        <f t="shared" si="35"/>
        <v/>
      </c>
    </row>
    <row r="2127" spans="9:9" x14ac:dyDescent="0.3">
      <c r="I2127" s="101" t="str">
        <f t="shared" si="35"/>
        <v/>
      </c>
    </row>
    <row r="2128" spans="9:9" x14ac:dyDescent="0.3">
      <c r="I2128" s="101" t="str">
        <f t="shared" si="35"/>
        <v/>
      </c>
    </row>
    <row r="2129" spans="9:9" x14ac:dyDescent="0.3">
      <c r="I2129" s="101" t="str">
        <f t="shared" si="35"/>
        <v/>
      </c>
    </row>
    <row r="2130" spans="9:9" x14ac:dyDescent="0.3">
      <c r="I2130" s="101" t="str">
        <f t="shared" si="35"/>
        <v/>
      </c>
    </row>
    <row r="2131" spans="9:9" x14ac:dyDescent="0.3">
      <c r="I2131" s="101" t="str">
        <f t="shared" si="35"/>
        <v/>
      </c>
    </row>
    <row r="2132" spans="9:9" x14ac:dyDescent="0.3">
      <c r="I2132" s="101" t="str">
        <f t="shared" si="35"/>
        <v/>
      </c>
    </row>
    <row r="2133" spans="9:9" x14ac:dyDescent="0.3">
      <c r="I2133" s="101" t="str">
        <f t="shared" si="35"/>
        <v/>
      </c>
    </row>
    <row r="2134" spans="9:9" x14ac:dyDescent="0.3">
      <c r="I2134" s="101" t="str">
        <f t="shared" si="35"/>
        <v/>
      </c>
    </row>
    <row r="2135" spans="9:9" x14ac:dyDescent="0.3">
      <c r="I2135" s="101" t="str">
        <f t="shared" si="35"/>
        <v/>
      </c>
    </row>
    <row r="2136" spans="9:9" x14ac:dyDescent="0.3">
      <c r="I2136" s="101" t="str">
        <f t="shared" si="35"/>
        <v/>
      </c>
    </row>
    <row r="2137" spans="9:9" x14ac:dyDescent="0.3">
      <c r="I2137" s="101" t="str">
        <f t="shared" si="35"/>
        <v/>
      </c>
    </row>
    <row r="2138" spans="9:9" x14ac:dyDescent="0.3">
      <c r="I2138" s="101" t="str">
        <f t="shared" si="35"/>
        <v/>
      </c>
    </row>
    <row r="2139" spans="9:9" x14ac:dyDescent="0.3">
      <c r="I2139" s="101" t="str">
        <f t="shared" si="35"/>
        <v/>
      </c>
    </row>
    <row r="2140" spans="9:9" x14ac:dyDescent="0.3">
      <c r="I2140" s="101" t="str">
        <f t="shared" si="35"/>
        <v/>
      </c>
    </row>
    <row r="2141" spans="9:9" x14ac:dyDescent="0.3">
      <c r="I2141" s="101" t="str">
        <f t="shared" si="35"/>
        <v/>
      </c>
    </row>
    <row r="2142" spans="9:9" x14ac:dyDescent="0.3">
      <c r="I2142" s="101" t="str">
        <f t="shared" si="35"/>
        <v/>
      </c>
    </row>
    <row r="2143" spans="9:9" x14ac:dyDescent="0.3">
      <c r="I2143" s="101" t="str">
        <f t="shared" si="35"/>
        <v/>
      </c>
    </row>
    <row r="2144" spans="9:9" x14ac:dyDescent="0.3">
      <c r="I2144" s="101" t="str">
        <f t="shared" si="35"/>
        <v/>
      </c>
    </row>
    <row r="2145" spans="9:9" x14ac:dyDescent="0.3">
      <c r="I2145" s="101" t="str">
        <f t="shared" si="35"/>
        <v/>
      </c>
    </row>
    <row r="2146" spans="9:9" x14ac:dyDescent="0.3">
      <c r="I2146" s="101" t="str">
        <f t="shared" si="35"/>
        <v/>
      </c>
    </row>
    <row r="2147" spans="9:9" x14ac:dyDescent="0.3">
      <c r="I2147" s="101" t="str">
        <f t="shared" si="35"/>
        <v/>
      </c>
    </row>
    <row r="2148" spans="9:9" x14ac:dyDescent="0.3">
      <c r="I2148" s="101" t="str">
        <f t="shared" si="35"/>
        <v/>
      </c>
    </row>
    <row r="2149" spans="9:9" x14ac:dyDescent="0.3">
      <c r="I2149" s="101" t="str">
        <f t="shared" si="35"/>
        <v/>
      </c>
    </row>
    <row r="2150" spans="9:9" x14ac:dyDescent="0.3">
      <c r="I2150" s="101" t="str">
        <f t="shared" si="35"/>
        <v/>
      </c>
    </row>
    <row r="2151" spans="9:9" x14ac:dyDescent="0.3">
      <c r="I2151" s="101" t="str">
        <f t="shared" si="35"/>
        <v/>
      </c>
    </row>
    <row r="2152" spans="9:9" x14ac:dyDescent="0.3">
      <c r="I2152" s="101" t="str">
        <f t="shared" si="35"/>
        <v/>
      </c>
    </row>
    <row r="2153" spans="9:9" x14ac:dyDescent="0.3">
      <c r="I2153" s="101" t="str">
        <f t="shared" si="35"/>
        <v/>
      </c>
    </row>
    <row r="2154" spans="9:9" x14ac:dyDescent="0.3">
      <c r="I2154" s="101" t="str">
        <f t="shared" si="35"/>
        <v/>
      </c>
    </row>
    <row r="2155" spans="9:9" x14ac:dyDescent="0.3">
      <c r="I2155" s="101" t="str">
        <f t="shared" si="35"/>
        <v/>
      </c>
    </row>
    <row r="2156" spans="9:9" x14ac:dyDescent="0.3">
      <c r="I2156" s="101" t="str">
        <f t="shared" si="35"/>
        <v/>
      </c>
    </row>
    <row r="2157" spans="9:9" x14ac:dyDescent="0.3">
      <c r="I2157" s="101" t="str">
        <f t="shared" si="35"/>
        <v/>
      </c>
    </row>
    <row r="2158" spans="9:9" x14ac:dyDescent="0.3">
      <c r="I2158" s="101" t="str">
        <f t="shared" si="35"/>
        <v/>
      </c>
    </row>
    <row r="2159" spans="9:9" x14ac:dyDescent="0.3">
      <c r="I2159" s="101" t="str">
        <f t="shared" si="35"/>
        <v/>
      </c>
    </row>
    <row r="2160" spans="9:9" x14ac:dyDescent="0.3">
      <c r="I2160" s="101" t="str">
        <f t="shared" si="35"/>
        <v/>
      </c>
    </row>
    <row r="2161" spans="9:9" x14ac:dyDescent="0.3">
      <c r="I2161" s="101" t="str">
        <f t="shared" si="35"/>
        <v/>
      </c>
    </row>
    <row r="2162" spans="9:9" x14ac:dyDescent="0.3">
      <c r="I2162" s="101" t="str">
        <f t="shared" si="35"/>
        <v/>
      </c>
    </row>
    <row r="2163" spans="9:9" x14ac:dyDescent="0.3">
      <c r="I2163" s="101" t="str">
        <f t="shared" si="35"/>
        <v/>
      </c>
    </row>
    <row r="2164" spans="9:9" x14ac:dyDescent="0.3">
      <c r="I2164" s="101" t="str">
        <f t="shared" si="35"/>
        <v/>
      </c>
    </row>
    <row r="2165" spans="9:9" x14ac:dyDescent="0.3">
      <c r="I2165" s="101" t="str">
        <f t="shared" si="35"/>
        <v/>
      </c>
    </row>
    <row r="2166" spans="9:9" x14ac:dyDescent="0.3">
      <c r="I2166" s="101" t="str">
        <f t="shared" si="35"/>
        <v/>
      </c>
    </row>
    <row r="2167" spans="9:9" x14ac:dyDescent="0.3">
      <c r="I2167" s="101" t="str">
        <f t="shared" si="35"/>
        <v/>
      </c>
    </row>
    <row r="2168" spans="9:9" x14ac:dyDescent="0.3">
      <c r="I2168" s="101" t="str">
        <f t="shared" si="35"/>
        <v/>
      </c>
    </row>
    <row r="2169" spans="9:9" x14ac:dyDescent="0.3">
      <c r="I2169" s="101" t="str">
        <f t="shared" si="35"/>
        <v/>
      </c>
    </row>
    <row r="2170" spans="9:9" x14ac:dyDescent="0.3">
      <c r="I2170" s="101" t="str">
        <f t="shared" si="35"/>
        <v/>
      </c>
    </row>
    <row r="2171" spans="9:9" x14ac:dyDescent="0.3">
      <c r="I2171" s="101" t="str">
        <f t="shared" si="35"/>
        <v/>
      </c>
    </row>
    <row r="2172" spans="9:9" x14ac:dyDescent="0.3">
      <c r="I2172" s="101" t="str">
        <f t="shared" si="35"/>
        <v/>
      </c>
    </row>
    <row r="2173" spans="9:9" x14ac:dyDescent="0.3">
      <c r="I2173" s="101" t="str">
        <f t="shared" si="35"/>
        <v/>
      </c>
    </row>
    <row r="2174" spans="9:9" x14ac:dyDescent="0.3">
      <c r="I2174" s="101" t="str">
        <f t="shared" si="35"/>
        <v/>
      </c>
    </row>
    <row r="2175" spans="9:9" x14ac:dyDescent="0.3">
      <c r="I2175" s="101" t="str">
        <f t="shared" si="35"/>
        <v/>
      </c>
    </row>
    <row r="2176" spans="9:9" x14ac:dyDescent="0.3">
      <c r="I2176" s="101" t="str">
        <f t="shared" si="35"/>
        <v/>
      </c>
    </row>
    <row r="2177" spans="9:9" x14ac:dyDescent="0.3">
      <c r="I2177" s="101" t="str">
        <f t="shared" si="35"/>
        <v/>
      </c>
    </row>
    <row r="2178" spans="9:9" x14ac:dyDescent="0.3">
      <c r="I2178" s="101" t="str">
        <f t="shared" si="35"/>
        <v/>
      </c>
    </row>
    <row r="2179" spans="9:9" x14ac:dyDescent="0.3">
      <c r="I2179" s="101" t="str">
        <f t="shared" ref="I2179:I2242" si="36">IF(OR(B2179&lt;&gt;B2178,C2179&lt;&gt;C2178),"",IF(E2178=0,"",IF(G2179="UP",(E2179-E2178)/E2178,-((E2179-E2178)/E2178))))</f>
        <v/>
      </c>
    </row>
    <row r="2180" spans="9:9" x14ac:dyDescent="0.3">
      <c r="I2180" s="101" t="str">
        <f t="shared" si="36"/>
        <v/>
      </c>
    </row>
    <row r="2181" spans="9:9" x14ac:dyDescent="0.3">
      <c r="I2181" s="101" t="str">
        <f t="shared" si="36"/>
        <v/>
      </c>
    </row>
    <row r="2182" spans="9:9" x14ac:dyDescent="0.3">
      <c r="I2182" s="101" t="str">
        <f t="shared" si="36"/>
        <v/>
      </c>
    </row>
    <row r="2183" spans="9:9" x14ac:dyDescent="0.3">
      <c r="I2183" s="101" t="str">
        <f t="shared" si="36"/>
        <v/>
      </c>
    </row>
    <row r="2184" spans="9:9" x14ac:dyDescent="0.3">
      <c r="I2184" s="101" t="str">
        <f t="shared" si="36"/>
        <v/>
      </c>
    </row>
    <row r="2185" spans="9:9" x14ac:dyDescent="0.3">
      <c r="I2185" s="101" t="str">
        <f t="shared" si="36"/>
        <v/>
      </c>
    </row>
    <row r="2186" spans="9:9" x14ac:dyDescent="0.3">
      <c r="I2186" s="101" t="str">
        <f t="shared" si="36"/>
        <v/>
      </c>
    </row>
    <row r="2187" spans="9:9" x14ac:dyDescent="0.3">
      <c r="I2187" s="101" t="str">
        <f t="shared" si="36"/>
        <v/>
      </c>
    </row>
    <row r="2188" spans="9:9" x14ac:dyDescent="0.3">
      <c r="I2188" s="101" t="str">
        <f t="shared" si="36"/>
        <v/>
      </c>
    </row>
    <row r="2189" spans="9:9" x14ac:dyDescent="0.3">
      <c r="I2189" s="101" t="str">
        <f t="shared" si="36"/>
        <v/>
      </c>
    </row>
    <row r="2190" spans="9:9" x14ac:dyDescent="0.3">
      <c r="I2190" s="101" t="str">
        <f t="shared" si="36"/>
        <v/>
      </c>
    </row>
    <row r="2191" spans="9:9" x14ac:dyDescent="0.3">
      <c r="I2191" s="101" t="str">
        <f t="shared" si="36"/>
        <v/>
      </c>
    </row>
    <row r="2192" spans="9:9" x14ac:dyDescent="0.3">
      <c r="I2192" s="101" t="str">
        <f t="shared" si="36"/>
        <v/>
      </c>
    </row>
    <row r="2193" spans="9:9" x14ac:dyDescent="0.3">
      <c r="I2193" s="101" t="str">
        <f t="shared" si="36"/>
        <v/>
      </c>
    </row>
    <row r="2194" spans="9:9" x14ac:dyDescent="0.3">
      <c r="I2194" s="101" t="str">
        <f t="shared" si="36"/>
        <v/>
      </c>
    </row>
    <row r="2195" spans="9:9" x14ac:dyDescent="0.3">
      <c r="I2195" s="101" t="str">
        <f t="shared" si="36"/>
        <v/>
      </c>
    </row>
    <row r="2196" spans="9:9" x14ac:dyDescent="0.3">
      <c r="I2196" s="101" t="str">
        <f t="shared" si="36"/>
        <v/>
      </c>
    </row>
    <row r="2197" spans="9:9" x14ac:dyDescent="0.3">
      <c r="I2197" s="101" t="str">
        <f t="shared" si="36"/>
        <v/>
      </c>
    </row>
    <row r="2198" spans="9:9" x14ac:dyDescent="0.3">
      <c r="I2198" s="101" t="str">
        <f t="shared" si="36"/>
        <v/>
      </c>
    </row>
    <row r="2199" spans="9:9" x14ac:dyDescent="0.3">
      <c r="I2199" s="101" t="str">
        <f t="shared" si="36"/>
        <v/>
      </c>
    </row>
    <row r="2200" spans="9:9" x14ac:dyDescent="0.3">
      <c r="I2200" s="101" t="str">
        <f t="shared" si="36"/>
        <v/>
      </c>
    </row>
    <row r="2201" spans="9:9" x14ac:dyDescent="0.3">
      <c r="I2201" s="101" t="str">
        <f t="shared" si="36"/>
        <v/>
      </c>
    </row>
    <row r="2202" spans="9:9" x14ac:dyDescent="0.3">
      <c r="I2202" s="101" t="str">
        <f t="shared" si="36"/>
        <v/>
      </c>
    </row>
    <row r="2203" spans="9:9" x14ac:dyDescent="0.3">
      <c r="I2203" s="101" t="str">
        <f t="shared" si="36"/>
        <v/>
      </c>
    </row>
    <row r="2204" spans="9:9" x14ac:dyDescent="0.3">
      <c r="I2204" s="101" t="str">
        <f t="shared" si="36"/>
        <v/>
      </c>
    </row>
    <row r="2205" spans="9:9" x14ac:dyDescent="0.3">
      <c r="I2205" s="101" t="str">
        <f t="shared" si="36"/>
        <v/>
      </c>
    </row>
    <row r="2206" spans="9:9" x14ac:dyDescent="0.3">
      <c r="I2206" s="101" t="str">
        <f t="shared" si="36"/>
        <v/>
      </c>
    </row>
    <row r="2207" spans="9:9" x14ac:dyDescent="0.3">
      <c r="I2207" s="101" t="str">
        <f t="shared" si="36"/>
        <v/>
      </c>
    </row>
    <row r="2208" spans="9:9" x14ac:dyDescent="0.3">
      <c r="I2208" s="101" t="str">
        <f t="shared" si="36"/>
        <v/>
      </c>
    </row>
    <row r="2209" spans="9:9" x14ac:dyDescent="0.3">
      <c r="I2209" s="101" t="str">
        <f t="shared" si="36"/>
        <v/>
      </c>
    </row>
    <row r="2210" spans="9:9" x14ac:dyDescent="0.3">
      <c r="I2210" s="101" t="str">
        <f t="shared" si="36"/>
        <v/>
      </c>
    </row>
    <row r="2211" spans="9:9" x14ac:dyDescent="0.3">
      <c r="I2211" s="101" t="str">
        <f t="shared" si="36"/>
        <v/>
      </c>
    </row>
    <row r="2212" spans="9:9" x14ac:dyDescent="0.3">
      <c r="I2212" s="101" t="str">
        <f t="shared" si="36"/>
        <v/>
      </c>
    </row>
    <row r="2213" spans="9:9" x14ac:dyDescent="0.3">
      <c r="I2213" s="101" t="str">
        <f t="shared" si="36"/>
        <v/>
      </c>
    </row>
    <row r="2214" spans="9:9" x14ac:dyDescent="0.3">
      <c r="I2214" s="101" t="str">
        <f t="shared" si="36"/>
        <v/>
      </c>
    </row>
    <row r="2215" spans="9:9" x14ac:dyDescent="0.3">
      <c r="I2215" s="101" t="str">
        <f t="shared" si="36"/>
        <v/>
      </c>
    </row>
    <row r="2216" spans="9:9" x14ac:dyDescent="0.3">
      <c r="I2216" s="101" t="str">
        <f t="shared" si="36"/>
        <v/>
      </c>
    </row>
    <row r="2217" spans="9:9" x14ac:dyDescent="0.3">
      <c r="I2217" s="101" t="str">
        <f t="shared" si="36"/>
        <v/>
      </c>
    </row>
    <row r="2218" spans="9:9" x14ac:dyDescent="0.3">
      <c r="I2218" s="101" t="str">
        <f t="shared" si="36"/>
        <v/>
      </c>
    </row>
    <row r="2219" spans="9:9" x14ac:dyDescent="0.3">
      <c r="I2219" s="101" t="str">
        <f t="shared" si="36"/>
        <v/>
      </c>
    </row>
    <row r="2220" spans="9:9" x14ac:dyDescent="0.3">
      <c r="I2220" s="101" t="str">
        <f t="shared" si="36"/>
        <v/>
      </c>
    </row>
    <row r="2221" spans="9:9" x14ac:dyDescent="0.3">
      <c r="I2221" s="101" t="str">
        <f t="shared" si="36"/>
        <v/>
      </c>
    </row>
    <row r="2222" spans="9:9" x14ac:dyDescent="0.3">
      <c r="I2222" s="101" t="str">
        <f t="shared" si="36"/>
        <v/>
      </c>
    </row>
    <row r="2223" spans="9:9" x14ac:dyDescent="0.3">
      <c r="I2223" s="101" t="str">
        <f t="shared" si="36"/>
        <v/>
      </c>
    </row>
    <row r="2224" spans="9:9" x14ac:dyDescent="0.3">
      <c r="I2224" s="101" t="str">
        <f t="shared" si="36"/>
        <v/>
      </c>
    </row>
    <row r="2225" spans="9:9" x14ac:dyDescent="0.3">
      <c r="I2225" s="101" t="str">
        <f t="shared" si="36"/>
        <v/>
      </c>
    </row>
    <row r="2226" spans="9:9" x14ac:dyDescent="0.3">
      <c r="I2226" s="101" t="str">
        <f t="shared" si="36"/>
        <v/>
      </c>
    </row>
    <row r="2227" spans="9:9" x14ac:dyDescent="0.3">
      <c r="I2227" s="101" t="str">
        <f t="shared" si="36"/>
        <v/>
      </c>
    </row>
    <row r="2228" spans="9:9" x14ac:dyDescent="0.3">
      <c r="I2228" s="101" t="str">
        <f t="shared" si="36"/>
        <v/>
      </c>
    </row>
    <row r="2229" spans="9:9" x14ac:dyDescent="0.3">
      <c r="I2229" s="101" t="str">
        <f t="shared" si="36"/>
        <v/>
      </c>
    </row>
    <row r="2230" spans="9:9" x14ac:dyDescent="0.3">
      <c r="I2230" s="101" t="str">
        <f t="shared" si="36"/>
        <v/>
      </c>
    </row>
    <row r="2231" spans="9:9" x14ac:dyDescent="0.3">
      <c r="I2231" s="101" t="str">
        <f t="shared" si="36"/>
        <v/>
      </c>
    </row>
    <row r="2232" spans="9:9" x14ac:dyDescent="0.3">
      <c r="I2232" s="101" t="str">
        <f t="shared" si="36"/>
        <v/>
      </c>
    </row>
    <row r="2233" spans="9:9" x14ac:dyDescent="0.3">
      <c r="I2233" s="101" t="str">
        <f t="shared" si="36"/>
        <v/>
      </c>
    </row>
    <row r="2234" spans="9:9" x14ac:dyDescent="0.3">
      <c r="I2234" s="101" t="str">
        <f t="shared" si="36"/>
        <v/>
      </c>
    </row>
    <row r="2235" spans="9:9" x14ac:dyDescent="0.3">
      <c r="I2235" s="101" t="str">
        <f t="shared" si="36"/>
        <v/>
      </c>
    </row>
    <row r="2236" spans="9:9" x14ac:dyDescent="0.3">
      <c r="I2236" s="101" t="str">
        <f t="shared" si="36"/>
        <v/>
      </c>
    </row>
    <row r="2237" spans="9:9" x14ac:dyDescent="0.3">
      <c r="I2237" s="101" t="str">
        <f t="shared" si="36"/>
        <v/>
      </c>
    </row>
    <row r="2238" spans="9:9" x14ac:dyDescent="0.3">
      <c r="I2238" s="101" t="str">
        <f t="shared" si="36"/>
        <v/>
      </c>
    </row>
    <row r="2239" spans="9:9" x14ac:dyDescent="0.3">
      <c r="I2239" s="101" t="str">
        <f t="shared" si="36"/>
        <v/>
      </c>
    </row>
    <row r="2240" spans="9:9" x14ac:dyDescent="0.3">
      <c r="I2240" s="101" t="str">
        <f t="shared" si="36"/>
        <v/>
      </c>
    </row>
    <row r="2241" spans="9:9" x14ac:dyDescent="0.3">
      <c r="I2241" s="101" t="str">
        <f t="shared" si="36"/>
        <v/>
      </c>
    </row>
    <row r="2242" spans="9:9" x14ac:dyDescent="0.3">
      <c r="I2242" s="101" t="str">
        <f t="shared" si="36"/>
        <v/>
      </c>
    </row>
    <row r="2243" spans="9:9" x14ac:dyDescent="0.3">
      <c r="I2243" s="101" t="str">
        <f t="shared" ref="I2243:I2306" si="37">IF(OR(B2243&lt;&gt;B2242,C2243&lt;&gt;C2242),"",IF(E2242=0,"",IF(G2243="UP",(E2243-E2242)/E2242,-((E2243-E2242)/E2242))))</f>
        <v/>
      </c>
    </row>
    <row r="2244" spans="9:9" x14ac:dyDescent="0.3">
      <c r="I2244" s="101" t="str">
        <f t="shared" si="37"/>
        <v/>
      </c>
    </row>
    <row r="2245" spans="9:9" x14ac:dyDescent="0.3">
      <c r="I2245" s="101" t="str">
        <f t="shared" si="37"/>
        <v/>
      </c>
    </row>
    <row r="2246" spans="9:9" x14ac:dyDescent="0.3">
      <c r="I2246" s="101" t="str">
        <f t="shared" si="37"/>
        <v/>
      </c>
    </row>
    <row r="2247" spans="9:9" x14ac:dyDescent="0.3">
      <c r="I2247" s="101" t="str">
        <f t="shared" si="37"/>
        <v/>
      </c>
    </row>
    <row r="2248" spans="9:9" x14ac:dyDescent="0.3">
      <c r="I2248" s="101" t="str">
        <f t="shared" si="37"/>
        <v/>
      </c>
    </row>
    <row r="2249" spans="9:9" x14ac:dyDescent="0.3">
      <c r="I2249" s="101" t="str">
        <f t="shared" si="37"/>
        <v/>
      </c>
    </row>
    <row r="2250" spans="9:9" x14ac:dyDescent="0.3">
      <c r="I2250" s="101" t="str">
        <f t="shared" si="37"/>
        <v/>
      </c>
    </row>
    <row r="2251" spans="9:9" x14ac:dyDescent="0.3">
      <c r="I2251" s="101" t="str">
        <f t="shared" si="37"/>
        <v/>
      </c>
    </row>
    <row r="2252" spans="9:9" x14ac:dyDescent="0.3">
      <c r="I2252" s="101" t="str">
        <f t="shared" si="37"/>
        <v/>
      </c>
    </row>
    <row r="2253" spans="9:9" x14ac:dyDescent="0.3">
      <c r="I2253" s="101" t="str">
        <f t="shared" si="37"/>
        <v/>
      </c>
    </row>
    <row r="2254" spans="9:9" x14ac:dyDescent="0.3">
      <c r="I2254" s="101" t="str">
        <f t="shared" si="37"/>
        <v/>
      </c>
    </row>
    <row r="2255" spans="9:9" x14ac:dyDescent="0.3">
      <c r="I2255" s="101" t="str">
        <f t="shared" si="37"/>
        <v/>
      </c>
    </row>
    <row r="2256" spans="9:9" x14ac:dyDescent="0.3">
      <c r="I2256" s="101" t="str">
        <f t="shared" si="37"/>
        <v/>
      </c>
    </row>
    <row r="2257" spans="9:9" x14ac:dyDescent="0.3">
      <c r="I2257" s="101" t="str">
        <f t="shared" si="37"/>
        <v/>
      </c>
    </row>
    <row r="2258" spans="9:9" x14ac:dyDescent="0.3">
      <c r="I2258" s="101" t="str">
        <f t="shared" si="37"/>
        <v/>
      </c>
    </row>
    <row r="2259" spans="9:9" x14ac:dyDescent="0.3">
      <c r="I2259" s="101" t="str">
        <f t="shared" si="37"/>
        <v/>
      </c>
    </row>
    <row r="2260" spans="9:9" x14ac:dyDescent="0.3">
      <c r="I2260" s="101" t="str">
        <f t="shared" si="37"/>
        <v/>
      </c>
    </row>
    <row r="2261" spans="9:9" x14ac:dyDescent="0.3">
      <c r="I2261" s="101" t="str">
        <f t="shared" si="37"/>
        <v/>
      </c>
    </row>
    <row r="2262" spans="9:9" x14ac:dyDescent="0.3">
      <c r="I2262" s="101" t="str">
        <f t="shared" si="37"/>
        <v/>
      </c>
    </row>
    <row r="2263" spans="9:9" x14ac:dyDescent="0.3">
      <c r="I2263" s="101" t="str">
        <f t="shared" si="37"/>
        <v/>
      </c>
    </row>
    <row r="2264" spans="9:9" x14ac:dyDescent="0.3">
      <c r="I2264" s="101" t="str">
        <f t="shared" si="37"/>
        <v/>
      </c>
    </row>
    <row r="2265" spans="9:9" x14ac:dyDescent="0.3">
      <c r="I2265" s="101" t="str">
        <f t="shared" si="37"/>
        <v/>
      </c>
    </row>
    <row r="2266" spans="9:9" x14ac:dyDescent="0.3">
      <c r="I2266" s="101" t="str">
        <f t="shared" si="37"/>
        <v/>
      </c>
    </row>
    <row r="2267" spans="9:9" x14ac:dyDescent="0.3">
      <c r="I2267" s="101" t="str">
        <f t="shared" si="37"/>
        <v/>
      </c>
    </row>
    <row r="2268" spans="9:9" x14ac:dyDescent="0.3">
      <c r="I2268" s="101" t="str">
        <f t="shared" si="37"/>
        <v/>
      </c>
    </row>
    <row r="2269" spans="9:9" x14ac:dyDescent="0.3">
      <c r="I2269" s="101" t="str">
        <f t="shared" si="37"/>
        <v/>
      </c>
    </row>
    <row r="2270" spans="9:9" x14ac:dyDescent="0.3">
      <c r="I2270" s="101" t="str">
        <f t="shared" si="37"/>
        <v/>
      </c>
    </row>
    <row r="2271" spans="9:9" x14ac:dyDescent="0.3">
      <c r="I2271" s="101" t="str">
        <f t="shared" si="37"/>
        <v/>
      </c>
    </row>
    <row r="2272" spans="9:9" x14ac:dyDescent="0.3">
      <c r="I2272" s="101" t="str">
        <f t="shared" si="37"/>
        <v/>
      </c>
    </row>
    <row r="2273" spans="9:9" x14ac:dyDescent="0.3">
      <c r="I2273" s="101" t="str">
        <f t="shared" si="37"/>
        <v/>
      </c>
    </row>
    <row r="2274" spans="9:9" x14ac:dyDescent="0.3">
      <c r="I2274" s="101" t="str">
        <f t="shared" si="37"/>
        <v/>
      </c>
    </row>
    <row r="2275" spans="9:9" x14ac:dyDescent="0.3">
      <c r="I2275" s="101" t="str">
        <f t="shared" si="37"/>
        <v/>
      </c>
    </row>
    <row r="2276" spans="9:9" x14ac:dyDescent="0.3">
      <c r="I2276" s="101" t="str">
        <f t="shared" si="37"/>
        <v/>
      </c>
    </row>
    <row r="2277" spans="9:9" x14ac:dyDescent="0.3">
      <c r="I2277" s="101" t="str">
        <f t="shared" si="37"/>
        <v/>
      </c>
    </row>
    <row r="2278" spans="9:9" x14ac:dyDescent="0.3">
      <c r="I2278" s="101" t="str">
        <f t="shared" si="37"/>
        <v/>
      </c>
    </row>
    <row r="2279" spans="9:9" x14ac:dyDescent="0.3">
      <c r="I2279" s="101" t="str">
        <f t="shared" si="37"/>
        <v/>
      </c>
    </row>
    <row r="2280" spans="9:9" x14ac:dyDescent="0.3">
      <c r="I2280" s="101" t="str">
        <f t="shared" si="37"/>
        <v/>
      </c>
    </row>
    <row r="2281" spans="9:9" x14ac:dyDescent="0.3">
      <c r="I2281" s="101" t="str">
        <f t="shared" si="37"/>
        <v/>
      </c>
    </row>
    <row r="2282" spans="9:9" x14ac:dyDescent="0.3">
      <c r="I2282" s="101" t="str">
        <f t="shared" si="37"/>
        <v/>
      </c>
    </row>
    <row r="2283" spans="9:9" x14ac:dyDescent="0.3">
      <c r="I2283" s="101" t="str">
        <f t="shared" si="37"/>
        <v/>
      </c>
    </row>
    <row r="2284" spans="9:9" x14ac:dyDescent="0.3">
      <c r="I2284" s="101" t="str">
        <f t="shared" si="37"/>
        <v/>
      </c>
    </row>
    <row r="2285" spans="9:9" x14ac:dyDescent="0.3">
      <c r="I2285" s="101" t="str">
        <f t="shared" si="37"/>
        <v/>
      </c>
    </row>
    <row r="2286" spans="9:9" x14ac:dyDescent="0.3">
      <c r="I2286" s="101" t="str">
        <f t="shared" si="37"/>
        <v/>
      </c>
    </row>
    <row r="2287" spans="9:9" x14ac:dyDescent="0.3">
      <c r="I2287" s="101" t="str">
        <f t="shared" si="37"/>
        <v/>
      </c>
    </row>
    <row r="2288" spans="9:9" x14ac:dyDescent="0.3">
      <c r="I2288" s="101" t="str">
        <f t="shared" si="37"/>
        <v/>
      </c>
    </row>
    <row r="2289" spans="9:9" x14ac:dyDescent="0.3">
      <c r="I2289" s="101" t="str">
        <f t="shared" si="37"/>
        <v/>
      </c>
    </row>
    <row r="2290" spans="9:9" x14ac:dyDescent="0.3">
      <c r="I2290" s="101" t="str">
        <f t="shared" si="37"/>
        <v/>
      </c>
    </row>
    <row r="2291" spans="9:9" x14ac:dyDescent="0.3">
      <c r="I2291" s="101" t="str">
        <f t="shared" si="37"/>
        <v/>
      </c>
    </row>
    <row r="2292" spans="9:9" x14ac:dyDescent="0.3">
      <c r="I2292" s="101" t="str">
        <f t="shared" si="37"/>
        <v/>
      </c>
    </row>
    <row r="2293" spans="9:9" x14ac:dyDescent="0.3">
      <c r="I2293" s="101" t="str">
        <f t="shared" si="37"/>
        <v/>
      </c>
    </row>
    <row r="2294" spans="9:9" x14ac:dyDescent="0.3">
      <c r="I2294" s="101" t="str">
        <f t="shared" si="37"/>
        <v/>
      </c>
    </row>
    <row r="2295" spans="9:9" x14ac:dyDescent="0.3">
      <c r="I2295" s="101" t="str">
        <f t="shared" si="37"/>
        <v/>
      </c>
    </row>
    <row r="2296" spans="9:9" x14ac:dyDescent="0.3">
      <c r="I2296" s="101" t="str">
        <f t="shared" si="37"/>
        <v/>
      </c>
    </row>
    <row r="2297" spans="9:9" x14ac:dyDescent="0.3">
      <c r="I2297" s="101" t="str">
        <f t="shared" si="37"/>
        <v/>
      </c>
    </row>
    <row r="2298" spans="9:9" x14ac:dyDescent="0.3">
      <c r="I2298" s="101" t="str">
        <f t="shared" si="37"/>
        <v/>
      </c>
    </row>
    <row r="2299" spans="9:9" x14ac:dyDescent="0.3">
      <c r="I2299" s="101" t="str">
        <f t="shared" si="37"/>
        <v/>
      </c>
    </row>
    <row r="2300" spans="9:9" x14ac:dyDescent="0.3">
      <c r="I2300" s="101" t="str">
        <f t="shared" si="37"/>
        <v/>
      </c>
    </row>
    <row r="2301" spans="9:9" x14ac:dyDescent="0.3">
      <c r="I2301" s="101" t="str">
        <f t="shared" si="37"/>
        <v/>
      </c>
    </row>
    <row r="2302" spans="9:9" x14ac:dyDescent="0.3">
      <c r="I2302" s="101" t="str">
        <f t="shared" si="37"/>
        <v/>
      </c>
    </row>
    <row r="2303" spans="9:9" x14ac:dyDescent="0.3">
      <c r="I2303" s="101" t="str">
        <f t="shared" si="37"/>
        <v/>
      </c>
    </row>
    <row r="2304" spans="9:9" x14ac:dyDescent="0.3">
      <c r="I2304" s="101" t="str">
        <f t="shared" si="37"/>
        <v/>
      </c>
    </row>
    <row r="2305" spans="9:9" x14ac:dyDescent="0.3">
      <c r="I2305" s="101" t="str">
        <f t="shared" si="37"/>
        <v/>
      </c>
    </row>
    <row r="2306" spans="9:9" x14ac:dyDescent="0.3">
      <c r="I2306" s="101" t="str">
        <f t="shared" si="37"/>
        <v/>
      </c>
    </row>
    <row r="2307" spans="9:9" x14ac:dyDescent="0.3">
      <c r="I2307" s="101" t="str">
        <f t="shared" ref="I2307:I2370" si="38">IF(OR(B2307&lt;&gt;B2306,C2307&lt;&gt;C2306),"",IF(E2306=0,"",IF(G2307="UP",(E2307-E2306)/E2306,-((E2307-E2306)/E2306))))</f>
        <v/>
      </c>
    </row>
    <row r="2308" spans="9:9" x14ac:dyDescent="0.3">
      <c r="I2308" s="101" t="str">
        <f t="shared" si="38"/>
        <v/>
      </c>
    </row>
    <row r="2309" spans="9:9" x14ac:dyDescent="0.3">
      <c r="I2309" s="101" t="str">
        <f t="shared" si="38"/>
        <v/>
      </c>
    </row>
    <row r="2310" spans="9:9" x14ac:dyDescent="0.3">
      <c r="I2310" s="101" t="str">
        <f t="shared" si="38"/>
        <v/>
      </c>
    </row>
    <row r="2311" spans="9:9" x14ac:dyDescent="0.3">
      <c r="I2311" s="101" t="str">
        <f t="shared" si="38"/>
        <v/>
      </c>
    </row>
    <row r="2312" spans="9:9" x14ac:dyDescent="0.3">
      <c r="I2312" s="101" t="str">
        <f t="shared" si="38"/>
        <v/>
      </c>
    </row>
    <row r="2313" spans="9:9" x14ac:dyDescent="0.3">
      <c r="I2313" s="101" t="str">
        <f t="shared" si="38"/>
        <v/>
      </c>
    </row>
    <row r="2314" spans="9:9" x14ac:dyDescent="0.3">
      <c r="I2314" s="101" t="str">
        <f t="shared" si="38"/>
        <v/>
      </c>
    </row>
    <row r="2315" spans="9:9" x14ac:dyDescent="0.3">
      <c r="I2315" s="101" t="str">
        <f t="shared" si="38"/>
        <v/>
      </c>
    </row>
    <row r="2316" spans="9:9" x14ac:dyDescent="0.3">
      <c r="I2316" s="101" t="str">
        <f t="shared" si="38"/>
        <v/>
      </c>
    </row>
    <row r="2317" spans="9:9" x14ac:dyDescent="0.3">
      <c r="I2317" s="101" t="str">
        <f t="shared" si="38"/>
        <v/>
      </c>
    </row>
    <row r="2318" spans="9:9" x14ac:dyDescent="0.3">
      <c r="I2318" s="101" t="str">
        <f t="shared" si="38"/>
        <v/>
      </c>
    </row>
    <row r="2319" spans="9:9" x14ac:dyDescent="0.3">
      <c r="I2319" s="101" t="str">
        <f t="shared" si="38"/>
        <v/>
      </c>
    </row>
    <row r="2320" spans="9:9" x14ac:dyDescent="0.3">
      <c r="I2320" s="101" t="str">
        <f t="shared" si="38"/>
        <v/>
      </c>
    </row>
    <row r="2321" spans="9:9" x14ac:dyDescent="0.3">
      <c r="I2321" s="101" t="str">
        <f t="shared" si="38"/>
        <v/>
      </c>
    </row>
    <row r="2322" spans="9:9" x14ac:dyDescent="0.3">
      <c r="I2322" s="101" t="str">
        <f t="shared" si="38"/>
        <v/>
      </c>
    </row>
    <row r="2323" spans="9:9" x14ac:dyDescent="0.3">
      <c r="I2323" s="101" t="str">
        <f t="shared" si="38"/>
        <v/>
      </c>
    </row>
    <row r="2324" spans="9:9" x14ac:dyDescent="0.3">
      <c r="I2324" s="101" t="str">
        <f t="shared" si="38"/>
        <v/>
      </c>
    </row>
    <row r="2325" spans="9:9" x14ac:dyDescent="0.3">
      <c r="I2325" s="101" t="str">
        <f t="shared" si="38"/>
        <v/>
      </c>
    </row>
    <row r="2326" spans="9:9" x14ac:dyDescent="0.3">
      <c r="I2326" s="101" t="str">
        <f t="shared" si="38"/>
        <v/>
      </c>
    </row>
    <row r="2327" spans="9:9" x14ac:dyDescent="0.3">
      <c r="I2327" s="101" t="str">
        <f t="shared" si="38"/>
        <v/>
      </c>
    </row>
    <row r="2328" spans="9:9" x14ac:dyDescent="0.3">
      <c r="I2328" s="101" t="str">
        <f t="shared" si="38"/>
        <v/>
      </c>
    </row>
    <row r="2329" spans="9:9" x14ac:dyDescent="0.3">
      <c r="I2329" s="101" t="str">
        <f t="shared" si="38"/>
        <v/>
      </c>
    </row>
    <row r="2330" spans="9:9" x14ac:dyDescent="0.3">
      <c r="I2330" s="101" t="str">
        <f t="shared" si="38"/>
        <v/>
      </c>
    </row>
    <row r="2331" spans="9:9" x14ac:dyDescent="0.3">
      <c r="I2331" s="101" t="str">
        <f t="shared" si="38"/>
        <v/>
      </c>
    </row>
    <row r="2332" spans="9:9" x14ac:dyDescent="0.3">
      <c r="I2332" s="101" t="str">
        <f t="shared" si="38"/>
        <v/>
      </c>
    </row>
    <row r="2333" spans="9:9" x14ac:dyDescent="0.3">
      <c r="I2333" s="101" t="str">
        <f t="shared" si="38"/>
        <v/>
      </c>
    </row>
    <row r="2334" spans="9:9" x14ac:dyDescent="0.3">
      <c r="I2334" s="101" t="str">
        <f t="shared" si="38"/>
        <v/>
      </c>
    </row>
    <row r="2335" spans="9:9" x14ac:dyDescent="0.3">
      <c r="I2335" s="101" t="str">
        <f t="shared" si="38"/>
        <v/>
      </c>
    </row>
    <row r="2336" spans="9:9" x14ac:dyDescent="0.3">
      <c r="I2336" s="101" t="str">
        <f t="shared" si="38"/>
        <v/>
      </c>
    </row>
    <row r="2337" spans="9:9" x14ac:dyDescent="0.3">
      <c r="I2337" s="101" t="str">
        <f t="shared" si="38"/>
        <v/>
      </c>
    </row>
    <row r="2338" spans="9:9" x14ac:dyDescent="0.3">
      <c r="I2338" s="101" t="str">
        <f t="shared" si="38"/>
        <v/>
      </c>
    </row>
    <row r="2339" spans="9:9" x14ac:dyDescent="0.3">
      <c r="I2339" s="101" t="str">
        <f t="shared" si="38"/>
        <v/>
      </c>
    </row>
    <row r="2340" spans="9:9" x14ac:dyDescent="0.3">
      <c r="I2340" s="101" t="str">
        <f t="shared" si="38"/>
        <v/>
      </c>
    </row>
    <row r="2341" spans="9:9" x14ac:dyDescent="0.3">
      <c r="I2341" s="101" t="str">
        <f t="shared" si="38"/>
        <v/>
      </c>
    </row>
    <row r="2342" spans="9:9" x14ac:dyDescent="0.3">
      <c r="I2342" s="101" t="str">
        <f t="shared" si="38"/>
        <v/>
      </c>
    </row>
    <row r="2343" spans="9:9" x14ac:dyDescent="0.3">
      <c r="I2343" s="101" t="str">
        <f t="shared" si="38"/>
        <v/>
      </c>
    </row>
    <row r="2344" spans="9:9" x14ac:dyDescent="0.3">
      <c r="I2344" s="101" t="str">
        <f t="shared" si="38"/>
        <v/>
      </c>
    </row>
    <row r="2345" spans="9:9" x14ac:dyDescent="0.3">
      <c r="I2345" s="101" t="str">
        <f t="shared" si="38"/>
        <v/>
      </c>
    </row>
    <row r="2346" spans="9:9" x14ac:dyDescent="0.3">
      <c r="I2346" s="101" t="str">
        <f t="shared" si="38"/>
        <v/>
      </c>
    </row>
    <row r="2347" spans="9:9" x14ac:dyDescent="0.3">
      <c r="I2347" s="101" t="str">
        <f t="shared" si="38"/>
        <v/>
      </c>
    </row>
    <row r="2348" spans="9:9" x14ac:dyDescent="0.3">
      <c r="I2348" s="101" t="str">
        <f t="shared" si="38"/>
        <v/>
      </c>
    </row>
    <row r="2349" spans="9:9" x14ac:dyDescent="0.3">
      <c r="I2349" s="101" t="str">
        <f t="shared" si="38"/>
        <v/>
      </c>
    </row>
    <row r="2350" spans="9:9" x14ac:dyDescent="0.3">
      <c r="I2350" s="101" t="str">
        <f t="shared" si="38"/>
        <v/>
      </c>
    </row>
    <row r="2351" spans="9:9" x14ac:dyDescent="0.3">
      <c r="I2351" s="101" t="str">
        <f t="shared" si="38"/>
        <v/>
      </c>
    </row>
    <row r="2352" spans="9:9" x14ac:dyDescent="0.3">
      <c r="I2352" s="101" t="str">
        <f t="shared" si="38"/>
        <v/>
      </c>
    </row>
    <row r="2353" spans="9:9" x14ac:dyDescent="0.3">
      <c r="I2353" s="101" t="str">
        <f t="shared" si="38"/>
        <v/>
      </c>
    </row>
    <row r="2354" spans="9:9" x14ac:dyDescent="0.3">
      <c r="I2354" s="101" t="str">
        <f t="shared" si="38"/>
        <v/>
      </c>
    </row>
    <row r="2355" spans="9:9" x14ac:dyDescent="0.3">
      <c r="I2355" s="101" t="str">
        <f t="shared" si="38"/>
        <v/>
      </c>
    </row>
    <row r="2356" spans="9:9" x14ac:dyDescent="0.3">
      <c r="I2356" s="101" t="str">
        <f t="shared" si="38"/>
        <v/>
      </c>
    </row>
    <row r="2357" spans="9:9" x14ac:dyDescent="0.3">
      <c r="I2357" s="101" t="str">
        <f t="shared" si="38"/>
        <v/>
      </c>
    </row>
    <row r="2358" spans="9:9" x14ac:dyDescent="0.3">
      <c r="I2358" s="101" t="str">
        <f t="shared" si="38"/>
        <v/>
      </c>
    </row>
    <row r="2359" spans="9:9" x14ac:dyDescent="0.3">
      <c r="I2359" s="101" t="str">
        <f t="shared" si="38"/>
        <v/>
      </c>
    </row>
    <row r="2360" spans="9:9" x14ac:dyDescent="0.3">
      <c r="I2360" s="101" t="str">
        <f t="shared" si="38"/>
        <v/>
      </c>
    </row>
    <row r="2361" spans="9:9" x14ac:dyDescent="0.3">
      <c r="I2361" s="101" t="str">
        <f t="shared" si="38"/>
        <v/>
      </c>
    </row>
    <row r="2362" spans="9:9" x14ac:dyDescent="0.3">
      <c r="I2362" s="101" t="str">
        <f t="shared" si="38"/>
        <v/>
      </c>
    </row>
    <row r="2363" spans="9:9" x14ac:dyDescent="0.3">
      <c r="I2363" s="101" t="str">
        <f t="shared" si="38"/>
        <v/>
      </c>
    </row>
    <row r="2364" spans="9:9" x14ac:dyDescent="0.3">
      <c r="I2364" s="101" t="str">
        <f t="shared" si="38"/>
        <v/>
      </c>
    </row>
    <row r="2365" spans="9:9" x14ac:dyDescent="0.3">
      <c r="I2365" s="101" t="str">
        <f t="shared" si="38"/>
        <v/>
      </c>
    </row>
    <row r="2366" spans="9:9" x14ac:dyDescent="0.3">
      <c r="I2366" s="101" t="str">
        <f t="shared" si="38"/>
        <v/>
      </c>
    </row>
    <row r="2367" spans="9:9" x14ac:dyDescent="0.3">
      <c r="I2367" s="101" t="str">
        <f t="shared" si="38"/>
        <v/>
      </c>
    </row>
    <row r="2368" spans="9:9" x14ac:dyDescent="0.3">
      <c r="I2368" s="101" t="str">
        <f t="shared" si="38"/>
        <v/>
      </c>
    </row>
    <row r="2369" spans="9:9" x14ac:dyDescent="0.3">
      <c r="I2369" s="101" t="str">
        <f t="shared" si="38"/>
        <v/>
      </c>
    </row>
    <row r="2370" spans="9:9" x14ac:dyDescent="0.3">
      <c r="I2370" s="101" t="str">
        <f t="shared" si="38"/>
        <v/>
      </c>
    </row>
    <row r="2371" spans="9:9" x14ac:dyDescent="0.3">
      <c r="I2371" s="101" t="str">
        <f t="shared" ref="I2371:I2434" si="39">IF(OR(B2371&lt;&gt;B2370,C2371&lt;&gt;C2370),"",IF(E2370=0,"",IF(G2371="UP",(E2371-E2370)/E2370,-((E2371-E2370)/E2370))))</f>
        <v/>
      </c>
    </row>
    <row r="2372" spans="9:9" x14ac:dyDescent="0.3">
      <c r="I2372" s="101" t="str">
        <f t="shared" si="39"/>
        <v/>
      </c>
    </row>
    <row r="2373" spans="9:9" x14ac:dyDescent="0.3">
      <c r="I2373" s="101" t="str">
        <f t="shared" si="39"/>
        <v/>
      </c>
    </row>
    <row r="2374" spans="9:9" x14ac:dyDescent="0.3">
      <c r="I2374" s="101" t="str">
        <f t="shared" si="39"/>
        <v/>
      </c>
    </row>
    <row r="2375" spans="9:9" x14ac:dyDescent="0.3">
      <c r="I2375" s="101" t="str">
        <f t="shared" si="39"/>
        <v/>
      </c>
    </row>
    <row r="2376" spans="9:9" x14ac:dyDescent="0.3">
      <c r="I2376" s="101" t="str">
        <f t="shared" si="39"/>
        <v/>
      </c>
    </row>
    <row r="2377" spans="9:9" x14ac:dyDescent="0.3">
      <c r="I2377" s="101" t="str">
        <f t="shared" si="39"/>
        <v/>
      </c>
    </row>
    <row r="2378" spans="9:9" x14ac:dyDescent="0.3">
      <c r="I2378" s="101" t="str">
        <f t="shared" si="39"/>
        <v/>
      </c>
    </row>
    <row r="2379" spans="9:9" x14ac:dyDescent="0.3">
      <c r="I2379" s="101" t="str">
        <f t="shared" si="39"/>
        <v/>
      </c>
    </row>
    <row r="2380" spans="9:9" x14ac:dyDescent="0.3">
      <c r="I2380" s="101" t="str">
        <f t="shared" si="39"/>
        <v/>
      </c>
    </row>
    <row r="2381" spans="9:9" x14ac:dyDescent="0.3">
      <c r="I2381" s="101" t="str">
        <f t="shared" si="39"/>
        <v/>
      </c>
    </row>
    <row r="2382" spans="9:9" x14ac:dyDescent="0.3">
      <c r="I2382" s="101" t="str">
        <f t="shared" si="39"/>
        <v/>
      </c>
    </row>
    <row r="2383" spans="9:9" x14ac:dyDescent="0.3">
      <c r="I2383" s="101" t="str">
        <f t="shared" si="39"/>
        <v/>
      </c>
    </row>
    <row r="2384" spans="9:9" x14ac:dyDescent="0.3">
      <c r="I2384" s="101" t="str">
        <f t="shared" si="39"/>
        <v/>
      </c>
    </row>
    <row r="2385" spans="9:9" x14ac:dyDescent="0.3">
      <c r="I2385" s="101" t="str">
        <f t="shared" si="39"/>
        <v/>
      </c>
    </row>
    <row r="2386" spans="9:9" x14ac:dyDescent="0.3">
      <c r="I2386" s="101" t="str">
        <f t="shared" si="39"/>
        <v/>
      </c>
    </row>
    <row r="2387" spans="9:9" x14ac:dyDescent="0.3">
      <c r="I2387" s="101" t="str">
        <f t="shared" si="39"/>
        <v/>
      </c>
    </row>
    <row r="2388" spans="9:9" x14ac:dyDescent="0.3">
      <c r="I2388" s="101" t="str">
        <f t="shared" si="39"/>
        <v/>
      </c>
    </row>
    <row r="2389" spans="9:9" x14ac:dyDescent="0.3">
      <c r="I2389" s="101" t="str">
        <f t="shared" si="39"/>
        <v/>
      </c>
    </row>
    <row r="2390" spans="9:9" x14ac:dyDescent="0.3">
      <c r="I2390" s="101" t="str">
        <f t="shared" si="39"/>
        <v/>
      </c>
    </row>
    <row r="2391" spans="9:9" x14ac:dyDescent="0.3">
      <c r="I2391" s="101" t="str">
        <f t="shared" si="39"/>
        <v/>
      </c>
    </row>
    <row r="2392" spans="9:9" x14ac:dyDescent="0.3">
      <c r="I2392" s="101" t="str">
        <f t="shared" si="39"/>
        <v/>
      </c>
    </row>
    <row r="2393" spans="9:9" x14ac:dyDescent="0.3">
      <c r="I2393" s="101" t="str">
        <f t="shared" si="39"/>
        <v/>
      </c>
    </row>
    <row r="2394" spans="9:9" x14ac:dyDescent="0.3">
      <c r="I2394" s="101" t="str">
        <f t="shared" si="39"/>
        <v/>
      </c>
    </row>
    <row r="2395" spans="9:9" x14ac:dyDescent="0.3">
      <c r="I2395" s="101" t="str">
        <f t="shared" si="39"/>
        <v/>
      </c>
    </row>
    <row r="2396" spans="9:9" x14ac:dyDescent="0.3">
      <c r="I2396" s="101" t="str">
        <f t="shared" si="39"/>
        <v/>
      </c>
    </row>
    <row r="2397" spans="9:9" x14ac:dyDescent="0.3">
      <c r="I2397" s="101" t="str">
        <f t="shared" si="39"/>
        <v/>
      </c>
    </row>
    <row r="2398" spans="9:9" x14ac:dyDescent="0.3">
      <c r="I2398" s="101" t="str">
        <f t="shared" si="39"/>
        <v/>
      </c>
    </row>
    <row r="2399" spans="9:9" x14ac:dyDescent="0.3">
      <c r="I2399" s="101" t="str">
        <f t="shared" si="39"/>
        <v/>
      </c>
    </row>
    <row r="2400" spans="9:9" x14ac:dyDescent="0.3">
      <c r="I2400" s="101" t="str">
        <f t="shared" si="39"/>
        <v/>
      </c>
    </row>
    <row r="2401" spans="9:9" x14ac:dyDescent="0.3">
      <c r="I2401" s="101" t="str">
        <f t="shared" si="39"/>
        <v/>
      </c>
    </row>
    <row r="2402" spans="9:9" x14ac:dyDescent="0.3">
      <c r="I2402" s="101" t="str">
        <f t="shared" si="39"/>
        <v/>
      </c>
    </row>
    <row r="2403" spans="9:9" x14ac:dyDescent="0.3">
      <c r="I2403" s="101" t="str">
        <f t="shared" si="39"/>
        <v/>
      </c>
    </row>
    <row r="2404" spans="9:9" x14ac:dyDescent="0.3">
      <c r="I2404" s="101" t="str">
        <f t="shared" si="39"/>
        <v/>
      </c>
    </row>
    <row r="2405" spans="9:9" x14ac:dyDescent="0.3">
      <c r="I2405" s="101" t="str">
        <f t="shared" si="39"/>
        <v/>
      </c>
    </row>
    <row r="2406" spans="9:9" x14ac:dyDescent="0.3">
      <c r="I2406" s="101" t="str">
        <f t="shared" si="39"/>
        <v/>
      </c>
    </row>
    <row r="2407" spans="9:9" x14ac:dyDescent="0.3">
      <c r="I2407" s="101" t="str">
        <f t="shared" si="39"/>
        <v/>
      </c>
    </row>
    <row r="2408" spans="9:9" x14ac:dyDescent="0.3">
      <c r="I2408" s="101" t="str">
        <f t="shared" si="39"/>
        <v/>
      </c>
    </row>
    <row r="2409" spans="9:9" x14ac:dyDescent="0.3">
      <c r="I2409" s="101" t="str">
        <f t="shared" si="39"/>
        <v/>
      </c>
    </row>
    <row r="2410" spans="9:9" x14ac:dyDescent="0.3">
      <c r="I2410" s="101" t="str">
        <f t="shared" si="39"/>
        <v/>
      </c>
    </row>
    <row r="2411" spans="9:9" x14ac:dyDescent="0.3">
      <c r="I2411" s="101" t="str">
        <f t="shared" si="39"/>
        <v/>
      </c>
    </row>
    <row r="2412" spans="9:9" x14ac:dyDescent="0.3">
      <c r="I2412" s="101" t="str">
        <f t="shared" si="39"/>
        <v/>
      </c>
    </row>
    <row r="2413" spans="9:9" x14ac:dyDescent="0.3">
      <c r="I2413" s="101" t="str">
        <f t="shared" si="39"/>
        <v/>
      </c>
    </row>
    <row r="2414" spans="9:9" x14ac:dyDescent="0.3">
      <c r="I2414" s="101" t="str">
        <f t="shared" si="39"/>
        <v/>
      </c>
    </row>
    <row r="2415" spans="9:9" x14ac:dyDescent="0.3">
      <c r="I2415" s="101" t="str">
        <f t="shared" si="39"/>
        <v/>
      </c>
    </row>
    <row r="2416" spans="9:9" x14ac:dyDescent="0.3">
      <c r="I2416" s="101" t="str">
        <f t="shared" si="39"/>
        <v/>
      </c>
    </row>
    <row r="2417" spans="9:9" x14ac:dyDescent="0.3">
      <c r="I2417" s="101" t="str">
        <f t="shared" si="39"/>
        <v/>
      </c>
    </row>
    <row r="2418" spans="9:9" x14ac:dyDescent="0.3">
      <c r="I2418" s="101" t="str">
        <f t="shared" si="39"/>
        <v/>
      </c>
    </row>
    <row r="2419" spans="9:9" x14ac:dyDescent="0.3">
      <c r="I2419" s="101" t="str">
        <f t="shared" si="39"/>
        <v/>
      </c>
    </row>
    <row r="2420" spans="9:9" x14ac:dyDescent="0.3">
      <c r="I2420" s="101" t="str">
        <f t="shared" si="39"/>
        <v/>
      </c>
    </row>
    <row r="2421" spans="9:9" x14ac:dyDescent="0.3">
      <c r="I2421" s="101" t="str">
        <f t="shared" si="39"/>
        <v/>
      </c>
    </row>
    <row r="2422" spans="9:9" x14ac:dyDescent="0.3">
      <c r="I2422" s="101" t="str">
        <f t="shared" si="39"/>
        <v/>
      </c>
    </row>
    <row r="2423" spans="9:9" x14ac:dyDescent="0.3">
      <c r="I2423" s="101" t="str">
        <f t="shared" si="39"/>
        <v/>
      </c>
    </row>
    <row r="2424" spans="9:9" x14ac:dyDescent="0.3">
      <c r="I2424" s="101" t="str">
        <f t="shared" si="39"/>
        <v/>
      </c>
    </row>
    <row r="2425" spans="9:9" x14ac:dyDescent="0.3">
      <c r="I2425" s="101" t="str">
        <f t="shared" si="39"/>
        <v/>
      </c>
    </row>
    <row r="2426" spans="9:9" x14ac:dyDescent="0.3">
      <c r="I2426" s="101" t="str">
        <f t="shared" si="39"/>
        <v/>
      </c>
    </row>
    <row r="2427" spans="9:9" x14ac:dyDescent="0.3">
      <c r="I2427" s="101" t="str">
        <f t="shared" si="39"/>
        <v/>
      </c>
    </row>
    <row r="2428" spans="9:9" x14ac:dyDescent="0.3">
      <c r="I2428" s="101" t="str">
        <f t="shared" si="39"/>
        <v/>
      </c>
    </row>
    <row r="2429" spans="9:9" x14ac:dyDescent="0.3">
      <c r="I2429" s="101" t="str">
        <f t="shared" si="39"/>
        <v/>
      </c>
    </row>
    <row r="2430" spans="9:9" x14ac:dyDescent="0.3">
      <c r="I2430" s="101" t="str">
        <f t="shared" si="39"/>
        <v/>
      </c>
    </row>
    <row r="2431" spans="9:9" x14ac:dyDescent="0.3">
      <c r="I2431" s="101" t="str">
        <f t="shared" si="39"/>
        <v/>
      </c>
    </row>
    <row r="2432" spans="9:9" x14ac:dyDescent="0.3">
      <c r="I2432" s="101" t="str">
        <f t="shared" si="39"/>
        <v/>
      </c>
    </row>
    <row r="2433" spans="9:9" x14ac:dyDescent="0.3">
      <c r="I2433" s="101" t="str">
        <f t="shared" si="39"/>
        <v/>
      </c>
    </row>
    <row r="2434" spans="9:9" x14ac:dyDescent="0.3">
      <c r="I2434" s="101" t="str">
        <f t="shared" si="39"/>
        <v/>
      </c>
    </row>
    <row r="2435" spans="9:9" x14ac:dyDescent="0.3">
      <c r="I2435" s="101" t="str">
        <f t="shared" ref="I2435:I2498" si="40">IF(OR(B2435&lt;&gt;B2434,C2435&lt;&gt;C2434),"",IF(E2434=0,"",IF(G2435="UP",(E2435-E2434)/E2434,-((E2435-E2434)/E2434))))</f>
        <v/>
      </c>
    </row>
    <row r="2436" spans="9:9" x14ac:dyDescent="0.3">
      <c r="I2436" s="101" t="str">
        <f t="shared" si="40"/>
        <v/>
      </c>
    </row>
    <row r="2437" spans="9:9" x14ac:dyDescent="0.3">
      <c r="I2437" s="101" t="str">
        <f t="shared" si="40"/>
        <v/>
      </c>
    </row>
    <row r="2438" spans="9:9" x14ac:dyDescent="0.3">
      <c r="I2438" s="101" t="str">
        <f t="shared" si="40"/>
        <v/>
      </c>
    </row>
    <row r="2439" spans="9:9" x14ac:dyDescent="0.3">
      <c r="I2439" s="101" t="str">
        <f t="shared" si="40"/>
        <v/>
      </c>
    </row>
    <row r="2440" spans="9:9" x14ac:dyDescent="0.3">
      <c r="I2440" s="101" t="str">
        <f t="shared" si="40"/>
        <v/>
      </c>
    </row>
    <row r="2441" spans="9:9" x14ac:dyDescent="0.3">
      <c r="I2441" s="101" t="str">
        <f t="shared" si="40"/>
        <v/>
      </c>
    </row>
    <row r="2442" spans="9:9" x14ac:dyDescent="0.3">
      <c r="I2442" s="101" t="str">
        <f t="shared" si="40"/>
        <v/>
      </c>
    </row>
    <row r="2443" spans="9:9" x14ac:dyDescent="0.3">
      <c r="I2443" s="101" t="str">
        <f t="shared" si="40"/>
        <v/>
      </c>
    </row>
    <row r="2444" spans="9:9" x14ac:dyDescent="0.3">
      <c r="I2444" s="101" t="str">
        <f t="shared" si="40"/>
        <v/>
      </c>
    </row>
    <row r="2445" spans="9:9" x14ac:dyDescent="0.3">
      <c r="I2445" s="101" t="str">
        <f t="shared" si="40"/>
        <v/>
      </c>
    </row>
    <row r="2446" spans="9:9" x14ac:dyDescent="0.3">
      <c r="I2446" s="101" t="str">
        <f t="shared" si="40"/>
        <v/>
      </c>
    </row>
    <row r="2447" spans="9:9" x14ac:dyDescent="0.3">
      <c r="I2447" s="101" t="str">
        <f t="shared" si="40"/>
        <v/>
      </c>
    </row>
    <row r="2448" spans="9:9" x14ac:dyDescent="0.3">
      <c r="I2448" s="101" t="str">
        <f t="shared" si="40"/>
        <v/>
      </c>
    </row>
    <row r="2449" spans="9:9" x14ac:dyDescent="0.3">
      <c r="I2449" s="101" t="str">
        <f t="shared" si="40"/>
        <v/>
      </c>
    </row>
    <row r="2450" spans="9:9" x14ac:dyDescent="0.3">
      <c r="I2450" s="101" t="str">
        <f t="shared" si="40"/>
        <v/>
      </c>
    </row>
    <row r="2451" spans="9:9" x14ac:dyDescent="0.3">
      <c r="I2451" s="101" t="str">
        <f t="shared" si="40"/>
        <v/>
      </c>
    </row>
    <row r="2452" spans="9:9" x14ac:dyDescent="0.3">
      <c r="I2452" s="101" t="str">
        <f t="shared" si="40"/>
        <v/>
      </c>
    </row>
    <row r="2453" spans="9:9" x14ac:dyDescent="0.3">
      <c r="I2453" s="101" t="str">
        <f t="shared" si="40"/>
        <v/>
      </c>
    </row>
    <row r="2454" spans="9:9" x14ac:dyDescent="0.3">
      <c r="I2454" s="101" t="str">
        <f t="shared" si="40"/>
        <v/>
      </c>
    </row>
    <row r="2455" spans="9:9" x14ac:dyDescent="0.3">
      <c r="I2455" s="101" t="str">
        <f t="shared" si="40"/>
        <v/>
      </c>
    </row>
    <row r="2456" spans="9:9" x14ac:dyDescent="0.3">
      <c r="I2456" s="101" t="str">
        <f t="shared" si="40"/>
        <v/>
      </c>
    </row>
    <row r="2457" spans="9:9" x14ac:dyDescent="0.3">
      <c r="I2457" s="101" t="str">
        <f t="shared" si="40"/>
        <v/>
      </c>
    </row>
    <row r="2458" spans="9:9" x14ac:dyDescent="0.3">
      <c r="I2458" s="101" t="str">
        <f t="shared" si="40"/>
        <v/>
      </c>
    </row>
    <row r="2459" spans="9:9" x14ac:dyDescent="0.3">
      <c r="I2459" s="101" t="str">
        <f t="shared" si="40"/>
        <v/>
      </c>
    </row>
    <row r="2460" spans="9:9" x14ac:dyDescent="0.3">
      <c r="I2460" s="101" t="str">
        <f t="shared" si="40"/>
        <v/>
      </c>
    </row>
    <row r="2461" spans="9:9" x14ac:dyDescent="0.3">
      <c r="I2461" s="101" t="str">
        <f t="shared" si="40"/>
        <v/>
      </c>
    </row>
    <row r="2462" spans="9:9" x14ac:dyDescent="0.3">
      <c r="I2462" s="101" t="str">
        <f t="shared" si="40"/>
        <v/>
      </c>
    </row>
    <row r="2463" spans="9:9" x14ac:dyDescent="0.3">
      <c r="I2463" s="101" t="str">
        <f t="shared" si="40"/>
        <v/>
      </c>
    </row>
    <row r="2464" spans="9:9" x14ac:dyDescent="0.3">
      <c r="I2464" s="101" t="str">
        <f t="shared" si="40"/>
        <v/>
      </c>
    </row>
    <row r="2465" spans="9:9" x14ac:dyDescent="0.3">
      <c r="I2465" s="101" t="str">
        <f t="shared" si="40"/>
        <v/>
      </c>
    </row>
    <row r="2466" spans="9:9" x14ac:dyDescent="0.3">
      <c r="I2466" s="101" t="str">
        <f t="shared" si="40"/>
        <v/>
      </c>
    </row>
    <row r="2467" spans="9:9" x14ac:dyDescent="0.3">
      <c r="I2467" s="101" t="str">
        <f t="shared" si="40"/>
        <v/>
      </c>
    </row>
    <row r="2468" spans="9:9" x14ac:dyDescent="0.3">
      <c r="I2468" s="101" t="str">
        <f t="shared" si="40"/>
        <v/>
      </c>
    </row>
    <row r="2469" spans="9:9" x14ac:dyDescent="0.3">
      <c r="I2469" s="101" t="str">
        <f t="shared" si="40"/>
        <v/>
      </c>
    </row>
    <row r="2470" spans="9:9" x14ac:dyDescent="0.3">
      <c r="I2470" s="101" t="str">
        <f t="shared" si="40"/>
        <v/>
      </c>
    </row>
    <row r="2471" spans="9:9" x14ac:dyDescent="0.3">
      <c r="I2471" s="101" t="str">
        <f t="shared" si="40"/>
        <v/>
      </c>
    </row>
    <row r="2472" spans="9:9" x14ac:dyDescent="0.3">
      <c r="I2472" s="101" t="str">
        <f t="shared" si="40"/>
        <v/>
      </c>
    </row>
    <row r="2473" spans="9:9" x14ac:dyDescent="0.3">
      <c r="I2473" s="101" t="str">
        <f t="shared" si="40"/>
        <v/>
      </c>
    </row>
    <row r="2474" spans="9:9" x14ac:dyDescent="0.3">
      <c r="I2474" s="101" t="str">
        <f t="shared" si="40"/>
        <v/>
      </c>
    </row>
    <row r="2475" spans="9:9" x14ac:dyDescent="0.3">
      <c r="I2475" s="101" t="str">
        <f t="shared" si="40"/>
        <v/>
      </c>
    </row>
    <row r="2476" spans="9:9" x14ac:dyDescent="0.3">
      <c r="I2476" s="101" t="str">
        <f t="shared" si="40"/>
        <v/>
      </c>
    </row>
    <row r="2477" spans="9:9" x14ac:dyDescent="0.3">
      <c r="I2477" s="101" t="str">
        <f t="shared" si="40"/>
        <v/>
      </c>
    </row>
    <row r="2478" spans="9:9" x14ac:dyDescent="0.3">
      <c r="I2478" s="101" t="str">
        <f t="shared" si="40"/>
        <v/>
      </c>
    </row>
    <row r="2479" spans="9:9" x14ac:dyDescent="0.3">
      <c r="I2479" s="101" t="str">
        <f t="shared" si="40"/>
        <v/>
      </c>
    </row>
    <row r="2480" spans="9:9" x14ac:dyDescent="0.3">
      <c r="I2480" s="101" t="str">
        <f t="shared" si="40"/>
        <v/>
      </c>
    </row>
    <row r="2481" spans="9:9" x14ac:dyDescent="0.3">
      <c r="I2481" s="101" t="str">
        <f t="shared" si="40"/>
        <v/>
      </c>
    </row>
    <row r="2482" spans="9:9" x14ac:dyDescent="0.3">
      <c r="I2482" s="101" t="str">
        <f t="shared" si="40"/>
        <v/>
      </c>
    </row>
    <row r="2483" spans="9:9" x14ac:dyDescent="0.3">
      <c r="I2483" s="101" t="str">
        <f t="shared" si="40"/>
        <v/>
      </c>
    </row>
    <row r="2484" spans="9:9" x14ac:dyDescent="0.3">
      <c r="I2484" s="101" t="str">
        <f t="shared" si="40"/>
        <v/>
      </c>
    </row>
    <row r="2485" spans="9:9" x14ac:dyDescent="0.3">
      <c r="I2485" s="101" t="str">
        <f t="shared" si="40"/>
        <v/>
      </c>
    </row>
    <row r="2486" spans="9:9" x14ac:dyDescent="0.3">
      <c r="I2486" s="101" t="str">
        <f t="shared" si="40"/>
        <v/>
      </c>
    </row>
    <row r="2487" spans="9:9" x14ac:dyDescent="0.3">
      <c r="I2487" s="101" t="str">
        <f t="shared" si="40"/>
        <v/>
      </c>
    </row>
    <row r="2488" spans="9:9" x14ac:dyDescent="0.3">
      <c r="I2488" s="101" t="str">
        <f t="shared" si="40"/>
        <v/>
      </c>
    </row>
    <row r="2489" spans="9:9" x14ac:dyDescent="0.3">
      <c r="I2489" s="101" t="str">
        <f t="shared" si="40"/>
        <v/>
      </c>
    </row>
    <row r="2490" spans="9:9" x14ac:dyDescent="0.3">
      <c r="I2490" s="101" t="str">
        <f t="shared" si="40"/>
        <v/>
      </c>
    </row>
    <row r="2491" spans="9:9" x14ac:dyDescent="0.3">
      <c r="I2491" s="101" t="str">
        <f t="shared" si="40"/>
        <v/>
      </c>
    </row>
    <row r="2492" spans="9:9" x14ac:dyDescent="0.3">
      <c r="I2492" s="101" t="str">
        <f t="shared" si="40"/>
        <v/>
      </c>
    </row>
    <row r="2493" spans="9:9" x14ac:dyDescent="0.3">
      <c r="I2493" s="101" t="str">
        <f t="shared" si="40"/>
        <v/>
      </c>
    </row>
    <row r="2494" spans="9:9" x14ac:dyDescent="0.3">
      <c r="I2494" s="101" t="str">
        <f t="shared" si="40"/>
        <v/>
      </c>
    </row>
    <row r="2495" spans="9:9" x14ac:dyDescent="0.3">
      <c r="I2495" s="101" t="str">
        <f t="shared" si="40"/>
        <v/>
      </c>
    </row>
    <row r="2496" spans="9:9" x14ac:dyDescent="0.3">
      <c r="I2496" s="101" t="str">
        <f t="shared" si="40"/>
        <v/>
      </c>
    </row>
    <row r="2497" spans="9:9" x14ac:dyDescent="0.3">
      <c r="I2497" s="101" t="str">
        <f t="shared" si="40"/>
        <v/>
      </c>
    </row>
    <row r="2498" spans="9:9" x14ac:dyDescent="0.3">
      <c r="I2498" s="101" t="str">
        <f t="shared" si="40"/>
        <v/>
      </c>
    </row>
    <row r="2499" spans="9:9" x14ac:dyDescent="0.3">
      <c r="I2499" s="101" t="str">
        <f t="shared" ref="I2499:I2562" si="41">IF(OR(B2499&lt;&gt;B2498,C2499&lt;&gt;C2498),"",IF(E2498=0,"",IF(G2499="UP",(E2499-E2498)/E2498,-((E2499-E2498)/E2498))))</f>
        <v/>
      </c>
    </row>
    <row r="2500" spans="9:9" x14ac:dyDescent="0.3">
      <c r="I2500" s="101" t="str">
        <f t="shared" si="41"/>
        <v/>
      </c>
    </row>
    <row r="2501" spans="9:9" x14ac:dyDescent="0.3">
      <c r="I2501" s="101" t="str">
        <f t="shared" si="41"/>
        <v/>
      </c>
    </row>
    <row r="2502" spans="9:9" x14ac:dyDescent="0.3">
      <c r="I2502" s="101" t="str">
        <f t="shared" si="41"/>
        <v/>
      </c>
    </row>
    <row r="2503" spans="9:9" x14ac:dyDescent="0.3">
      <c r="I2503" s="101" t="str">
        <f t="shared" si="41"/>
        <v/>
      </c>
    </row>
    <row r="2504" spans="9:9" x14ac:dyDescent="0.3">
      <c r="I2504" s="101" t="str">
        <f t="shared" si="41"/>
        <v/>
      </c>
    </row>
    <row r="2505" spans="9:9" x14ac:dyDescent="0.3">
      <c r="I2505" s="101" t="str">
        <f t="shared" si="41"/>
        <v/>
      </c>
    </row>
    <row r="2506" spans="9:9" x14ac:dyDescent="0.3">
      <c r="I2506" s="101" t="str">
        <f t="shared" si="41"/>
        <v/>
      </c>
    </row>
    <row r="2507" spans="9:9" x14ac:dyDescent="0.3">
      <c r="I2507" s="101" t="str">
        <f t="shared" si="41"/>
        <v/>
      </c>
    </row>
    <row r="2508" spans="9:9" x14ac:dyDescent="0.3">
      <c r="I2508" s="101" t="str">
        <f t="shared" si="41"/>
        <v/>
      </c>
    </row>
    <row r="2509" spans="9:9" x14ac:dyDescent="0.3">
      <c r="I2509" s="101" t="str">
        <f t="shared" si="41"/>
        <v/>
      </c>
    </row>
    <row r="2510" spans="9:9" x14ac:dyDescent="0.3">
      <c r="I2510" s="101" t="str">
        <f t="shared" si="41"/>
        <v/>
      </c>
    </row>
    <row r="2511" spans="9:9" x14ac:dyDescent="0.3">
      <c r="I2511" s="101" t="str">
        <f t="shared" si="41"/>
        <v/>
      </c>
    </row>
    <row r="2512" spans="9:9" x14ac:dyDescent="0.3">
      <c r="I2512" s="101" t="str">
        <f t="shared" si="41"/>
        <v/>
      </c>
    </row>
    <row r="2513" spans="9:9" x14ac:dyDescent="0.3">
      <c r="I2513" s="101" t="str">
        <f t="shared" si="41"/>
        <v/>
      </c>
    </row>
    <row r="2514" spans="9:9" x14ac:dyDescent="0.3">
      <c r="I2514" s="101" t="str">
        <f t="shared" si="41"/>
        <v/>
      </c>
    </row>
    <row r="2515" spans="9:9" x14ac:dyDescent="0.3">
      <c r="I2515" s="101" t="str">
        <f t="shared" si="41"/>
        <v/>
      </c>
    </row>
    <row r="2516" spans="9:9" x14ac:dyDescent="0.3">
      <c r="I2516" s="101" t="str">
        <f t="shared" si="41"/>
        <v/>
      </c>
    </row>
    <row r="2517" spans="9:9" x14ac:dyDescent="0.3">
      <c r="I2517" s="101" t="str">
        <f t="shared" si="41"/>
        <v/>
      </c>
    </row>
    <row r="2518" spans="9:9" x14ac:dyDescent="0.3">
      <c r="I2518" s="101" t="str">
        <f t="shared" si="41"/>
        <v/>
      </c>
    </row>
    <row r="2519" spans="9:9" x14ac:dyDescent="0.3">
      <c r="I2519" s="101" t="str">
        <f t="shared" si="41"/>
        <v/>
      </c>
    </row>
    <row r="2520" spans="9:9" x14ac:dyDescent="0.3">
      <c r="I2520" s="101" t="str">
        <f t="shared" si="41"/>
        <v/>
      </c>
    </row>
    <row r="2521" spans="9:9" x14ac:dyDescent="0.3">
      <c r="I2521" s="101" t="str">
        <f t="shared" si="41"/>
        <v/>
      </c>
    </row>
    <row r="2522" spans="9:9" x14ac:dyDescent="0.3">
      <c r="I2522" s="101" t="str">
        <f t="shared" si="41"/>
        <v/>
      </c>
    </row>
    <row r="2523" spans="9:9" x14ac:dyDescent="0.3">
      <c r="I2523" s="101" t="str">
        <f t="shared" si="41"/>
        <v/>
      </c>
    </row>
    <row r="2524" spans="9:9" x14ac:dyDescent="0.3">
      <c r="I2524" s="101" t="str">
        <f t="shared" si="41"/>
        <v/>
      </c>
    </row>
    <row r="2525" spans="9:9" x14ac:dyDescent="0.3">
      <c r="I2525" s="101" t="str">
        <f t="shared" si="41"/>
        <v/>
      </c>
    </row>
    <row r="2526" spans="9:9" x14ac:dyDescent="0.3">
      <c r="I2526" s="101" t="str">
        <f t="shared" si="41"/>
        <v/>
      </c>
    </row>
    <row r="2527" spans="9:9" x14ac:dyDescent="0.3">
      <c r="I2527" s="101" t="str">
        <f t="shared" si="41"/>
        <v/>
      </c>
    </row>
    <row r="2528" spans="9:9" x14ac:dyDescent="0.3">
      <c r="I2528" s="101" t="str">
        <f t="shared" si="41"/>
        <v/>
      </c>
    </row>
    <row r="2529" spans="9:9" x14ac:dyDescent="0.3">
      <c r="I2529" s="101" t="str">
        <f t="shared" si="41"/>
        <v/>
      </c>
    </row>
    <row r="2530" spans="9:9" x14ac:dyDescent="0.3">
      <c r="I2530" s="101" t="str">
        <f t="shared" si="41"/>
        <v/>
      </c>
    </row>
    <row r="2531" spans="9:9" x14ac:dyDescent="0.3">
      <c r="I2531" s="101" t="str">
        <f t="shared" si="41"/>
        <v/>
      </c>
    </row>
    <row r="2532" spans="9:9" x14ac:dyDescent="0.3">
      <c r="I2532" s="101" t="str">
        <f t="shared" si="41"/>
        <v/>
      </c>
    </row>
    <row r="2533" spans="9:9" x14ac:dyDescent="0.3">
      <c r="I2533" s="101" t="str">
        <f t="shared" si="41"/>
        <v/>
      </c>
    </row>
    <row r="2534" spans="9:9" x14ac:dyDescent="0.3">
      <c r="I2534" s="101" t="str">
        <f t="shared" si="41"/>
        <v/>
      </c>
    </row>
    <row r="2535" spans="9:9" x14ac:dyDescent="0.3">
      <c r="I2535" s="101" t="str">
        <f t="shared" si="41"/>
        <v/>
      </c>
    </row>
    <row r="2536" spans="9:9" x14ac:dyDescent="0.3">
      <c r="I2536" s="101" t="str">
        <f t="shared" si="41"/>
        <v/>
      </c>
    </row>
    <row r="2537" spans="9:9" x14ac:dyDescent="0.3">
      <c r="I2537" s="101" t="str">
        <f t="shared" si="41"/>
        <v/>
      </c>
    </row>
    <row r="2538" spans="9:9" x14ac:dyDescent="0.3">
      <c r="I2538" s="101" t="str">
        <f t="shared" si="41"/>
        <v/>
      </c>
    </row>
    <row r="2539" spans="9:9" x14ac:dyDescent="0.3">
      <c r="I2539" s="101" t="str">
        <f t="shared" si="41"/>
        <v/>
      </c>
    </row>
    <row r="2540" spans="9:9" x14ac:dyDescent="0.3">
      <c r="I2540" s="101" t="str">
        <f t="shared" si="41"/>
        <v/>
      </c>
    </row>
    <row r="2541" spans="9:9" x14ac:dyDescent="0.3">
      <c r="I2541" s="101" t="str">
        <f t="shared" si="41"/>
        <v/>
      </c>
    </row>
    <row r="2542" spans="9:9" x14ac:dyDescent="0.3">
      <c r="I2542" s="101" t="str">
        <f t="shared" si="41"/>
        <v/>
      </c>
    </row>
    <row r="2543" spans="9:9" x14ac:dyDescent="0.3">
      <c r="I2543" s="101" t="str">
        <f t="shared" si="41"/>
        <v/>
      </c>
    </row>
    <row r="2544" spans="9:9" x14ac:dyDescent="0.3">
      <c r="I2544" s="101" t="str">
        <f t="shared" si="41"/>
        <v/>
      </c>
    </row>
    <row r="2545" spans="9:9" x14ac:dyDescent="0.3">
      <c r="I2545" s="101" t="str">
        <f t="shared" si="41"/>
        <v/>
      </c>
    </row>
    <row r="2546" spans="9:9" x14ac:dyDescent="0.3">
      <c r="I2546" s="101" t="str">
        <f t="shared" si="41"/>
        <v/>
      </c>
    </row>
    <row r="2547" spans="9:9" x14ac:dyDescent="0.3">
      <c r="I2547" s="101" t="str">
        <f t="shared" si="41"/>
        <v/>
      </c>
    </row>
    <row r="2548" spans="9:9" x14ac:dyDescent="0.3">
      <c r="I2548" s="101" t="str">
        <f t="shared" si="41"/>
        <v/>
      </c>
    </row>
    <row r="2549" spans="9:9" x14ac:dyDescent="0.3">
      <c r="I2549" s="101" t="str">
        <f t="shared" si="41"/>
        <v/>
      </c>
    </row>
    <row r="2550" spans="9:9" x14ac:dyDescent="0.3">
      <c r="I2550" s="101" t="str">
        <f t="shared" si="41"/>
        <v/>
      </c>
    </row>
    <row r="2551" spans="9:9" x14ac:dyDescent="0.3">
      <c r="I2551" s="101" t="str">
        <f t="shared" si="41"/>
        <v/>
      </c>
    </row>
    <row r="2552" spans="9:9" x14ac:dyDescent="0.3">
      <c r="I2552" s="101" t="str">
        <f t="shared" si="41"/>
        <v/>
      </c>
    </row>
    <row r="2553" spans="9:9" x14ac:dyDescent="0.3">
      <c r="I2553" s="101" t="str">
        <f t="shared" si="41"/>
        <v/>
      </c>
    </row>
    <row r="2554" spans="9:9" x14ac:dyDescent="0.3">
      <c r="I2554" s="101" t="str">
        <f t="shared" si="41"/>
        <v/>
      </c>
    </row>
    <row r="2555" spans="9:9" x14ac:dyDescent="0.3">
      <c r="I2555" s="101" t="str">
        <f t="shared" si="41"/>
        <v/>
      </c>
    </row>
    <row r="2556" spans="9:9" x14ac:dyDescent="0.3">
      <c r="I2556" s="101" t="str">
        <f t="shared" si="41"/>
        <v/>
      </c>
    </row>
    <row r="2557" spans="9:9" x14ac:dyDescent="0.3">
      <c r="I2557" s="101" t="str">
        <f t="shared" si="41"/>
        <v/>
      </c>
    </row>
    <row r="2558" spans="9:9" x14ac:dyDescent="0.3">
      <c r="I2558" s="101" t="str">
        <f t="shared" si="41"/>
        <v/>
      </c>
    </row>
    <row r="2559" spans="9:9" x14ac:dyDescent="0.3">
      <c r="I2559" s="101" t="str">
        <f t="shared" si="41"/>
        <v/>
      </c>
    </row>
    <row r="2560" spans="9:9" x14ac:dyDescent="0.3">
      <c r="I2560" s="101" t="str">
        <f t="shared" si="41"/>
        <v/>
      </c>
    </row>
    <row r="2561" spans="9:9" x14ac:dyDescent="0.3">
      <c r="I2561" s="101" t="str">
        <f t="shared" si="41"/>
        <v/>
      </c>
    </row>
    <row r="2562" spans="9:9" x14ac:dyDescent="0.3">
      <c r="I2562" s="101" t="str">
        <f t="shared" si="41"/>
        <v/>
      </c>
    </row>
    <row r="2563" spans="9:9" x14ac:dyDescent="0.3">
      <c r="I2563" s="101" t="str">
        <f t="shared" ref="I2563:I2626" si="42">IF(OR(B2563&lt;&gt;B2562,C2563&lt;&gt;C2562),"",IF(E2562=0,"",IF(G2563="UP",(E2563-E2562)/E2562,-((E2563-E2562)/E2562))))</f>
        <v/>
      </c>
    </row>
    <row r="2564" spans="9:9" x14ac:dyDescent="0.3">
      <c r="I2564" s="101" t="str">
        <f t="shared" si="42"/>
        <v/>
      </c>
    </row>
    <row r="2565" spans="9:9" x14ac:dyDescent="0.3">
      <c r="I2565" s="101" t="str">
        <f t="shared" si="42"/>
        <v/>
      </c>
    </row>
    <row r="2566" spans="9:9" x14ac:dyDescent="0.3">
      <c r="I2566" s="101" t="str">
        <f t="shared" si="42"/>
        <v/>
      </c>
    </row>
    <row r="2567" spans="9:9" x14ac:dyDescent="0.3">
      <c r="I2567" s="101" t="str">
        <f t="shared" si="42"/>
        <v/>
      </c>
    </row>
    <row r="2568" spans="9:9" x14ac:dyDescent="0.3">
      <c r="I2568" s="101" t="str">
        <f t="shared" si="42"/>
        <v/>
      </c>
    </row>
    <row r="2569" spans="9:9" x14ac:dyDescent="0.3">
      <c r="I2569" s="101" t="str">
        <f t="shared" si="42"/>
        <v/>
      </c>
    </row>
    <row r="2570" spans="9:9" x14ac:dyDescent="0.3">
      <c r="I2570" s="101" t="str">
        <f t="shared" si="42"/>
        <v/>
      </c>
    </row>
    <row r="2571" spans="9:9" x14ac:dyDescent="0.3">
      <c r="I2571" s="101" t="str">
        <f t="shared" si="42"/>
        <v/>
      </c>
    </row>
    <row r="2572" spans="9:9" x14ac:dyDescent="0.3">
      <c r="I2572" s="101" t="str">
        <f t="shared" si="42"/>
        <v/>
      </c>
    </row>
    <row r="2573" spans="9:9" x14ac:dyDescent="0.3">
      <c r="I2573" s="101" t="str">
        <f t="shared" si="42"/>
        <v/>
      </c>
    </row>
    <row r="2574" spans="9:9" x14ac:dyDescent="0.3">
      <c r="I2574" s="101" t="str">
        <f t="shared" si="42"/>
        <v/>
      </c>
    </row>
    <row r="2575" spans="9:9" x14ac:dyDescent="0.3">
      <c r="I2575" s="101" t="str">
        <f t="shared" si="42"/>
        <v/>
      </c>
    </row>
    <row r="2576" spans="9:9" x14ac:dyDescent="0.3">
      <c r="I2576" s="101" t="str">
        <f t="shared" si="42"/>
        <v/>
      </c>
    </row>
    <row r="2577" spans="9:9" x14ac:dyDescent="0.3">
      <c r="I2577" s="101" t="str">
        <f t="shared" si="42"/>
        <v/>
      </c>
    </row>
    <row r="2578" spans="9:9" x14ac:dyDescent="0.3">
      <c r="I2578" s="101" t="str">
        <f t="shared" si="42"/>
        <v/>
      </c>
    </row>
    <row r="2579" spans="9:9" x14ac:dyDescent="0.3">
      <c r="I2579" s="101" t="str">
        <f t="shared" si="42"/>
        <v/>
      </c>
    </row>
    <row r="2580" spans="9:9" x14ac:dyDescent="0.3">
      <c r="I2580" s="101" t="str">
        <f t="shared" si="42"/>
        <v/>
      </c>
    </row>
    <row r="2581" spans="9:9" x14ac:dyDescent="0.3">
      <c r="I2581" s="101" t="str">
        <f t="shared" si="42"/>
        <v/>
      </c>
    </row>
    <row r="2582" spans="9:9" x14ac:dyDescent="0.3">
      <c r="I2582" s="101" t="str">
        <f t="shared" si="42"/>
        <v/>
      </c>
    </row>
    <row r="2583" spans="9:9" x14ac:dyDescent="0.3">
      <c r="I2583" s="101" t="str">
        <f t="shared" si="42"/>
        <v/>
      </c>
    </row>
    <row r="2584" spans="9:9" x14ac:dyDescent="0.3">
      <c r="I2584" s="101" t="str">
        <f t="shared" si="42"/>
        <v/>
      </c>
    </row>
    <row r="2585" spans="9:9" x14ac:dyDescent="0.3">
      <c r="I2585" s="101" t="str">
        <f t="shared" si="42"/>
        <v/>
      </c>
    </row>
    <row r="2586" spans="9:9" x14ac:dyDescent="0.3">
      <c r="I2586" s="101" t="str">
        <f t="shared" si="42"/>
        <v/>
      </c>
    </row>
    <row r="2587" spans="9:9" x14ac:dyDescent="0.3">
      <c r="I2587" s="101" t="str">
        <f t="shared" si="42"/>
        <v/>
      </c>
    </row>
    <row r="2588" spans="9:9" x14ac:dyDescent="0.3">
      <c r="I2588" s="101" t="str">
        <f t="shared" si="42"/>
        <v/>
      </c>
    </row>
    <row r="2589" spans="9:9" x14ac:dyDescent="0.3">
      <c r="I2589" s="101" t="str">
        <f t="shared" si="42"/>
        <v/>
      </c>
    </row>
    <row r="2590" spans="9:9" x14ac:dyDescent="0.3">
      <c r="I2590" s="101" t="str">
        <f t="shared" si="42"/>
        <v/>
      </c>
    </row>
    <row r="2591" spans="9:9" x14ac:dyDescent="0.3">
      <c r="I2591" s="101" t="str">
        <f t="shared" si="42"/>
        <v/>
      </c>
    </row>
    <row r="2592" spans="9:9" x14ac:dyDescent="0.3">
      <c r="I2592" s="101" t="str">
        <f t="shared" si="42"/>
        <v/>
      </c>
    </row>
    <row r="2593" spans="9:9" x14ac:dyDescent="0.3">
      <c r="I2593" s="101" t="str">
        <f t="shared" si="42"/>
        <v/>
      </c>
    </row>
    <row r="2594" spans="9:9" x14ac:dyDescent="0.3">
      <c r="I2594" s="101" t="str">
        <f t="shared" si="42"/>
        <v/>
      </c>
    </row>
    <row r="2595" spans="9:9" x14ac:dyDescent="0.3">
      <c r="I2595" s="101" t="str">
        <f t="shared" si="42"/>
        <v/>
      </c>
    </row>
    <row r="2596" spans="9:9" x14ac:dyDescent="0.3">
      <c r="I2596" s="101" t="str">
        <f t="shared" si="42"/>
        <v/>
      </c>
    </row>
    <row r="2597" spans="9:9" x14ac:dyDescent="0.3">
      <c r="I2597" s="101" t="str">
        <f t="shared" si="42"/>
        <v/>
      </c>
    </row>
    <row r="2598" spans="9:9" x14ac:dyDescent="0.3">
      <c r="I2598" s="101" t="str">
        <f t="shared" si="42"/>
        <v/>
      </c>
    </row>
    <row r="2599" spans="9:9" x14ac:dyDescent="0.3">
      <c r="I2599" s="101" t="str">
        <f t="shared" si="42"/>
        <v/>
      </c>
    </row>
    <row r="2600" spans="9:9" x14ac:dyDescent="0.3">
      <c r="I2600" s="101" t="str">
        <f t="shared" si="42"/>
        <v/>
      </c>
    </row>
    <row r="2601" spans="9:9" x14ac:dyDescent="0.3">
      <c r="I2601" s="101" t="str">
        <f t="shared" si="42"/>
        <v/>
      </c>
    </row>
    <row r="2602" spans="9:9" x14ac:dyDescent="0.3">
      <c r="I2602" s="101" t="str">
        <f t="shared" si="42"/>
        <v/>
      </c>
    </row>
    <row r="2603" spans="9:9" x14ac:dyDescent="0.3">
      <c r="I2603" s="101" t="str">
        <f t="shared" si="42"/>
        <v/>
      </c>
    </row>
    <row r="2604" spans="9:9" x14ac:dyDescent="0.3">
      <c r="I2604" s="101" t="str">
        <f t="shared" si="42"/>
        <v/>
      </c>
    </row>
    <row r="2605" spans="9:9" x14ac:dyDescent="0.3">
      <c r="I2605" s="101" t="str">
        <f t="shared" si="42"/>
        <v/>
      </c>
    </row>
    <row r="2606" spans="9:9" x14ac:dyDescent="0.3">
      <c r="I2606" s="101" t="str">
        <f t="shared" si="42"/>
        <v/>
      </c>
    </row>
    <row r="2607" spans="9:9" x14ac:dyDescent="0.3">
      <c r="I2607" s="101" t="str">
        <f t="shared" si="42"/>
        <v/>
      </c>
    </row>
    <row r="2608" spans="9:9" x14ac:dyDescent="0.3">
      <c r="I2608" s="101" t="str">
        <f t="shared" si="42"/>
        <v/>
      </c>
    </row>
    <row r="2609" spans="9:9" x14ac:dyDescent="0.3">
      <c r="I2609" s="101" t="str">
        <f t="shared" si="42"/>
        <v/>
      </c>
    </row>
    <row r="2610" spans="9:9" x14ac:dyDescent="0.3">
      <c r="I2610" s="101" t="str">
        <f t="shared" si="42"/>
        <v/>
      </c>
    </row>
    <row r="2611" spans="9:9" x14ac:dyDescent="0.3">
      <c r="I2611" s="101" t="str">
        <f t="shared" si="42"/>
        <v/>
      </c>
    </row>
    <row r="2612" spans="9:9" x14ac:dyDescent="0.3">
      <c r="I2612" s="101" t="str">
        <f t="shared" si="42"/>
        <v/>
      </c>
    </row>
    <row r="2613" spans="9:9" x14ac:dyDescent="0.3">
      <c r="I2613" s="101" t="str">
        <f t="shared" si="42"/>
        <v/>
      </c>
    </row>
    <row r="2614" spans="9:9" x14ac:dyDescent="0.3">
      <c r="I2614" s="101" t="str">
        <f t="shared" si="42"/>
        <v/>
      </c>
    </row>
    <row r="2615" spans="9:9" x14ac:dyDescent="0.3">
      <c r="I2615" s="101" t="str">
        <f t="shared" si="42"/>
        <v/>
      </c>
    </row>
    <row r="2616" spans="9:9" x14ac:dyDescent="0.3">
      <c r="I2616" s="101" t="str">
        <f t="shared" si="42"/>
        <v/>
      </c>
    </row>
    <row r="2617" spans="9:9" x14ac:dyDescent="0.3">
      <c r="I2617" s="101" t="str">
        <f t="shared" si="42"/>
        <v/>
      </c>
    </row>
    <row r="2618" spans="9:9" x14ac:dyDescent="0.3">
      <c r="I2618" s="101" t="str">
        <f t="shared" si="42"/>
        <v/>
      </c>
    </row>
    <row r="2619" spans="9:9" x14ac:dyDescent="0.3">
      <c r="I2619" s="101" t="str">
        <f t="shared" si="42"/>
        <v/>
      </c>
    </row>
    <row r="2620" spans="9:9" x14ac:dyDescent="0.3">
      <c r="I2620" s="101" t="str">
        <f t="shared" si="42"/>
        <v/>
      </c>
    </row>
    <row r="2621" spans="9:9" x14ac:dyDescent="0.3">
      <c r="I2621" s="101" t="str">
        <f t="shared" si="42"/>
        <v/>
      </c>
    </row>
    <row r="2622" spans="9:9" x14ac:dyDescent="0.3">
      <c r="I2622" s="101" t="str">
        <f t="shared" si="42"/>
        <v/>
      </c>
    </row>
    <row r="2623" spans="9:9" x14ac:dyDescent="0.3">
      <c r="I2623" s="101" t="str">
        <f t="shared" si="42"/>
        <v/>
      </c>
    </row>
    <row r="2624" spans="9:9" x14ac:dyDescent="0.3">
      <c r="I2624" s="101" t="str">
        <f t="shared" si="42"/>
        <v/>
      </c>
    </row>
    <row r="2625" spans="9:9" x14ac:dyDescent="0.3">
      <c r="I2625" s="101" t="str">
        <f t="shared" si="42"/>
        <v/>
      </c>
    </row>
    <row r="2626" spans="9:9" x14ac:dyDescent="0.3">
      <c r="I2626" s="101" t="str">
        <f t="shared" si="42"/>
        <v/>
      </c>
    </row>
    <row r="2627" spans="9:9" x14ac:dyDescent="0.3">
      <c r="I2627" s="101" t="str">
        <f t="shared" ref="I2627:I2690" si="43">IF(OR(B2627&lt;&gt;B2626,C2627&lt;&gt;C2626),"",IF(E2626=0,"",IF(G2627="UP",(E2627-E2626)/E2626,-((E2627-E2626)/E2626))))</f>
        <v/>
      </c>
    </row>
    <row r="2628" spans="9:9" x14ac:dyDescent="0.3">
      <c r="I2628" s="101" t="str">
        <f t="shared" si="43"/>
        <v/>
      </c>
    </row>
    <row r="2629" spans="9:9" x14ac:dyDescent="0.3">
      <c r="I2629" s="101" t="str">
        <f t="shared" si="43"/>
        <v/>
      </c>
    </row>
    <row r="2630" spans="9:9" x14ac:dyDescent="0.3">
      <c r="I2630" s="101" t="str">
        <f t="shared" si="43"/>
        <v/>
      </c>
    </row>
    <row r="2631" spans="9:9" x14ac:dyDescent="0.3">
      <c r="I2631" s="101" t="str">
        <f t="shared" si="43"/>
        <v/>
      </c>
    </row>
    <row r="2632" spans="9:9" x14ac:dyDescent="0.3">
      <c r="I2632" s="101" t="str">
        <f t="shared" si="43"/>
        <v/>
      </c>
    </row>
    <row r="2633" spans="9:9" x14ac:dyDescent="0.3">
      <c r="I2633" s="101" t="str">
        <f t="shared" si="43"/>
        <v/>
      </c>
    </row>
    <row r="2634" spans="9:9" x14ac:dyDescent="0.3">
      <c r="I2634" s="101" t="str">
        <f t="shared" si="43"/>
        <v/>
      </c>
    </row>
    <row r="2635" spans="9:9" x14ac:dyDescent="0.3">
      <c r="I2635" s="101" t="str">
        <f t="shared" si="43"/>
        <v/>
      </c>
    </row>
    <row r="2636" spans="9:9" x14ac:dyDescent="0.3">
      <c r="I2636" s="101" t="str">
        <f t="shared" si="43"/>
        <v/>
      </c>
    </row>
    <row r="2637" spans="9:9" x14ac:dyDescent="0.3">
      <c r="I2637" s="101" t="str">
        <f t="shared" si="43"/>
        <v/>
      </c>
    </row>
    <row r="2638" spans="9:9" x14ac:dyDescent="0.3">
      <c r="I2638" s="101" t="str">
        <f t="shared" si="43"/>
        <v/>
      </c>
    </row>
    <row r="2639" spans="9:9" x14ac:dyDescent="0.3">
      <c r="I2639" s="101" t="str">
        <f t="shared" si="43"/>
        <v/>
      </c>
    </row>
    <row r="2640" spans="9:9" x14ac:dyDescent="0.3">
      <c r="I2640" s="101" t="str">
        <f t="shared" si="43"/>
        <v/>
      </c>
    </row>
    <row r="2641" spans="9:9" x14ac:dyDescent="0.3">
      <c r="I2641" s="101" t="str">
        <f t="shared" si="43"/>
        <v/>
      </c>
    </row>
    <row r="2642" spans="9:9" x14ac:dyDescent="0.3">
      <c r="I2642" s="101" t="str">
        <f t="shared" si="43"/>
        <v/>
      </c>
    </row>
    <row r="2643" spans="9:9" x14ac:dyDescent="0.3">
      <c r="I2643" s="101" t="str">
        <f t="shared" si="43"/>
        <v/>
      </c>
    </row>
    <row r="2644" spans="9:9" x14ac:dyDescent="0.3">
      <c r="I2644" s="101" t="str">
        <f t="shared" si="43"/>
        <v/>
      </c>
    </row>
    <row r="2645" spans="9:9" x14ac:dyDescent="0.3">
      <c r="I2645" s="101" t="str">
        <f t="shared" si="43"/>
        <v/>
      </c>
    </row>
    <row r="2646" spans="9:9" x14ac:dyDescent="0.3">
      <c r="I2646" s="101" t="str">
        <f t="shared" si="43"/>
        <v/>
      </c>
    </row>
    <row r="2647" spans="9:9" x14ac:dyDescent="0.3">
      <c r="I2647" s="101" t="str">
        <f t="shared" si="43"/>
        <v/>
      </c>
    </row>
    <row r="2648" spans="9:9" x14ac:dyDescent="0.3">
      <c r="I2648" s="101" t="str">
        <f t="shared" si="43"/>
        <v/>
      </c>
    </row>
    <row r="2649" spans="9:9" x14ac:dyDescent="0.3">
      <c r="I2649" s="101" t="str">
        <f t="shared" si="43"/>
        <v/>
      </c>
    </row>
    <row r="2650" spans="9:9" x14ac:dyDescent="0.3">
      <c r="I2650" s="101" t="str">
        <f t="shared" si="43"/>
        <v/>
      </c>
    </row>
    <row r="2651" spans="9:9" x14ac:dyDescent="0.3">
      <c r="I2651" s="101" t="str">
        <f t="shared" si="43"/>
        <v/>
      </c>
    </row>
    <row r="2652" spans="9:9" x14ac:dyDescent="0.3">
      <c r="I2652" s="101" t="str">
        <f t="shared" si="43"/>
        <v/>
      </c>
    </row>
    <row r="2653" spans="9:9" x14ac:dyDescent="0.3">
      <c r="I2653" s="101" t="str">
        <f t="shared" si="43"/>
        <v/>
      </c>
    </row>
    <row r="2654" spans="9:9" x14ac:dyDescent="0.3">
      <c r="I2654" s="101" t="str">
        <f t="shared" si="43"/>
        <v/>
      </c>
    </row>
    <row r="2655" spans="9:9" x14ac:dyDescent="0.3">
      <c r="I2655" s="101" t="str">
        <f t="shared" si="43"/>
        <v/>
      </c>
    </row>
    <row r="2656" spans="9:9" x14ac:dyDescent="0.3">
      <c r="I2656" s="101" t="str">
        <f t="shared" si="43"/>
        <v/>
      </c>
    </row>
    <row r="2657" spans="9:9" x14ac:dyDescent="0.3">
      <c r="I2657" s="101" t="str">
        <f t="shared" si="43"/>
        <v/>
      </c>
    </row>
    <row r="2658" spans="9:9" x14ac:dyDescent="0.3">
      <c r="I2658" s="101" t="str">
        <f t="shared" si="43"/>
        <v/>
      </c>
    </row>
    <row r="2659" spans="9:9" x14ac:dyDescent="0.3">
      <c r="I2659" s="101" t="str">
        <f t="shared" si="43"/>
        <v/>
      </c>
    </row>
    <row r="2660" spans="9:9" x14ac:dyDescent="0.3">
      <c r="I2660" s="101" t="str">
        <f t="shared" si="43"/>
        <v/>
      </c>
    </row>
    <row r="2661" spans="9:9" x14ac:dyDescent="0.3">
      <c r="I2661" s="101" t="str">
        <f t="shared" si="43"/>
        <v/>
      </c>
    </row>
    <row r="2662" spans="9:9" x14ac:dyDescent="0.3">
      <c r="I2662" s="101" t="str">
        <f t="shared" si="43"/>
        <v/>
      </c>
    </row>
    <row r="2663" spans="9:9" x14ac:dyDescent="0.3">
      <c r="I2663" s="101" t="str">
        <f t="shared" si="43"/>
        <v/>
      </c>
    </row>
    <row r="2664" spans="9:9" x14ac:dyDescent="0.3">
      <c r="I2664" s="101" t="str">
        <f t="shared" si="43"/>
        <v/>
      </c>
    </row>
    <row r="2665" spans="9:9" x14ac:dyDescent="0.3">
      <c r="I2665" s="101" t="str">
        <f t="shared" si="43"/>
        <v/>
      </c>
    </row>
    <row r="2666" spans="9:9" x14ac:dyDescent="0.3">
      <c r="I2666" s="101" t="str">
        <f t="shared" si="43"/>
        <v/>
      </c>
    </row>
    <row r="2667" spans="9:9" x14ac:dyDescent="0.3">
      <c r="I2667" s="101" t="str">
        <f t="shared" si="43"/>
        <v/>
      </c>
    </row>
    <row r="2668" spans="9:9" x14ac:dyDescent="0.3">
      <c r="I2668" s="101" t="str">
        <f t="shared" si="43"/>
        <v/>
      </c>
    </row>
    <row r="2669" spans="9:9" x14ac:dyDescent="0.3">
      <c r="I2669" s="101" t="str">
        <f t="shared" si="43"/>
        <v/>
      </c>
    </row>
    <row r="2670" spans="9:9" x14ac:dyDescent="0.3">
      <c r="I2670" s="101" t="str">
        <f t="shared" si="43"/>
        <v/>
      </c>
    </row>
    <row r="2671" spans="9:9" x14ac:dyDescent="0.3">
      <c r="I2671" s="101" t="str">
        <f t="shared" si="43"/>
        <v/>
      </c>
    </row>
    <row r="2672" spans="9:9" x14ac:dyDescent="0.3">
      <c r="I2672" s="101" t="str">
        <f t="shared" si="43"/>
        <v/>
      </c>
    </row>
    <row r="2673" spans="9:9" x14ac:dyDescent="0.3">
      <c r="I2673" s="101" t="str">
        <f t="shared" si="43"/>
        <v/>
      </c>
    </row>
    <row r="2674" spans="9:9" x14ac:dyDescent="0.3">
      <c r="I2674" s="101" t="str">
        <f t="shared" si="43"/>
        <v/>
      </c>
    </row>
    <row r="2675" spans="9:9" x14ac:dyDescent="0.3">
      <c r="I2675" s="101" t="str">
        <f t="shared" si="43"/>
        <v/>
      </c>
    </row>
    <row r="2676" spans="9:9" x14ac:dyDescent="0.3">
      <c r="I2676" s="101" t="str">
        <f t="shared" si="43"/>
        <v/>
      </c>
    </row>
    <row r="2677" spans="9:9" x14ac:dyDescent="0.3">
      <c r="I2677" s="101" t="str">
        <f t="shared" si="43"/>
        <v/>
      </c>
    </row>
    <row r="2678" spans="9:9" x14ac:dyDescent="0.3">
      <c r="I2678" s="101" t="str">
        <f t="shared" si="43"/>
        <v/>
      </c>
    </row>
    <row r="2679" spans="9:9" x14ac:dyDescent="0.3">
      <c r="I2679" s="101" t="str">
        <f t="shared" si="43"/>
        <v/>
      </c>
    </row>
    <row r="2680" spans="9:9" x14ac:dyDescent="0.3">
      <c r="I2680" s="101" t="str">
        <f t="shared" si="43"/>
        <v/>
      </c>
    </row>
    <row r="2681" spans="9:9" x14ac:dyDescent="0.3">
      <c r="I2681" s="101" t="str">
        <f t="shared" si="43"/>
        <v/>
      </c>
    </row>
    <row r="2682" spans="9:9" x14ac:dyDescent="0.3">
      <c r="I2682" s="101" t="str">
        <f t="shared" si="43"/>
        <v/>
      </c>
    </row>
    <row r="2683" spans="9:9" x14ac:dyDescent="0.3">
      <c r="I2683" s="101" t="str">
        <f t="shared" si="43"/>
        <v/>
      </c>
    </row>
    <row r="2684" spans="9:9" x14ac:dyDescent="0.3">
      <c r="I2684" s="101" t="str">
        <f t="shared" si="43"/>
        <v/>
      </c>
    </row>
    <row r="2685" spans="9:9" x14ac:dyDescent="0.3">
      <c r="I2685" s="101" t="str">
        <f t="shared" si="43"/>
        <v/>
      </c>
    </row>
    <row r="2686" spans="9:9" x14ac:dyDescent="0.3">
      <c r="I2686" s="101" t="str">
        <f t="shared" si="43"/>
        <v/>
      </c>
    </row>
    <row r="2687" spans="9:9" x14ac:dyDescent="0.3">
      <c r="I2687" s="101" t="str">
        <f t="shared" si="43"/>
        <v/>
      </c>
    </row>
    <row r="2688" spans="9:9" x14ac:dyDescent="0.3">
      <c r="I2688" s="101" t="str">
        <f t="shared" si="43"/>
        <v/>
      </c>
    </row>
    <row r="2689" spans="9:9" x14ac:dyDescent="0.3">
      <c r="I2689" s="101" t="str">
        <f t="shared" si="43"/>
        <v/>
      </c>
    </row>
    <row r="2690" spans="9:9" x14ac:dyDescent="0.3">
      <c r="I2690" s="101" t="str">
        <f t="shared" si="43"/>
        <v/>
      </c>
    </row>
    <row r="2691" spans="9:9" x14ac:dyDescent="0.3">
      <c r="I2691" s="101" t="str">
        <f t="shared" ref="I2691:I2754" si="44">IF(OR(B2691&lt;&gt;B2690,C2691&lt;&gt;C2690),"",IF(E2690=0,"",IF(G2691="UP",(E2691-E2690)/E2690,-((E2691-E2690)/E2690))))</f>
        <v/>
      </c>
    </row>
    <row r="2692" spans="9:9" x14ac:dyDescent="0.3">
      <c r="I2692" s="101" t="str">
        <f t="shared" si="44"/>
        <v/>
      </c>
    </row>
    <row r="2693" spans="9:9" x14ac:dyDescent="0.3">
      <c r="I2693" s="101" t="str">
        <f t="shared" si="44"/>
        <v/>
      </c>
    </row>
    <row r="2694" spans="9:9" x14ac:dyDescent="0.3">
      <c r="I2694" s="101" t="str">
        <f t="shared" si="44"/>
        <v/>
      </c>
    </row>
    <row r="2695" spans="9:9" x14ac:dyDescent="0.3">
      <c r="I2695" s="101" t="str">
        <f t="shared" si="44"/>
        <v/>
      </c>
    </row>
    <row r="2696" spans="9:9" x14ac:dyDescent="0.3">
      <c r="I2696" s="101" t="str">
        <f t="shared" si="44"/>
        <v/>
      </c>
    </row>
    <row r="2697" spans="9:9" x14ac:dyDescent="0.3">
      <c r="I2697" s="101" t="str">
        <f t="shared" si="44"/>
        <v/>
      </c>
    </row>
    <row r="2698" spans="9:9" x14ac:dyDescent="0.3">
      <c r="I2698" s="101" t="str">
        <f t="shared" si="44"/>
        <v/>
      </c>
    </row>
    <row r="2699" spans="9:9" x14ac:dyDescent="0.3">
      <c r="I2699" s="101" t="str">
        <f t="shared" si="44"/>
        <v/>
      </c>
    </row>
    <row r="2700" spans="9:9" x14ac:dyDescent="0.3">
      <c r="I2700" s="101" t="str">
        <f t="shared" si="44"/>
        <v/>
      </c>
    </row>
    <row r="2701" spans="9:9" x14ac:dyDescent="0.3">
      <c r="I2701" s="101" t="str">
        <f t="shared" si="44"/>
        <v/>
      </c>
    </row>
    <row r="2702" spans="9:9" x14ac:dyDescent="0.3">
      <c r="I2702" s="101" t="str">
        <f t="shared" si="44"/>
        <v/>
      </c>
    </row>
    <row r="2703" spans="9:9" x14ac:dyDescent="0.3">
      <c r="I2703" s="101" t="str">
        <f t="shared" si="44"/>
        <v/>
      </c>
    </row>
    <row r="2704" spans="9:9" x14ac:dyDescent="0.3">
      <c r="I2704" s="101" t="str">
        <f t="shared" si="44"/>
        <v/>
      </c>
    </row>
    <row r="2705" spans="9:9" x14ac:dyDescent="0.3">
      <c r="I2705" s="101" t="str">
        <f t="shared" si="44"/>
        <v/>
      </c>
    </row>
    <row r="2706" spans="9:9" x14ac:dyDescent="0.3">
      <c r="I2706" s="101" t="str">
        <f t="shared" si="44"/>
        <v/>
      </c>
    </row>
    <row r="2707" spans="9:9" x14ac:dyDescent="0.3">
      <c r="I2707" s="101" t="str">
        <f t="shared" si="44"/>
        <v/>
      </c>
    </row>
    <row r="2708" spans="9:9" x14ac:dyDescent="0.3">
      <c r="I2708" s="101" t="str">
        <f t="shared" si="44"/>
        <v/>
      </c>
    </row>
    <row r="2709" spans="9:9" x14ac:dyDescent="0.3">
      <c r="I2709" s="101" t="str">
        <f t="shared" si="44"/>
        <v/>
      </c>
    </row>
    <row r="2710" spans="9:9" x14ac:dyDescent="0.3">
      <c r="I2710" s="101" t="str">
        <f t="shared" si="44"/>
        <v/>
      </c>
    </row>
    <row r="2711" spans="9:9" x14ac:dyDescent="0.3">
      <c r="I2711" s="101" t="str">
        <f t="shared" si="44"/>
        <v/>
      </c>
    </row>
    <row r="2712" spans="9:9" x14ac:dyDescent="0.3">
      <c r="I2712" s="101" t="str">
        <f t="shared" si="44"/>
        <v/>
      </c>
    </row>
    <row r="2713" spans="9:9" x14ac:dyDescent="0.3">
      <c r="I2713" s="101" t="str">
        <f t="shared" si="44"/>
        <v/>
      </c>
    </row>
    <row r="2714" spans="9:9" x14ac:dyDescent="0.3">
      <c r="I2714" s="101" t="str">
        <f t="shared" si="44"/>
        <v/>
      </c>
    </row>
    <row r="2715" spans="9:9" x14ac:dyDescent="0.3">
      <c r="I2715" s="101" t="str">
        <f t="shared" si="44"/>
        <v/>
      </c>
    </row>
    <row r="2716" spans="9:9" x14ac:dyDescent="0.3">
      <c r="I2716" s="101" t="str">
        <f t="shared" si="44"/>
        <v/>
      </c>
    </row>
    <row r="2717" spans="9:9" x14ac:dyDescent="0.3">
      <c r="I2717" s="101" t="str">
        <f t="shared" si="44"/>
        <v/>
      </c>
    </row>
    <row r="2718" spans="9:9" x14ac:dyDescent="0.3">
      <c r="I2718" s="101" t="str">
        <f t="shared" si="44"/>
        <v/>
      </c>
    </row>
    <row r="2719" spans="9:9" x14ac:dyDescent="0.3">
      <c r="I2719" s="101" t="str">
        <f t="shared" si="44"/>
        <v/>
      </c>
    </row>
    <row r="2720" spans="9:9" x14ac:dyDescent="0.3">
      <c r="I2720" s="101" t="str">
        <f t="shared" si="44"/>
        <v/>
      </c>
    </row>
    <row r="2721" spans="9:9" x14ac:dyDescent="0.3">
      <c r="I2721" s="101" t="str">
        <f t="shared" si="44"/>
        <v/>
      </c>
    </row>
    <row r="2722" spans="9:9" x14ac:dyDescent="0.3">
      <c r="I2722" s="101" t="str">
        <f t="shared" si="44"/>
        <v/>
      </c>
    </row>
    <row r="2723" spans="9:9" x14ac:dyDescent="0.3">
      <c r="I2723" s="101" t="str">
        <f t="shared" si="44"/>
        <v/>
      </c>
    </row>
    <row r="2724" spans="9:9" x14ac:dyDescent="0.3">
      <c r="I2724" s="101" t="str">
        <f t="shared" si="44"/>
        <v/>
      </c>
    </row>
    <row r="2725" spans="9:9" x14ac:dyDescent="0.3">
      <c r="I2725" s="101" t="str">
        <f t="shared" si="44"/>
        <v/>
      </c>
    </row>
    <row r="2726" spans="9:9" x14ac:dyDescent="0.3">
      <c r="I2726" s="101" t="str">
        <f t="shared" si="44"/>
        <v/>
      </c>
    </row>
    <row r="2727" spans="9:9" x14ac:dyDescent="0.3">
      <c r="I2727" s="101" t="str">
        <f t="shared" si="44"/>
        <v/>
      </c>
    </row>
    <row r="2728" spans="9:9" x14ac:dyDescent="0.3">
      <c r="I2728" s="101" t="str">
        <f t="shared" si="44"/>
        <v/>
      </c>
    </row>
    <row r="2729" spans="9:9" x14ac:dyDescent="0.3">
      <c r="I2729" s="101" t="str">
        <f t="shared" si="44"/>
        <v/>
      </c>
    </row>
    <row r="2730" spans="9:9" x14ac:dyDescent="0.3">
      <c r="I2730" s="101" t="str">
        <f t="shared" si="44"/>
        <v/>
      </c>
    </row>
    <row r="2731" spans="9:9" x14ac:dyDescent="0.3">
      <c r="I2731" s="101" t="str">
        <f t="shared" si="44"/>
        <v/>
      </c>
    </row>
    <row r="2732" spans="9:9" x14ac:dyDescent="0.3">
      <c r="I2732" s="101" t="str">
        <f t="shared" si="44"/>
        <v/>
      </c>
    </row>
    <row r="2733" spans="9:9" x14ac:dyDescent="0.3">
      <c r="I2733" s="101" t="str">
        <f t="shared" si="44"/>
        <v/>
      </c>
    </row>
    <row r="2734" spans="9:9" x14ac:dyDescent="0.3">
      <c r="I2734" s="101" t="str">
        <f t="shared" si="44"/>
        <v/>
      </c>
    </row>
    <row r="2735" spans="9:9" x14ac:dyDescent="0.3">
      <c r="I2735" s="101" t="str">
        <f t="shared" si="44"/>
        <v/>
      </c>
    </row>
    <row r="2736" spans="9:9" x14ac:dyDescent="0.3">
      <c r="I2736" s="101" t="str">
        <f t="shared" si="44"/>
        <v/>
      </c>
    </row>
    <row r="2737" spans="9:9" x14ac:dyDescent="0.3">
      <c r="I2737" s="101" t="str">
        <f t="shared" si="44"/>
        <v/>
      </c>
    </row>
    <row r="2738" spans="9:9" x14ac:dyDescent="0.3">
      <c r="I2738" s="101" t="str">
        <f t="shared" si="44"/>
        <v/>
      </c>
    </row>
    <row r="2739" spans="9:9" x14ac:dyDescent="0.3">
      <c r="I2739" s="101" t="str">
        <f t="shared" si="44"/>
        <v/>
      </c>
    </row>
    <row r="2740" spans="9:9" x14ac:dyDescent="0.3">
      <c r="I2740" s="101" t="str">
        <f t="shared" si="44"/>
        <v/>
      </c>
    </row>
    <row r="2741" spans="9:9" x14ac:dyDescent="0.3">
      <c r="I2741" s="101" t="str">
        <f t="shared" si="44"/>
        <v/>
      </c>
    </row>
    <row r="2742" spans="9:9" x14ac:dyDescent="0.3">
      <c r="I2742" s="101" t="str">
        <f t="shared" si="44"/>
        <v/>
      </c>
    </row>
    <row r="2743" spans="9:9" x14ac:dyDescent="0.3">
      <c r="I2743" s="101" t="str">
        <f t="shared" si="44"/>
        <v/>
      </c>
    </row>
    <row r="2744" spans="9:9" x14ac:dyDescent="0.3">
      <c r="I2744" s="101" t="str">
        <f t="shared" si="44"/>
        <v/>
      </c>
    </row>
    <row r="2745" spans="9:9" x14ac:dyDescent="0.3">
      <c r="I2745" s="101" t="str">
        <f t="shared" si="44"/>
        <v/>
      </c>
    </row>
    <row r="2746" spans="9:9" x14ac:dyDescent="0.3">
      <c r="I2746" s="101" t="str">
        <f t="shared" si="44"/>
        <v/>
      </c>
    </row>
    <row r="2747" spans="9:9" x14ac:dyDescent="0.3">
      <c r="I2747" s="101" t="str">
        <f t="shared" si="44"/>
        <v/>
      </c>
    </row>
    <row r="2748" spans="9:9" x14ac:dyDescent="0.3">
      <c r="I2748" s="101" t="str">
        <f t="shared" si="44"/>
        <v/>
      </c>
    </row>
    <row r="2749" spans="9:9" x14ac:dyDescent="0.3">
      <c r="I2749" s="101" t="str">
        <f t="shared" si="44"/>
        <v/>
      </c>
    </row>
    <row r="2750" spans="9:9" x14ac:dyDescent="0.3">
      <c r="I2750" s="101" t="str">
        <f t="shared" si="44"/>
        <v/>
      </c>
    </row>
    <row r="2751" spans="9:9" x14ac:dyDescent="0.3">
      <c r="I2751" s="101" t="str">
        <f t="shared" si="44"/>
        <v/>
      </c>
    </row>
    <row r="2752" spans="9:9" x14ac:dyDescent="0.3">
      <c r="I2752" s="101" t="str">
        <f t="shared" si="44"/>
        <v/>
      </c>
    </row>
    <row r="2753" spans="9:9" x14ac:dyDescent="0.3">
      <c r="I2753" s="101" t="str">
        <f t="shared" si="44"/>
        <v/>
      </c>
    </row>
    <row r="2754" spans="9:9" x14ac:dyDescent="0.3">
      <c r="I2754" s="101" t="str">
        <f t="shared" si="44"/>
        <v/>
      </c>
    </row>
    <row r="2755" spans="9:9" x14ac:dyDescent="0.3">
      <c r="I2755" s="101" t="str">
        <f t="shared" ref="I2755:I2818" si="45">IF(OR(B2755&lt;&gt;B2754,C2755&lt;&gt;C2754),"",IF(E2754=0,"",IF(G2755="UP",(E2755-E2754)/E2754,-((E2755-E2754)/E2754))))</f>
        <v/>
      </c>
    </row>
    <row r="2756" spans="9:9" x14ac:dyDescent="0.3">
      <c r="I2756" s="101" t="str">
        <f t="shared" si="45"/>
        <v/>
      </c>
    </row>
    <row r="2757" spans="9:9" x14ac:dyDescent="0.3">
      <c r="I2757" s="101" t="str">
        <f t="shared" si="45"/>
        <v/>
      </c>
    </row>
    <row r="2758" spans="9:9" x14ac:dyDescent="0.3">
      <c r="I2758" s="101" t="str">
        <f t="shared" si="45"/>
        <v/>
      </c>
    </row>
    <row r="2759" spans="9:9" x14ac:dyDescent="0.3">
      <c r="I2759" s="101" t="str">
        <f t="shared" si="45"/>
        <v/>
      </c>
    </row>
    <row r="2760" spans="9:9" x14ac:dyDescent="0.3">
      <c r="I2760" s="101" t="str">
        <f t="shared" si="45"/>
        <v/>
      </c>
    </row>
    <row r="2761" spans="9:9" x14ac:dyDescent="0.3">
      <c r="I2761" s="101" t="str">
        <f t="shared" si="45"/>
        <v/>
      </c>
    </row>
    <row r="2762" spans="9:9" x14ac:dyDescent="0.3">
      <c r="I2762" s="101" t="str">
        <f t="shared" si="45"/>
        <v/>
      </c>
    </row>
    <row r="2763" spans="9:9" x14ac:dyDescent="0.3">
      <c r="I2763" s="101" t="str">
        <f t="shared" si="45"/>
        <v/>
      </c>
    </row>
    <row r="2764" spans="9:9" x14ac:dyDescent="0.3">
      <c r="I2764" s="101" t="str">
        <f t="shared" si="45"/>
        <v/>
      </c>
    </row>
    <row r="2765" spans="9:9" x14ac:dyDescent="0.3">
      <c r="I2765" s="101" t="str">
        <f t="shared" si="45"/>
        <v/>
      </c>
    </row>
    <row r="2766" spans="9:9" x14ac:dyDescent="0.3">
      <c r="I2766" s="101" t="str">
        <f t="shared" si="45"/>
        <v/>
      </c>
    </row>
    <row r="2767" spans="9:9" x14ac:dyDescent="0.3">
      <c r="I2767" s="101" t="str">
        <f t="shared" si="45"/>
        <v/>
      </c>
    </row>
    <row r="2768" spans="9:9" x14ac:dyDescent="0.3">
      <c r="I2768" s="101" t="str">
        <f t="shared" si="45"/>
        <v/>
      </c>
    </row>
    <row r="2769" spans="9:9" x14ac:dyDescent="0.3">
      <c r="I2769" s="101" t="str">
        <f t="shared" si="45"/>
        <v/>
      </c>
    </row>
    <row r="2770" spans="9:9" x14ac:dyDescent="0.3">
      <c r="I2770" s="101" t="str">
        <f t="shared" si="45"/>
        <v/>
      </c>
    </row>
    <row r="2771" spans="9:9" x14ac:dyDescent="0.3">
      <c r="I2771" s="101" t="str">
        <f t="shared" si="45"/>
        <v/>
      </c>
    </row>
    <row r="2772" spans="9:9" x14ac:dyDescent="0.3">
      <c r="I2772" s="101" t="str">
        <f t="shared" si="45"/>
        <v/>
      </c>
    </row>
    <row r="2773" spans="9:9" x14ac:dyDescent="0.3">
      <c r="I2773" s="101" t="str">
        <f t="shared" si="45"/>
        <v/>
      </c>
    </row>
    <row r="2774" spans="9:9" x14ac:dyDescent="0.3">
      <c r="I2774" s="101" t="str">
        <f t="shared" si="45"/>
        <v/>
      </c>
    </row>
    <row r="2775" spans="9:9" x14ac:dyDescent="0.3">
      <c r="I2775" s="101" t="str">
        <f t="shared" si="45"/>
        <v/>
      </c>
    </row>
    <row r="2776" spans="9:9" x14ac:dyDescent="0.3">
      <c r="I2776" s="101" t="str">
        <f t="shared" si="45"/>
        <v/>
      </c>
    </row>
    <row r="2777" spans="9:9" x14ac:dyDescent="0.3">
      <c r="I2777" s="101" t="str">
        <f t="shared" si="45"/>
        <v/>
      </c>
    </row>
    <row r="2778" spans="9:9" x14ac:dyDescent="0.3">
      <c r="I2778" s="101" t="str">
        <f t="shared" si="45"/>
        <v/>
      </c>
    </row>
    <row r="2779" spans="9:9" x14ac:dyDescent="0.3">
      <c r="I2779" s="101" t="str">
        <f t="shared" si="45"/>
        <v/>
      </c>
    </row>
    <row r="2780" spans="9:9" x14ac:dyDescent="0.3">
      <c r="I2780" s="101" t="str">
        <f t="shared" si="45"/>
        <v/>
      </c>
    </row>
    <row r="2781" spans="9:9" x14ac:dyDescent="0.3">
      <c r="I2781" s="101" t="str">
        <f t="shared" si="45"/>
        <v/>
      </c>
    </row>
    <row r="2782" spans="9:9" x14ac:dyDescent="0.3">
      <c r="I2782" s="101" t="str">
        <f t="shared" si="45"/>
        <v/>
      </c>
    </row>
    <row r="2783" spans="9:9" x14ac:dyDescent="0.3">
      <c r="I2783" s="101" t="str">
        <f t="shared" si="45"/>
        <v/>
      </c>
    </row>
    <row r="2784" spans="9:9" x14ac:dyDescent="0.3">
      <c r="I2784" s="101" t="str">
        <f t="shared" si="45"/>
        <v/>
      </c>
    </row>
    <row r="2785" spans="9:9" x14ac:dyDescent="0.3">
      <c r="I2785" s="101" t="str">
        <f t="shared" si="45"/>
        <v/>
      </c>
    </row>
    <row r="2786" spans="9:9" x14ac:dyDescent="0.3">
      <c r="I2786" s="101" t="str">
        <f t="shared" si="45"/>
        <v/>
      </c>
    </row>
    <row r="2787" spans="9:9" x14ac:dyDescent="0.3">
      <c r="I2787" s="101" t="str">
        <f t="shared" si="45"/>
        <v/>
      </c>
    </row>
    <row r="2788" spans="9:9" x14ac:dyDescent="0.3">
      <c r="I2788" s="101" t="str">
        <f t="shared" si="45"/>
        <v/>
      </c>
    </row>
    <row r="2789" spans="9:9" x14ac:dyDescent="0.3">
      <c r="I2789" s="101" t="str">
        <f t="shared" si="45"/>
        <v/>
      </c>
    </row>
    <row r="2790" spans="9:9" x14ac:dyDescent="0.3">
      <c r="I2790" s="101" t="str">
        <f t="shared" si="45"/>
        <v/>
      </c>
    </row>
    <row r="2791" spans="9:9" x14ac:dyDescent="0.3">
      <c r="I2791" s="101" t="str">
        <f t="shared" si="45"/>
        <v/>
      </c>
    </row>
    <row r="2792" spans="9:9" x14ac:dyDescent="0.3">
      <c r="I2792" s="101" t="str">
        <f t="shared" si="45"/>
        <v/>
      </c>
    </row>
    <row r="2793" spans="9:9" x14ac:dyDescent="0.3">
      <c r="I2793" s="101" t="str">
        <f t="shared" si="45"/>
        <v/>
      </c>
    </row>
    <row r="2794" spans="9:9" x14ac:dyDescent="0.3">
      <c r="I2794" s="101" t="str">
        <f t="shared" si="45"/>
        <v/>
      </c>
    </row>
    <row r="2795" spans="9:9" x14ac:dyDescent="0.3">
      <c r="I2795" s="101" t="str">
        <f t="shared" si="45"/>
        <v/>
      </c>
    </row>
    <row r="2796" spans="9:9" x14ac:dyDescent="0.3">
      <c r="I2796" s="101" t="str">
        <f t="shared" si="45"/>
        <v/>
      </c>
    </row>
    <row r="2797" spans="9:9" x14ac:dyDescent="0.3">
      <c r="I2797" s="101" t="str">
        <f t="shared" si="45"/>
        <v/>
      </c>
    </row>
    <row r="2798" spans="9:9" x14ac:dyDescent="0.3">
      <c r="I2798" s="101" t="str">
        <f t="shared" si="45"/>
        <v/>
      </c>
    </row>
    <row r="2799" spans="9:9" x14ac:dyDescent="0.3">
      <c r="I2799" s="101" t="str">
        <f t="shared" si="45"/>
        <v/>
      </c>
    </row>
    <row r="2800" spans="9:9" x14ac:dyDescent="0.3">
      <c r="I2800" s="101" t="str">
        <f t="shared" si="45"/>
        <v/>
      </c>
    </row>
    <row r="2801" spans="9:9" x14ac:dyDescent="0.3">
      <c r="I2801" s="101" t="str">
        <f t="shared" si="45"/>
        <v/>
      </c>
    </row>
    <row r="2802" spans="9:9" x14ac:dyDescent="0.3">
      <c r="I2802" s="101" t="str">
        <f t="shared" si="45"/>
        <v/>
      </c>
    </row>
    <row r="2803" spans="9:9" x14ac:dyDescent="0.3">
      <c r="I2803" s="101" t="str">
        <f t="shared" si="45"/>
        <v/>
      </c>
    </row>
    <row r="2804" spans="9:9" x14ac:dyDescent="0.3">
      <c r="I2804" s="101" t="str">
        <f t="shared" si="45"/>
        <v/>
      </c>
    </row>
    <row r="2805" spans="9:9" x14ac:dyDescent="0.3">
      <c r="I2805" s="101" t="str">
        <f t="shared" si="45"/>
        <v/>
      </c>
    </row>
    <row r="2806" spans="9:9" x14ac:dyDescent="0.3">
      <c r="I2806" s="101" t="str">
        <f t="shared" si="45"/>
        <v/>
      </c>
    </row>
    <row r="2807" spans="9:9" x14ac:dyDescent="0.3">
      <c r="I2807" s="101" t="str">
        <f t="shared" si="45"/>
        <v/>
      </c>
    </row>
    <row r="2808" spans="9:9" x14ac:dyDescent="0.3">
      <c r="I2808" s="101" t="str">
        <f t="shared" si="45"/>
        <v/>
      </c>
    </row>
    <row r="2809" spans="9:9" x14ac:dyDescent="0.3">
      <c r="I2809" s="101" t="str">
        <f t="shared" si="45"/>
        <v/>
      </c>
    </row>
    <row r="2810" spans="9:9" x14ac:dyDescent="0.3">
      <c r="I2810" s="101" t="str">
        <f t="shared" si="45"/>
        <v/>
      </c>
    </row>
    <row r="2811" spans="9:9" x14ac:dyDescent="0.3">
      <c r="I2811" s="101" t="str">
        <f t="shared" si="45"/>
        <v/>
      </c>
    </row>
    <row r="2812" spans="9:9" x14ac:dyDescent="0.3">
      <c r="I2812" s="101" t="str">
        <f t="shared" si="45"/>
        <v/>
      </c>
    </row>
    <row r="2813" spans="9:9" x14ac:dyDescent="0.3">
      <c r="I2813" s="101" t="str">
        <f t="shared" si="45"/>
        <v/>
      </c>
    </row>
    <row r="2814" spans="9:9" x14ac:dyDescent="0.3">
      <c r="I2814" s="101" t="str">
        <f t="shared" si="45"/>
        <v/>
      </c>
    </row>
    <row r="2815" spans="9:9" x14ac:dyDescent="0.3">
      <c r="I2815" s="101" t="str">
        <f t="shared" si="45"/>
        <v/>
      </c>
    </row>
    <row r="2816" spans="9:9" x14ac:dyDescent="0.3">
      <c r="I2816" s="101" t="str">
        <f t="shared" si="45"/>
        <v/>
      </c>
    </row>
    <row r="2817" spans="9:9" x14ac:dyDescent="0.3">
      <c r="I2817" s="101" t="str">
        <f t="shared" si="45"/>
        <v/>
      </c>
    </row>
    <row r="2818" spans="9:9" x14ac:dyDescent="0.3">
      <c r="I2818" s="101" t="str">
        <f t="shared" si="45"/>
        <v/>
      </c>
    </row>
    <row r="2819" spans="9:9" x14ac:dyDescent="0.3">
      <c r="I2819" s="101" t="str">
        <f t="shared" ref="I2819:I2882" si="46">IF(OR(B2819&lt;&gt;B2818,C2819&lt;&gt;C2818),"",IF(E2818=0,"",IF(G2819="UP",(E2819-E2818)/E2818,-((E2819-E2818)/E2818))))</f>
        <v/>
      </c>
    </row>
    <row r="2820" spans="9:9" x14ac:dyDescent="0.3">
      <c r="I2820" s="101" t="str">
        <f t="shared" si="46"/>
        <v/>
      </c>
    </row>
    <row r="2821" spans="9:9" x14ac:dyDescent="0.3">
      <c r="I2821" s="101" t="str">
        <f t="shared" si="46"/>
        <v/>
      </c>
    </row>
    <row r="2822" spans="9:9" x14ac:dyDescent="0.3">
      <c r="I2822" s="101" t="str">
        <f t="shared" si="46"/>
        <v/>
      </c>
    </row>
    <row r="2823" spans="9:9" x14ac:dyDescent="0.3">
      <c r="I2823" s="101" t="str">
        <f t="shared" si="46"/>
        <v/>
      </c>
    </row>
    <row r="2824" spans="9:9" x14ac:dyDescent="0.3">
      <c r="I2824" s="101" t="str">
        <f t="shared" si="46"/>
        <v/>
      </c>
    </row>
    <row r="2825" spans="9:9" x14ac:dyDescent="0.3">
      <c r="I2825" s="101" t="str">
        <f t="shared" si="46"/>
        <v/>
      </c>
    </row>
    <row r="2826" spans="9:9" x14ac:dyDescent="0.3">
      <c r="I2826" s="101" t="str">
        <f t="shared" si="46"/>
        <v/>
      </c>
    </row>
    <row r="2827" spans="9:9" x14ac:dyDescent="0.3">
      <c r="I2827" s="101" t="str">
        <f t="shared" si="46"/>
        <v/>
      </c>
    </row>
    <row r="2828" spans="9:9" x14ac:dyDescent="0.3">
      <c r="I2828" s="101" t="str">
        <f t="shared" si="46"/>
        <v/>
      </c>
    </row>
    <row r="2829" spans="9:9" x14ac:dyDescent="0.3">
      <c r="I2829" s="101" t="str">
        <f t="shared" si="46"/>
        <v/>
      </c>
    </row>
    <row r="2830" spans="9:9" x14ac:dyDescent="0.3">
      <c r="I2830" s="101" t="str">
        <f t="shared" si="46"/>
        <v/>
      </c>
    </row>
    <row r="2831" spans="9:9" x14ac:dyDescent="0.3">
      <c r="I2831" s="101" t="str">
        <f t="shared" si="46"/>
        <v/>
      </c>
    </row>
    <row r="2832" spans="9:9" x14ac:dyDescent="0.3">
      <c r="I2832" s="101" t="str">
        <f t="shared" si="46"/>
        <v/>
      </c>
    </row>
    <row r="2833" spans="9:9" x14ac:dyDescent="0.3">
      <c r="I2833" s="101" t="str">
        <f t="shared" si="46"/>
        <v/>
      </c>
    </row>
    <row r="2834" spans="9:9" x14ac:dyDescent="0.3">
      <c r="I2834" s="101" t="str">
        <f t="shared" si="46"/>
        <v/>
      </c>
    </row>
    <row r="2835" spans="9:9" x14ac:dyDescent="0.3">
      <c r="I2835" s="101" t="str">
        <f t="shared" si="46"/>
        <v/>
      </c>
    </row>
    <row r="2836" spans="9:9" x14ac:dyDescent="0.3">
      <c r="I2836" s="101" t="str">
        <f t="shared" si="46"/>
        <v/>
      </c>
    </row>
    <row r="2837" spans="9:9" x14ac:dyDescent="0.3">
      <c r="I2837" s="101" t="str">
        <f t="shared" si="46"/>
        <v/>
      </c>
    </row>
    <row r="2838" spans="9:9" x14ac:dyDescent="0.3">
      <c r="I2838" s="101" t="str">
        <f t="shared" si="46"/>
        <v/>
      </c>
    </row>
    <row r="2839" spans="9:9" x14ac:dyDescent="0.3">
      <c r="I2839" s="101" t="str">
        <f t="shared" si="46"/>
        <v/>
      </c>
    </row>
    <row r="2840" spans="9:9" x14ac:dyDescent="0.3">
      <c r="I2840" s="101" t="str">
        <f t="shared" si="46"/>
        <v/>
      </c>
    </row>
    <row r="2841" spans="9:9" x14ac:dyDescent="0.3">
      <c r="I2841" s="101" t="str">
        <f t="shared" si="46"/>
        <v/>
      </c>
    </row>
    <row r="2842" spans="9:9" x14ac:dyDescent="0.3">
      <c r="I2842" s="101" t="str">
        <f t="shared" si="46"/>
        <v/>
      </c>
    </row>
    <row r="2843" spans="9:9" x14ac:dyDescent="0.3">
      <c r="I2843" s="101" t="str">
        <f t="shared" si="46"/>
        <v/>
      </c>
    </row>
    <row r="2844" spans="9:9" x14ac:dyDescent="0.3">
      <c r="I2844" s="101" t="str">
        <f t="shared" si="46"/>
        <v/>
      </c>
    </row>
    <row r="2845" spans="9:9" x14ac:dyDescent="0.3">
      <c r="I2845" s="101" t="str">
        <f t="shared" si="46"/>
        <v/>
      </c>
    </row>
    <row r="2846" spans="9:9" x14ac:dyDescent="0.3">
      <c r="I2846" s="101" t="str">
        <f t="shared" si="46"/>
        <v/>
      </c>
    </row>
    <row r="2847" spans="9:9" x14ac:dyDescent="0.3">
      <c r="I2847" s="101" t="str">
        <f t="shared" si="46"/>
        <v/>
      </c>
    </row>
    <row r="2848" spans="9:9" x14ac:dyDescent="0.3">
      <c r="I2848" s="101" t="str">
        <f t="shared" si="46"/>
        <v/>
      </c>
    </row>
    <row r="2849" spans="9:9" x14ac:dyDescent="0.3">
      <c r="I2849" s="101" t="str">
        <f t="shared" si="46"/>
        <v/>
      </c>
    </row>
    <row r="2850" spans="9:9" x14ac:dyDescent="0.3">
      <c r="I2850" s="101" t="str">
        <f t="shared" si="46"/>
        <v/>
      </c>
    </row>
    <row r="2851" spans="9:9" x14ac:dyDescent="0.3">
      <c r="I2851" s="101" t="str">
        <f t="shared" si="46"/>
        <v/>
      </c>
    </row>
    <row r="2852" spans="9:9" x14ac:dyDescent="0.3">
      <c r="I2852" s="101" t="str">
        <f t="shared" si="46"/>
        <v/>
      </c>
    </row>
    <row r="2853" spans="9:9" x14ac:dyDescent="0.3">
      <c r="I2853" s="101" t="str">
        <f t="shared" si="46"/>
        <v/>
      </c>
    </row>
    <row r="2854" spans="9:9" x14ac:dyDescent="0.3">
      <c r="I2854" s="101" t="str">
        <f t="shared" si="46"/>
        <v/>
      </c>
    </row>
    <row r="2855" spans="9:9" x14ac:dyDescent="0.3">
      <c r="I2855" s="101" t="str">
        <f t="shared" si="46"/>
        <v/>
      </c>
    </row>
    <row r="2856" spans="9:9" x14ac:dyDescent="0.3">
      <c r="I2856" s="101" t="str">
        <f t="shared" si="46"/>
        <v/>
      </c>
    </row>
    <row r="2857" spans="9:9" x14ac:dyDescent="0.3">
      <c r="I2857" s="101" t="str">
        <f t="shared" si="46"/>
        <v/>
      </c>
    </row>
    <row r="2858" spans="9:9" x14ac:dyDescent="0.3">
      <c r="I2858" s="101" t="str">
        <f t="shared" si="46"/>
        <v/>
      </c>
    </row>
    <row r="2859" spans="9:9" x14ac:dyDescent="0.3">
      <c r="I2859" s="101" t="str">
        <f t="shared" si="46"/>
        <v/>
      </c>
    </row>
    <row r="2860" spans="9:9" x14ac:dyDescent="0.3">
      <c r="I2860" s="101" t="str">
        <f t="shared" si="46"/>
        <v/>
      </c>
    </row>
    <row r="2861" spans="9:9" x14ac:dyDescent="0.3">
      <c r="I2861" s="101" t="str">
        <f t="shared" si="46"/>
        <v/>
      </c>
    </row>
    <row r="2862" spans="9:9" x14ac:dyDescent="0.3">
      <c r="I2862" s="101" t="str">
        <f t="shared" si="46"/>
        <v/>
      </c>
    </row>
    <row r="2863" spans="9:9" x14ac:dyDescent="0.3">
      <c r="I2863" s="101" t="str">
        <f t="shared" si="46"/>
        <v/>
      </c>
    </row>
    <row r="2864" spans="9:9" x14ac:dyDescent="0.3">
      <c r="I2864" s="101" t="str">
        <f t="shared" si="46"/>
        <v/>
      </c>
    </row>
    <row r="2865" spans="9:9" x14ac:dyDescent="0.3">
      <c r="I2865" s="101" t="str">
        <f t="shared" si="46"/>
        <v/>
      </c>
    </row>
    <row r="2866" spans="9:9" x14ac:dyDescent="0.3">
      <c r="I2866" s="101" t="str">
        <f t="shared" si="46"/>
        <v/>
      </c>
    </row>
    <row r="2867" spans="9:9" x14ac:dyDescent="0.3">
      <c r="I2867" s="101" t="str">
        <f t="shared" si="46"/>
        <v/>
      </c>
    </row>
    <row r="2868" spans="9:9" x14ac:dyDescent="0.3">
      <c r="I2868" s="101" t="str">
        <f t="shared" si="46"/>
        <v/>
      </c>
    </row>
    <row r="2869" spans="9:9" x14ac:dyDescent="0.3">
      <c r="I2869" s="101" t="str">
        <f t="shared" si="46"/>
        <v/>
      </c>
    </row>
    <row r="2870" spans="9:9" x14ac:dyDescent="0.3">
      <c r="I2870" s="101" t="str">
        <f t="shared" si="46"/>
        <v/>
      </c>
    </row>
    <row r="2871" spans="9:9" x14ac:dyDescent="0.3">
      <c r="I2871" s="101" t="str">
        <f t="shared" si="46"/>
        <v/>
      </c>
    </row>
    <row r="2872" spans="9:9" x14ac:dyDescent="0.3">
      <c r="I2872" s="101" t="str">
        <f t="shared" si="46"/>
        <v/>
      </c>
    </row>
    <row r="2873" spans="9:9" x14ac:dyDescent="0.3">
      <c r="I2873" s="101" t="str">
        <f t="shared" si="46"/>
        <v/>
      </c>
    </row>
    <row r="2874" spans="9:9" x14ac:dyDescent="0.3">
      <c r="I2874" s="101" t="str">
        <f t="shared" si="46"/>
        <v/>
      </c>
    </row>
    <row r="2875" spans="9:9" x14ac:dyDescent="0.3">
      <c r="I2875" s="101" t="str">
        <f t="shared" si="46"/>
        <v/>
      </c>
    </row>
    <row r="2876" spans="9:9" x14ac:dyDescent="0.3">
      <c r="I2876" s="101" t="str">
        <f t="shared" si="46"/>
        <v/>
      </c>
    </row>
    <row r="2877" spans="9:9" x14ac:dyDescent="0.3">
      <c r="I2877" s="101" t="str">
        <f t="shared" si="46"/>
        <v/>
      </c>
    </row>
    <row r="2878" spans="9:9" x14ac:dyDescent="0.3">
      <c r="I2878" s="101" t="str">
        <f t="shared" si="46"/>
        <v/>
      </c>
    </row>
    <row r="2879" spans="9:9" x14ac:dyDescent="0.3">
      <c r="I2879" s="101" t="str">
        <f t="shared" si="46"/>
        <v/>
      </c>
    </row>
    <row r="2880" spans="9:9" x14ac:dyDescent="0.3">
      <c r="I2880" s="101" t="str">
        <f t="shared" si="46"/>
        <v/>
      </c>
    </row>
    <row r="2881" spans="9:9" x14ac:dyDescent="0.3">
      <c r="I2881" s="101" t="str">
        <f t="shared" si="46"/>
        <v/>
      </c>
    </row>
    <row r="2882" spans="9:9" x14ac:dyDescent="0.3">
      <c r="I2882" s="101" t="str">
        <f t="shared" si="46"/>
        <v/>
      </c>
    </row>
    <row r="2883" spans="9:9" x14ac:dyDescent="0.3">
      <c r="I2883" s="101" t="str">
        <f t="shared" ref="I2883:I2946" si="47">IF(OR(B2883&lt;&gt;B2882,C2883&lt;&gt;C2882),"",IF(E2882=0,"",IF(G2883="UP",(E2883-E2882)/E2882,-((E2883-E2882)/E2882))))</f>
        <v/>
      </c>
    </row>
    <row r="2884" spans="9:9" x14ac:dyDescent="0.3">
      <c r="I2884" s="101" t="str">
        <f t="shared" si="47"/>
        <v/>
      </c>
    </row>
    <row r="2885" spans="9:9" x14ac:dyDescent="0.3">
      <c r="I2885" s="101" t="str">
        <f t="shared" si="47"/>
        <v/>
      </c>
    </row>
    <row r="2886" spans="9:9" x14ac:dyDescent="0.3">
      <c r="I2886" s="101" t="str">
        <f t="shared" si="47"/>
        <v/>
      </c>
    </row>
    <row r="2887" spans="9:9" x14ac:dyDescent="0.3">
      <c r="I2887" s="101" t="str">
        <f t="shared" si="47"/>
        <v/>
      </c>
    </row>
    <row r="2888" spans="9:9" x14ac:dyDescent="0.3">
      <c r="I2888" s="101" t="str">
        <f t="shared" si="47"/>
        <v/>
      </c>
    </row>
    <row r="2889" spans="9:9" x14ac:dyDescent="0.3">
      <c r="I2889" s="101" t="str">
        <f t="shared" si="47"/>
        <v/>
      </c>
    </row>
    <row r="2890" spans="9:9" x14ac:dyDescent="0.3">
      <c r="I2890" s="101" t="str">
        <f t="shared" si="47"/>
        <v/>
      </c>
    </row>
    <row r="2891" spans="9:9" x14ac:dyDescent="0.3">
      <c r="I2891" s="101" t="str">
        <f t="shared" si="47"/>
        <v/>
      </c>
    </row>
    <row r="2892" spans="9:9" x14ac:dyDescent="0.3">
      <c r="I2892" s="101" t="str">
        <f t="shared" si="47"/>
        <v/>
      </c>
    </row>
    <row r="2893" spans="9:9" x14ac:dyDescent="0.3">
      <c r="I2893" s="101" t="str">
        <f t="shared" si="47"/>
        <v/>
      </c>
    </row>
    <row r="2894" spans="9:9" x14ac:dyDescent="0.3">
      <c r="I2894" s="101" t="str">
        <f t="shared" si="47"/>
        <v/>
      </c>
    </row>
    <row r="2895" spans="9:9" x14ac:dyDescent="0.3">
      <c r="I2895" s="101" t="str">
        <f t="shared" si="47"/>
        <v/>
      </c>
    </row>
    <row r="2896" spans="9:9" x14ac:dyDescent="0.3">
      <c r="I2896" s="101" t="str">
        <f t="shared" si="47"/>
        <v/>
      </c>
    </row>
    <row r="2897" spans="9:9" x14ac:dyDescent="0.3">
      <c r="I2897" s="101" t="str">
        <f t="shared" si="47"/>
        <v/>
      </c>
    </row>
    <row r="2898" spans="9:9" x14ac:dyDescent="0.3">
      <c r="I2898" s="101" t="str">
        <f t="shared" si="47"/>
        <v/>
      </c>
    </row>
    <row r="2899" spans="9:9" x14ac:dyDescent="0.3">
      <c r="I2899" s="101" t="str">
        <f t="shared" si="47"/>
        <v/>
      </c>
    </row>
    <row r="2900" spans="9:9" x14ac:dyDescent="0.3">
      <c r="I2900" s="101" t="str">
        <f t="shared" si="47"/>
        <v/>
      </c>
    </row>
    <row r="2901" spans="9:9" x14ac:dyDescent="0.3">
      <c r="I2901" s="101" t="str">
        <f t="shared" si="47"/>
        <v/>
      </c>
    </row>
    <row r="2902" spans="9:9" x14ac:dyDescent="0.3">
      <c r="I2902" s="101" t="str">
        <f t="shared" si="47"/>
        <v/>
      </c>
    </row>
    <row r="2903" spans="9:9" x14ac:dyDescent="0.3">
      <c r="I2903" s="101" t="str">
        <f t="shared" si="47"/>
        <v/>
      </c>
    </row>
    <row r="2904" spans="9:9" x14ac:dyDescent="0.3">
      <c r="I2904" s="101" t="str">
        <f t="shared" si="47"/>
        <v/>
      </c>
    </row>
    <row r="2905" spans="9:9" x14ac:dyDescent="0.3">
      <c r="I2905" s="101" t="str">
        <f t="shared" si="47"/>
        <v/>
      </c>
    </row>
    <row r="2906" spans="9:9" x14ac:dyDescent="0.3">
      <c r="I2906" s="101" t="str">
        <f t="shared" si="47"/>
        <v/>
      </c>
    </row>
    <row r="2907" spans="9:9" x14ac:dyDescent="0.3">
      <c r="I2907" s="101" t="str">
        <f t="shared" si="47"/>
        <v/>
      </c>
    </row>
    <row r="2908" spans="9:9" x14ac:dyDescent="0.3">
      <c r="I2908" s="101" t="str">
        <f t="shared" si="47"/>
        <v/>
      </c>
    </row>
    <row r="2909" spans="9:9" x14ac:dyDescent="0.3">
      <c r="I2909" s="101" t="str">
        <f t="shared" si="47"/>
        <v/>
      </c>
    </row>
    <row r="2910" spans="9:9" x14ac:dyDescent="0.3">
      <c r="I2910" s="101" t="str">
        <f t="shared" si="47"/>
        <v/>
      </c>
    </row>
    <row r="2911" spans="9:9" x14ac:dyDescent="0.3">
      <c r="I2911" s="101" t="str">
        <f t="shared" si="47"/>
        <v/>
      </c>
    </row>
    <row r="2912" spans="9:9" x14ac:dyDescent="0.3">
      <c r="I2912" s="101" t="str">
        <f t="shared" si="47"/>
        <v/>
      </c>
    </row>
    <row r="2913" spans="9:9" x14ac:dyDescent="0.3">
      <c r="I2913" s="101" t="str">
        <f t="shared" si="47"/>
        <v/>
      </c>
    </row>
    <row r="2914" spans="9:9" x14ac:dyDescent="0.3">
      <c r="I2914" s="101" t="str">
        <f t="shared" si="47"/>
        <v/>
      </c>
    </row>
    <row r="2915" spans="9:9" x14ac:dyDescent="0.3">
      <c r="I2915" s="101" t="str">
        <f t="shared" si="47"/>
        <v/>
      </c>
    </row>
    <row r="2916" spans="9:9" x14ac:dyDescent="0.3">
      <c r="I2916" s="101" t="str">
        <f t="shared" si="47"/>
        <v/>
      </c>
    </row>
    <row r="2917" spans="9:9" x14ac:dyDescent="0.3">
      <c r="I2917" s="101" t="str">
        <f t="shared" si="47"/>
        <v/>
      </c>
    </row>
    <row r="2918" spans="9:9" x14ac:dyDescent="0.3">
      <c r="I2918" s="101" t="str">
        <f t="shared" si="47"/>
        <v/>
      </c>
    </row>
    <row r="2919" spans="9:9" x14ac:dyDescent="0.3">
      <c r="I2919" s="101" t="str">
        <f t="shared" si="47"/>
        <v/>
      </c>
    </row>
    <row r="2920" spans="9:9" x14ac:dyDescent="0.3">
      <c r="I2920" s="101" t="str">
        <f t="shared" si="47"/>
        <v/>
      </c>
    </row>
    <row r="2921" spans="9:9" x14ac:dyDescent="0.3">
      <c r="I2921" s="101" t="str">
        <f t="shared" si="47"/>
        <v/>
      </c>
    </row>
    <row r="2922" spans="9:9" x14ac:dyDescent="0.3">
      <c r="I2922" s="101" t="str">
        <f t="shared" si="47"/>
        <v/>
      </c>
    </row>
    <row r="2923" spans="9:9" x14ac:dyDescent="0.3">
      <c r="I2923" s="101" t="str">
        <f t="shared" si="47"/>
        <v/>
      </c>
    </row>
    <row r="2924" spans="9:9" x14ac:dyDescent="0.3">
      <c r="I2924" s="101" t="str">
        <f t="shared" si="47"/>
        <v/>
      </c>
    </row>
    <row r="2925" spans="9:9" x14ac:dyDescent="0.3">
      <c r="I2925" s="101" t="str">
        <f t="shared" si="47"/>
        <v/>
      </c>
    </row>
    <row r="2926" spans="9:9" x14ac:dyDescent="0.3">
      <c r="I2926" s="101" t="str">
        <f t="shared" si="47"/>
        <v/>
      </c>
    </row>
    <row r="2927" spans="9:9" x14ac:dyDescent="0.3">
      <c r="I2927" s="101" t="str">
        <f t="shared" si="47"/>
        <v/>
      </c>
    </row>
    <row r="2928" spans="9:9" x14ac:dyDescent="0.3">
      <c r="I2928" s="101" t="str">
        <f t="shared" si="47"/>
        <v/>
      </c>
    </row>
    <row r="2929" spans="9:9" x14ac:dyDescent="0.3">
      <c r="I2929" s="101" t="str">
        <f t="shared" si="47"/>
        <v/>
      </c>
    </row>
    <row r="2930" spans="9:9" x14ac:dyDescent="0.3">
      <c r="I2930" s="101" t="str">
        <f t="shared" si="47"/>
        <v/>
      </c>
    </row>
    <row r="2931" spans="9:9" x14ac:dyDescent="0.3">
      <c r="I2931" s="101" t="str">
        <f t="shared" si="47"/>
        <v/>
      </c>
    </row>
    <row r="2932" spans="9:9" x14ac:dyDescent="0.3">
      <c r="I2932" s="101" t="str">
        <f t="shared" si="47"/>
        <v/>
      </c>
    </row>
    <row r="2933" spans="9:9" x14ac:dyDescent="0.3">
      <c r="I2933" s="101" t="str">
        <f t="shared" si="47"/>
        <v/>
      </c>
    </row>
    <row r="2934" spans="9:9" x14ac:dyDescent="0.3">
      <c r="I2934" s="101" t="str">
        <f t="shared" si="47"/>
        <v/>
      </c>
    </row>
    <row r="2935" spans="9:9" x14ac:dyDescent="0.3">
      <c r="I2935" s="101" t="str">
        <f t="shared" si="47"/>
        <v/>
      </c>
    </row>
    <row r="2936" spans="9:9" x14ac:dyDescent="0.3">
      <c r="I2936" s="101" t="str">
        <f t="shared" si="47"/>
        <v/>
      </c>
    </row>
    <row r="2937" spans="9:9" x14ac:dyDescent="0.3">
      <c r="I2937" s="101" t="str">
        <f t="shared" si="47"/>
        <v/>
      </c>
    </row>
    <row r="2938" spans="9:9" x14ac:dyDescent="0.3">
      <c r="I2938" s="101" t="str">
        <f t="shared" si="47"/>
        <v/>
      </c>
    </row>
    <row r="2939" spans="9:9" x14ac:dyDescent="0.3">
      <c r="I2939" s="101" t="str">
        <f t="shared" si="47"/>
        <v/>
      </c>
    </row>
    <row r="2940" spans="9:9" x14ac:dyDescent="0.3">
      <c r="I2940" s="101" t="str">
        <f t="shared" si="47"/>
        <v/>
      </c>
    </row>
    <row r="2941" spans="9:9" x14ac:dyDescent="0.3">
      <c r="I2941" s="101" t="str">
        <f t="shared" si="47"/>
        <v/>
      </c>
    </row>
    <row r="2942" spans="9:9" x14ac:dyDescent="0.3">
      <c r="I2942" s="101" t="str">
        <f t="shared" si="47"/>
        <v/>
      </c>
    </row>
    <row r="2943" spans="9:9" x14ac:dyDescent="0.3">
      <c r="I2943" s="101" t="str">
        <f t="shared" si="47"/>
        <v/>
      </c>
    </row>
    <row r="2944" spans="9:9" x14ac:dyDescent="0.3">
      <c r="I2944" s="101" t="str">
        <f t="shared" si="47"/>
        <v/>
      </c>
    </row>
    <row r="2945" spans="9:9" x14ac:dyDescent="0.3">
      <c r="I2945" s="101" t="str">
        <f t="shared" si="47"/>
        <v/>
      </c>
    </row>
    <row r="2946" spans="9:9" x14ac:dyDescent="0.3">
      <c r="I2946" s="101" t="str">
        <f t="shared" si="47"/>
        <v/>
      </c>
    </row>
    <row r="2947" spans="9:9" x14ac:dyDescent="0.3">
      <c r="I2947" s="101" t="str">
        <f t="shared" ref="I2947:I3010" si="48">IF(OR(B2947&lt;&gt;B2946,C2947&lt;&gt;C2946),"",IF(E2946=0,"",IF(G2947="UP",(E2947-E2946)/E2946,-((E2947-E2946)/E2946))))</f>
        <v/>
      </c>
    </row>
    <row r="2948" spans="9:9" x14ac:dyDescent="0.3">
      <c r="I2948" s="101" t="str">
        <f t="shared" si="48"/>
        <v/>
      </c>
    </row>
    <row r="2949" spans="9:9" x14ac:dyDescent="0.3">
      <c r="I2949" s="101" t="str">
        <f t="shared" si="48"/>
        <v/>
      </c>
    </row>
    <row r="2950" spans="9:9" x14ac:dyDescent="0.3">
      <c r="I2950" s="101" t="str">
        <f t="shared" si="48"/>
        <v/>
      </c>
    </row>
    <row r="2951" spans="9:9" x14ac:dyDescent="0.3">
      <c r="I2951" s="101" t="str">
        <f t="shared" si="48"/>
        <v/>
      </c>
    </row>
    <row r="2952" spans="9:9" x14ac:dyDescent="0.3">
      <c r="I2952" s="101" t="str">
        <f t="shared" si="48"/>
        <v/>
      </c>
    </row>
    <row r="2953" spans="9:9" x14ac:dyDescent="0.3">
      <c r="I2953" s="101" t="str">
        <f t="shared" si="48"/>
        <v/>
      </c>
    </row>
    <row r="2954" spans="9:9" x14ac:dyDescent="0.3">
      <c r="I2954" s="101" t="str">
        <f t="shared" si="48"/>
        <v/>
      </c>
    </row>
    <row r="2955" spans="9:9" x14ac:dyDescent="0.3">
      <c r="I2955" s="101" t="str">
        <f t="shared" si="48"/>
        <v/>
      </c>
    </row>
    <row r="2956" spans="9:9" x14ac:dyDescent="0.3">
      <c r="I2956" s="101" t="str">
        <f t="shared" si="48"/>
        <v/>
      </c>
    </row>
    <row r="2957" spans="9:9" x14ac:dyDescent="0.3">
      <c r="I2957" s="101" t="str">
        <f t="shared" si="48"/>
        <v/>
      </c>
    </row>
    <row r="2958" spans="9:9" x14ac:dyDescent="0.3">
      <c r="I2958" s="101" t="str">
        <f t="shared" si="48"/>
        <v/>
      </c>
    </row>
    <row r="2959" spans="9:9" x14ac:dyDescent="0.3">
      <c r="I2959" s="101" t="str">
        <f t="shared" si="48"/>
        <v/>
      </c>
    </row>
    <row r="2960" spans="9:9" x14ac:dyDescent="0.3">
      <c r="I2960" s="101" t="str">
        <f t="shared" si="48"/>
        <v/>
      </c>
    </row>
    <row r="2961" spans="9:9" x14ac:dyDescent="0.3">
      <c r="I2961" s="101" t="str">
        <f t="shared" si="48"/>
        <v/>
      </c>
    </row>
    <row r="2962" spans="9:9" x14ac:dyDescent="0.3">
      <c r="I2962" s="101" t="str">
        <f t="shared" si="48"/>
        <v/>
      </c>
    </row>
    <row r="2963" spans="9:9" x14ac:dyDescent="0.3">
      <c r="I2963" s="101" t="str">
        <f t="shared" si="48"/>
        <v/>
      </c>
    </row>
    <row r="2964" spans="9:9" x14ac:dyDescent="0.3">
      <c r="I2964" s="101" t="str">
        <f t="shared" si="48"/>
        <v/>
      </c>
    </row>
    <row r="2965" spans="9:9" x14ac:dyDescent="0.3">
      <c r="I2965" s="101" t="str">
        <f t="shared" si="48"/>
        <v/>
      </c>
    </row>
    <row r="2966" spans="9:9" x14ac:dyDescent="0.3">
      <c r="I2966" s="101" t="str">
        <f t="shared" si="48"/>
        <v/>
      </c>
    </row>
    <row r="2967" spans="9:9" x14ac:dyDescent="0.3">
      <c r="I2967" s="101" t="str">
        <f t="shared" si="48"/>
        <v/>
      </c>
    </row>
    <row r="2968" spans="9:9" x14ac:dyDescent="0.3">
      <c r="I2968" s="101" t="str">
        <f t="shared" si="48"/>
        <v/>
      </c>
    </row>
    <row r="2969" spans="9:9" x14ac:dyDescent="0.3">
      <c r="I2969" s="101" t="str">
        <f t="shared" si="48"/>
        <v/>
      </c>
    </row>
    <row r="2970" spans="9:9" x14ac:dyDescent="0.3">
      <c r="I2970" s="101" t="str">
        <f t="shared" si="48"/>
        <v/>
      </c>
    </row>
    <row r="2971" spans="9:9" x14ac:dyDescent="0.3">
      <c r="I2971" s="101" t="str">
        <f t="shared" si="48"/>
        <v/>
      </c>
    </row>
    <row r="2972" spans="9:9" x14ac:dyDescent="0.3">
      <c r="I2972" s="101" t="str">
        <f t="shared" si="48"/>
        <v/>
      </c>
    </row>
    <row r="2973" spans="9:9" x14ac:dyDescent="0.3">
      <c r="I2973" s="101" t="str">
        <f t="shared" si="48"/>
        <v/>
      </c>
    </row>
    <row r="2974" spans="9:9" x14ac:dyDescent="0.3">
      <c r="I2974" s="101" t="str">
        <f t="shared" si="48"/>
        <v/>
      </c>
    </row>
    <row r="2975" spans="9:9" x14ac:dyDescent="0.3">
      <c r="I2975" s="101" t="str">
        <f t="shared" si="48"/>
        <v/>
      </c>
    </row>
    <row r="2976" spans="9:9" x14ac:dyDescent="0.3">
      <c r="I2976" s="101" t="str">
        <f t="shared" si="48"/>
        <v/>
      </c>
    </row>
    <row r="2977" spans="9:9" x14ac:dyDescent="0.3">
      <c r="I2977" s="101" t="str">
        <f t="shared" si="48"/>
        <v/>
      </c>
    </row>
    <row r="2978" spans="9:9" x14ac:dyDescent="0.3">
      <c r="I2978" s="101" t="str">
        <f t="shared" si="48"/>
        <v/>
      </c>
    </row>
    <row r="2979" spans="9:9" x14ac:dyDescent="0.3">
      <c r="I2979" s="101" t="str">
        <f t="shared" si="48"/>
        <v/>
      </c>
    </row>
    <row r="2980" spans="9:9" x14ac:dyDescent="0.3">
      <c r="I2980" s="101" t="str">
        <f t="shared" si="48"/>
        <v/>
      </c>
    </row>
    <row r="2981" spans="9:9" x14ac:dyDescent="0.3">
      <c r="I2981" s="101" t="str">
        <f t="shared" si="48"/>
        <v/>
      </c>
    </row>
    <row r="2982" spans="9:9" x14ac:dyDescent="0.3">
      <c r="I2982" s="101" t="str">
        <f t="shared" si="48"/>
        <v/>
      </c>
    </row>
    <row r="2983" spans="9:9" x14ac:dyDescent="0.3">
      <c r="I2983" s="101" t="str">
        <f t="shared" si="48"/>
        <v/>
      </c>
    </row>
    <row r="2984" spans="9:9" x14ac:dyDescent="0.3">
      <c r="I2984" s="101" t="str">
        <f t="shared" si="48"/>
        <v/>
      </c>
    </row>
    <row r="2985" spans="9:9" x14ac:dyDescent="0.3">
      <c r="I2985" s="101" t="str">
        <f t="shared" si="48"/>
        <v/>
      </c>
    </row>
    <row r="2986" spans="9:9" x14ac:dyDescent="0.3">
      <c r="I2986" s="101" t="str">
        <f t="shared" si="48"/>
        <v/>
      </c>
    </row>
    <row r="2987" spans="9:9" x14ac:dyDescent="0.3">
      <c r="I2987" s="101" t="str">
        <f t="shared" si="48"/>
        <v/>
      </c>
    </row>
    <row r="2988" spans="9:9" x14ac:dyDescent="0.3">
      <c r="I2988" s="101" t="str">
        <f t="shared" si="48"/>
        <v/>
      </c>
    </row>
    <row r="2989" spans="9:9" x14ac:dyDescent="0.3">
      <c r="I2989" s="101" t="str">
        <f t="shared" si="48"/>
        <v/>
      </c>
    </row>
    <row r="2990" spans="9:9" x14ac:dyDescent="0.3">
      <c r="I2990" s="101" t="str">
        <f t="shared" si="48"/>
        <v/>
      </c>
    </row>
    <row r="2991" spans="9:9" x14ac:dyDescent="0.3">
      <c r="I2991" s="101" t="str">
        <f t="shared" si="48"/>
        <v/>
      </c>
    </row>
    <row r="2992" spans="9:9" x14ac:dyDescent="0.3">
      <c r="I2992" s="101" t="str">
        <f t="shared" si="48"/>
        <v/>
      </c>
    </row>
    <row r="2993" spans="9:9" x14ac:dyDescent="0.3">
      <c r="I2993" s="101" t="str">
        <f t="shared" si="48"/>
        <v/>
      </c>
    </row>
    <row r="2994" spans="9:9" x14ac:dyDescent="0.3">
      <c r="I2994" s="101" t="str">
        <f t="shared" si="48"/>
        <v/>
      </c>
    </row>
    <row r="2995" spans="9:9" x14ac:dyDescent="0.3">
      <c r="I2995" s="101" t="str">
        <f t="shared" si="48"/>
        <v/>
      </c>
    </row>
    <row r="2996" spans="9:9" x14ac:dyDescent="0.3">
      <c r="I2996" s="101" t="str">
        <f t="shared" si="48"/>
        <v/>
      </c>
    </row>
    <row r="2997" spans="9:9" x14ac:dyDescent="0.3">
      <c r="I2997" s="101" t="str">
        <f t="shared" si="48"/>
        <v/>
      </c>
    </row>
    <row r="2998" spans="9:9" x14ac:dyDescent="0.3">
      <c r="I2998" s="101" t="str">
        <f t="shared" si="48"/>
        <v/>
      </c>
    </row>
    <row r="2999" spans="9:9" x14ac:dyDescent="0.3">
      <c r="I2999" s="101" t="str">
        <f t="shared" si="48"/>
        <v/>
      </c>
    </row>
    <row r="3000" spans="9:9" x14ac:dyDescent="0.3">
      <c r="I3000" s="101" t="str">
        <f t="shared" si="48"/>
        <v/>
      </c>
    </row>
    <row r="3001" spans="9:9" x14ac:dyDescent="0.3">
      <c r="I3001" s="101" t="str">
        <f t="shared" si="48"/>
        <v/>
      </c>
    </row>
    <row r="3002" spans="9:9" x14ac:dyDescent="0.3">
      <c r="I3002" s="101" t="str">
        <f t="shared" si="48"/>
        <v/>
      </c>
    </row>
    <row r="3003" spans="9:9" x14ac:dyDescent="0.3">
      <c r="I3003" s="101" t="str">
        <f t="shared" si="48"/>
        <v/>
      </c>
    </row>
    <row r="3004" spans="9:9" x14ac:dyDescent="0.3">
      <c r="I3004" s="101" t="str">
        <f t="shared" si="48"/>
        <v/>
      </c>
    </row>
    <row r="3005" spans="9:9" x14ac:dyDescent="0.3">
      <c r="I3005" s="101" t="str">
        <f t="shared" si="48"/>
        <v/>
      </c>
    </row>
    <row r="3006" spans="9:9" x14ac:dyDescent="0.3">
      <c r="I3006" s="101" t="str">
        <f t="shared" si="48"/>
        <v/>
      </c>
    </row>
    <row r="3007" spans="9:9" x14ac:dyDescent="0.3">
      <c r="I3007" s="101" t="str">
        <f t="shared" si="48"/>
        <v/>
      </c>
    </row>
    <row r="3008" spans="9:9" x14ac:dyDescent="0.3">
      <c r="I3008" s="101" t="str">
        <f t="shared" si="48"/>
        <v/>
      </c>
    </row>
    <row r="3009" spans="9:9" x14ac:dyDescent="0.3">
      <c r="I3009" s="101" t="str">
        <f t="shared" si="48"/>
        <v/>
      </c>
    </row>
    <row r="3010" spans="9:9" x14ac:dyDescent="0.3">
      <c r="I3010" s="101" t="str">
        <f t="shared" si="48"/>
        <v/>
      </c>
    </row>
    <row r="3011" spans="9:9" x14ac:dyDescent="0.3">
      <c r="I3011" s="101" t="str">
        <f t="shared" ref="I3011:I3074" si="49">IF(OR(B3011&lt;&gt;B3010,C3011&lt;&gt;C3010),"",IF(E3010=0,"",IF(G3011="UP",(E3011-E3010)/E3010,-((E3011-E3010)/E3010))))</f>
        <v/>
      </c>
    </row>
    <row r="3012" spans="9:9" x14ac:dyDescent="0.3">
      <c r="I3012" s="101" t="str">
        <f t="shared" si="49"/>
        <v/>
      </c>
    </row>
    <row r="3013" spans="9:9" x14ac:dyDescent="0.3">
      <c r="I3013" s="101" t="str">
        <f t="shared" si="49"/>
        <v/>
      </c>
    </row>
    <row r="3014" spans="9:9" x14ac:dyDescent="0.3">
      <c r="I3014" s="101" t="str">
        <f t="shared" si="49"/>
        <v/>
      </c>
    </row>
    <row r="3015" spans="9:9" x14ac:dyDescent="0.3">
      <c r="I3015" s="101" t="str">
        <f t="shared" si="49"/>
        <v/>
      </c>
    </row>
    <row r="3016" spans="9:9" x14ac:dyDescent="0.3">
      <c r="I3016" s="101" t="str">
        <f t="shared" si="49"/>
        <v/>
      </c>
    </row>
    <row r="3017" spans="9:9" x14ac:dyDescent="0.3">
      <c r="I3017" s="101" t="str">
        <f t="shared" si="49"/>
        <v/>
      </c>
    </row>
    <row r="3018" spans="9:9" x14ac:dyDescent="0.3">
      <c r="I3018" s="101" t="str">
        <f t="shared" si="49"/>
        <v/>
      </c>
    </row>
    <row r="3019" spans="9:9" x14ac:dyDescent="0.3">
      <c r="I3019" s="101" t="str">
        <f t="shared" si="49"/>
        <v/>
      </c>
    </row>
    <row r="3020" spans="9:9" x14ac:dyDescent="0.3">
      <c r="I3020" s="101" t="str">
        <f t="shared" si="49"/>
        <v/>
      </c>
    </row>
    <row r="3021" spans="9:9" x14ac:dyDescent="0.3">
      <c r="I3021" s="101" t="str">
        <f t="shared" si="49"/>
        <v/>
      </c>
    </row>
    <row r="3022" spans="9:9" x14ac:dyDescent="0.3">
      <c r="I3022" s="101" t="str">
        <f t="shared" si="49"/>
        <v/>
      </c>
    </row>
    <row r="3023" spans="9:9" x14ac:dyDescent="0.3">
      <c r="I3023" s="101" t="str">
        <f t="shared" si="49"/>
        <v/>
      </c>
    </row>
    <row r="3024" spans="9:9" x14ac:dyDescent="0.3">
      <c r="I3024" s="101" t="str">
        <f t="shared" si="49"/>
        <v/>
      </c>
    </row>
    <row r="3025" spans="9:9" x14ac:dyDescent="0.3">
      <c r="I3025" s="101" t="str">
        <f t="shared" si="49"/>
        <v/>
      </c>
    </row>
    <row r="3026" spans="9:9" x14ac:dyDescent="0.3">
      <c r="I3026" s="101" t="str">
        <f t="shared" si="49"/>
        <v/>
      </c>
    </row>
    <row r="3027" spans="9:9" x14ac:dyDescent="0.3">
      <c r="I3027" s="101" t="str">
        <f t="shared" si="49"/>
        <v/>
      </c>
    </row>
    <row r="3028" spans="9:9" x14ac:dyDescent="0.3">
      <c r="I3028" s="101" t="str">
        <f t="shared" si="49"/>
        <v/>
      </c>
    </row>
    <row r="3029" spans="9:9" x14ac:dyDescent="0.3">
      <c r="I3029" s="101" t="str">
        <f t="shared" si="49"/>
        <v/>
      </c>
    </row>
    <row r="3030" spans="9:9" x14ac:dyDescent="0.3">
      <c r="I3030" s="101" t="str">
        <f t="shared" si="49"/>
        <v/>
      </c>
    </row>
    <row r="3031" spans="9:9" x14ac:dyDescent="0.3">
      <c r="I3031" s="101" t="str">
        <f t="shared" si="49"/>
        <v/>
      </c>
    </row>
    <row r="3032" spans="9:9" x14ac:dyDescent="0.3">
      <c r="I3032" s="101" t="str">
        <f t="shared" si="49"/>
        <v/>
      </c>
    </row>
    <row r="3033" spans="9:9" x14ac:dyDescent="0.3">
      <c r="I3033" s="101" t="str">
        <f t="shared" si="49"/>
        <v/>
      </c>
    </row>
    <row r="3034" spans="9:9" x14ac:dyDescent="0.3">
      <c r="I3034" s="101" t="str">
        <f t="shared" si="49"/>
        <v/>
      </c>
    </row>
    <row r="3035" spans="9:9" x14ac:dyDescent="0.3">
      <c r="I3035" s="101" t="str">
        <f t="shared" si="49"/>
        <v/>
      </c>
    </row>
    <row r="3036" spans="9:9" x14ac:dyDescent="0.3">
      <c r="I3036" s="101" t="str">
        <f t="shared" si="49"/>
        <v/>
      </c>
    </row>
    <row r="3037" spans="9:9" x14ac:dyDescent="0.3">
      <c r="I3037" s="101" t="str">
        <f t="shared" si="49"/>
        <v/>
      </c>
    </row>
    <row r="3038" spans="9:9" x14ac:dyDescent="0.3">
      <c r="I3038" s="101" t="str">
        <f t="shared" si="49"/>
        <v/>
      </c>
    </row>
    <row r="3039" spans="9:9" x14ac:dyDescent="0.3">
      <c r="I3039" s="101" t="str">
        <f t="shared" si="49"/>
        <v/>
      </c>
    </row>
    <row r="3040" spans="9:9" x14ac:dyDescent="0.3">
      <c r="I3040" s="101" t="str">
        <f t="shared" si="49"/>
        <v/>
      </c>
    </row>
    <row r="3041" spans="9:9" x14ac:dyDescent="0.3">
      <c r="I3041" s="101" t="str">
        <f t="shared" si="49"/>
        <v/>
      </c>
    </row>
    <row r="3042" spans="9:9" x14ac:dyDescent="0.3">
      <c r="I3042" s="101" t="str">
        <f t="shared" si="49"/>
        <v/>
      </c>
    </row>
    <row r="3043" spans="9:9" x14ac:dyDescent="0.3">
      <c r="I3043" s="101" t="str">
        <f t="shared" si="49"/>
        <v/>
      </c>
    </row>
    <row r="3044" spans="9:9" x14ac:dyDescent="0.3">
      <c r="I3044" s="101" t="str">
        <f t="shared" si="49"/>
        <v/>
      </c>
    </row>
    <row r="3045" spans="9:9" x14ac:dyDescent="0.3">
      <c r="I3045" s="101" t="str">
        <f t="shared" si="49"/>
        <v/>
      </c>
    </row>
    <row r="3046" spans="9:9" x14ac:dyDescent="0.3">
      <c r="I3046" s="101" t="str">
        <f t="shared" si="49"/>
        <v/>
      </c>
    </row>
    <row r="3047" spans="9:9" x14ac:dyDescent="0.3">
      <c r="I3047" s="101" t="str">
        <f t="shared" si="49"/>
        <v/>
      </c>
    </row>
    <row r="3048" spans="9:9" x14ac:dyDescent="0.3">
      <c r="I3048" s="101" t="str">
        <f t="shared" si="49"/>
        <v/>
      </c>
    </row>
    <row r="3049" spans="9:9" x14ac:dyDescent="0.3">
      <c r="I3049" s="101" t="str">
        <f t="shared" si="49"/>
        <v/>
      </c>
    </row>
    <row r="3050" spans="9:9" x14ac:dyDescent="0.3">
      <c r="I3050" s="101" t="str">
        <f t="shared" si="49"/>
        <v/>
      </c>
    </row>
    <row r="3051" spans="9:9" x14ac:dyDescent="0.3">
      <c r="I3051" s="101" t="str">
        <f t="shared" si="49"/>
        <v/>
      </c>
    </row>
    <row r="3052" spans="9:9" x14ac:dyDescent="0.3">
      <c r="I3052" s="101" t="str">
        <f t="shared" si="49"/>
        <v/>
      </c>
    </row>
    <row r="3053" spans="9:9" x14ac:dyDescent="0.3">
      <c r="I3053" s="101" t="str">
        <f t="shared" si="49"/>
        <v/>
      </c>
    </row>
    <row r="3054" spans="9:9" x14ac:dyDescent="0.3">
      <c r="I3054" s="101" t="str">
        <f t="shared" si="49"/>
        <v/>
      </c>
    </row>
    <row r="3055" spans="9:9" x14ac:dyDescent="0.3">
      <c r="I3055" s="101" t="str">
        <f t="shared" si="49"/>
        <v/>
      </c>
    </row>
    <row r="3056" spans="9:9" x14ac:dyDescent="0.3">
      <c r="I3056" s="101" t="str">
        <f t="shared" si="49"/>
        <v/>
      </c>
    </row>
    <row r="3057" spans="9:9" x14ac:dyDescent="0.3">
      <c r="I3057" s="101" t="str">
        <f t="shared" si="49"/>
        <v/>
      </c>
    </row>
    <row r="3058" spans="9:9" x14ac:dyDescent="0.3">
      <c r="I3058" s="101" t="str">
        <f t="shared" si="49"/>
        <v/>
      </c>
    </row>
    <row r="3059" spans="9:9" x14ac:dyDescent="0.3">
      <c r="I3059" s="101" t="str">
        <f t="shared" si="49"/>
        <v/>
      </c>
    </row>
    <row r="3060" spans="9:9" x14ac:dyDescent="0.3">
      <c r="I3060" s="101" t="str">
        <f t="shared" si="49"/>
        <v/>
      </c>
    </row>
    <row r="3061" spans="9:9" x14ac:dyDescent="0.3">
      <c r="I3061" s="101" t="str">
        <f t="shared" si="49"/>
        <v/>
      </c>
    </row>
    <row r="3062" spans="9:9" x14ac:dyDescent="0.3">
      <c r="I3062" s="101" t="str">
        <f t="shared" si="49"/>
        <v/>
      </c>
    </row>
    <row r="3063" spans="9:9" x14ac:dyDescent="0.3">
      <c r="I3063" s="101" t="str">
        <f t="shared" si="49"/>
        <v/>
      </c>
    </row>
    <row r="3064" spans="9:9" x14ac:dyDescent="0.3">
      <c r="I3064" s="101" t="str">
        <f t="shared" si="49"/>
        <v/>
      </c>
    </row>
    <row r="3065" spans="9:9" x14ac:dyDescent="0.3">
      <c r="I3065" s="101" t="str">
        <f t="shared" si="49"/>
        <v/>
      </c>
    </row>
    <row r="3066" spans="9:9" x14ac:dyDescent="0.3">
      <c r="I3066" s="101" t="str">
        <f t="shared" si="49"/>
        <v/>
      </c>
    </row>
    <row r="3067" spans="9:9" x14ac:dyDescent="0.3">
      <c r="I3067" s="101" t="str">
        <f t="shared" si="49"/>
        <v/>
      </c>
    </row>
    <row r="3068" spans="9:9" x14ac:dyDescent="0.3">
      <c r="I3068" s="101" t="str">
        <f t="shared" si="49"/>
        <v/>
      </c>
    </row>
    <row r="3069" spans="9:9" x14ac:dyDescent="0.3">
      <c r="I3069" s="101" t="str">
        <f t="shared" si="49"/>
        <v/>
      </c>
    </row>
    <row r="3070" spans="9:9" x14ac:dyDescent="0.3">
      <c r="I3070" s="101" t="str">
        <f t="shared" si="49"/>
        <v/>
      </c>
    </row>
    <row r="3071" spans="9:9" x14ac:dyDescent="0.3">
      <c r="I3071" s="101" t="str">
        <f t="shared" si="49"/>
        <v/>
      </c>
    </row>
    <row r="3072" spans="9:9" x14ac:dyDescent="0.3">
      <c r="I3072" s="101" t="str">
        <f t="shared" si="49"/>
        <v/>
      </c>
    </row>
    <row r="3073" spans="9:9" x14ac:dyDescent="0.3">
      <c r="I3073" s="101" t="str">
        <f t="shared" si="49"/>
        <v/>
      </c>
    </row>
    <row r="3074" spans="9:9" x14ac:dyDescent="0.3">
      <c r="I3074" s="101" t="str">
        <f t="shared" si="49"/>
        <v/>
      </c>
    </row>
    <row r="3075" spans="9:9" x14ac:dyDescent="0.3">
      <c r="I3075" s="101" t="str">
        <f t="shared" ref="I3075:I3138" si="50">IF(OR(B3075&lt;&gt;B3074,C3075&lt;&gt;C3074),"",IF(E3074=0,"",IF(G3075="UP",(E3075-E3074)/E3074,-((E3075-E3074)/E3074))))</f>
        <v/>
      </c>
    </row>
    <row r="3076" spans="9:9" x14ac:dyDescent="0.3">
      <c r="I3076" s="101" t="str">
        <f t="shared" si="50"/>
        <v/>
      </c>
    </row>
    <row r="3077" spans="9:9" x14ac:dyDescent="0.3">
      <c r="I3077" s="101" t="str">
        <f t="shared" si="50"/>
        <v/>
      </c>
    </row>
    <row r="3078" spans="9:9" x14ac:dyDescent="0.3">
      <c r="I3078" s="101" t="str">
        <f t="shared" si="50"/>
        <v/>
      </c>
    </row>
    <row r="3079" spans="9:9" x14ac:dyDescent="0.3">
      <c r="I3079" s="101" t="str">
        <f t="shared" si="50"/>
        <v/>
      </c>
    </row>
    <row r="3080" spans="9:9" x14ac:dyDescent="0.3">
      <c r="I3080" s="101" t="str">
        <f t="shared" si="50"/>
        <v/>
      </c>
    </row>
    <row r="3081" spans="9:9" x14ac:dyDescent="0.3">
      <c r="I3081" s="101" t="str">
        <f t="shared" si="50"/>
        <v/>
      </c>
    </row>
    <row r="3082" spans="9:9" x14ac:dyDescent="0.3">
      <c r="I3082" s="101" t="str">
        <f t="shared" si="50"/>
        <v/>
      </c>
    </row>
    <row r="3083" spans="9:9" x14ac:dyDescent="0.3">
      <c r="I3083" s="101" t="str">
        <f t="shared" si="50"/>
        <v/>
      </c>
    </row>
    <row r="3084" spans="9:9" x14ac:dyDescent="0.3">
      <c r="I3084" s="101" t="str">
        <f t="shared" si="50"/>
        <v/>
      </c>
    </row>
    <row r="3085" spans="9:9" x14ac:dyDescent="0.3">
      <c r="I3085" s="101" t="str">
        <f t="shared" si="50"/>
        <v/>
      </c>
    </row>
    <row r="3086" spans="9:9" x14ac:dyDescent="0.3">
      <c r="I3086" s="101" t="str">
        <f t="shared" si="50"/>
        <v/>
      </c>
    </row>
    <row r="3087" spans="9:9" x14ac:dyDescent="0.3">
      <c r="I3087" s="101" t="str">
        <f t="shared" si="50"/>
        <v/>
      </c>
    </row>
    <row r="3088" spans="9:9" x14ac:dyDescent="0.3">
      <c r="I3088" s="101" t="str">
        <f t="shared" si="50"/>
        <v/>
      </c>
    </row>
    <row r="3089" spans="9:9" x14ac:dyDescent="0.3">
      <c r="I3089" s="101" t="str">
        <f t="shared" si="50"/>
        <v/>
      </c>
    </row>
    <row r="3090" spans="9:9" x14ac:dyDescent="0.3">
      <c r="I3090" s="101" t="str">
        <f t="shared" si="50"/>
        <v/>
      </c>
    </row>
    <row r="3091" spans="9:9" x14ac:dyDescent="0.3">
      <c r="I3091" s="101" t="str">
        <f t="shared" si="50"/>
        <v/>
      </c>
    </row>
    <row r="3092" spans="9:9" x14ac:dyDescent="0.3">
      <c r="I3092" s="101" t="str">
        <f t="shared" si="50"/>
        <v/>
      </c>
    </row>
    <row r="3093" spans="9:9" x14ac:dyDescent="0.3">
      <c r="I3093" s="101" t="str">
        <f t="shared" si="50"/>
        <v/>
      </c>
    </row>
    <row r="3094" spans="9:9" x14ac:dyDescent="0.3">
      <c r="I3094" s="101" t="str">
        <f t="shared" si="50"/>
        <v/>
      </c>
    </row>
    <row r="3095" spans="9:9" x14ac:dyDescent="0.3">
      <c r="I3095" s="101" t="str">
        <f t="shared" si="50"/>
        <v/>
      </c>
    </row>
    <row r="3096" spans="9:9" x14ac:dyDescent="0.3">
      <c r="I3096" s="101" t="str">
        <f t="shared" si="50"/>
        <v/>
      </c>
    </row>
    <row r="3097" spans="9:9" x14ac:dyDescent="0.3">
      <c r="I3097" s="101" t="str">
        <f t="shared" si="50"/>
        <v/>
      </c>
    </row>
    <row r="3098" spans="9:9" x14ac:dyDescent="0.3">
      <c r="I3098" s="101" t="str">
        <f t="shared" si="50"/>
        <v/>
      </c>
    </row>
    <row r="3099" spans="9:9" x14ac:dyDescent="0.3">
      <c r="I3099" s="101" t="str">
        <f t="shared" si="50"/>
        <v/>
      </c>
    </row>
    <row r="3100" spans="9:9" x14ac:dyDescent="0.3">
      <c r="I3100" s="101" t="str">
        <f t="shared" si="50"/>
        <v/>
      </c>
    </row>
    <row r="3101" spans="9:9" x14ac:dyDescent="0.3">
      <c r="I3101" s="101" t="str">
        <f t="shared" si="50"/>
        <v/>
      </c>
    </row>
    <row r="3102" spans="9:9" x14ac:dyDescent="0.3">
      <c r="I3102" s="101" t="str">
        <f t="shared" si="50"/>
        <v/>
      </c>
    </row>
    <row r="3103" spans="9:9" x14ac:dyDescent="0.3">
      <c r="I3103" s="101" t="str">
        <f t="shared" si="50"/>
        <v/>
      </c>
    </row>
    <row r="3104" spans="9:9" x14ac:dyDescent="0.3">
      <c r="I3104" s="101" t="str">
        <f t="shared" si="50"/>
        <v/>
      </c>
    </row>
    <row r="3105" spans="9:9" x14ac:dyDescent="0.3">
      <c r="I3105" s="101" t="str">
        <f t="shared" si="50"/>
        <v/>
      </c>
    </row>
    <row r="3106" spans="9:9" x14ac:dyDescent="0.3">
      <c r="I3106" s="101" t="str">
        <f t="shared" si="50"/>
        <v/>
      </c>
    </row>
    <row r="3107" spans="9:9" x14ac:dyDescent="0.3">
      <c r="I3107" s="101" t="str">
        <f t="shared" si="50"/>
        <v/>
      </c>
    </row>
    <row r="3108" spans="9:9" x14ac:dyDescent="0.3">
      <c r="I3108" s="101" t="str">
        <f t="shared" si="50"/>
        <v/>
      </c>
    </row>
    <row r="3109" spans="9:9" x14ac:dyDescent="0.3">
      <c r="I3109" s="101" t="str">
        <f t="shared" si="50"/>
        <v/>
      </c>
    </row>
    <row r="3110" spans="9:9" x14ac:dyDescent="0.3">
      <c r="I3110" s="101" t="str">
        <f t="shared" si="50"/>
        <v/>
      </c>
    </row>
    <row r="3111" spans="9:9" x14ac:dyDescent="0.3">
      <c r="I3111" s="101" t="str">
        <f t="shared" si="50"/>
        <v/>
      </c>
    </row>
    <row r="3112" spans="9:9" x14ac:dyDescent="0.3">
      <c r="I3112" s="101" t="str">
        <f t="shared" si="50"/>
        <v/>
      </c>
    </row>
    <row r="3113" spans="9:9" x14ac:dyDescent="0.3">
      <c r="I3113" s="101" t="str">
        <f t="shared" si="50"/>
        <v/>
      </c>
    </row>
    <row r="3114" spans="9:9" x14ac:dyDescent="0.3">
      <c r="I3114" s="101" t="str">
        <f t="shared" si="50"/>
        <v/>
      </c>
    </row>
    <row r="3115" spans="9:9" x14ac:dyDescent="0.3">
      <c r="I3115" s="101" t="str">
        <f t="shared" si="50"/>
        <v/>
      </c>
    </row>
    <row r="3116" spans="9:9" x14ac:dyDescent="0.3">
      <c r="I3116" s="101" t="str">
        <f t="shared" si="50"/>
        <v/>
      </c>
    </row>
    <row r="3117" spans="9:9" x14ac:dyDescent="0.3">
      <c r="I3117" s="101" t="str">
        <f t="shared" si="50"/>
        <v/>
      </c>
    </row>
    <row r="3118" spans="9:9" x14ac:dyDescent="0.3">
      <c r="I3118" s="101" t="str">
        <f t="shared" si="50"/>
        <v/>
      </c>
    </row>
    <row r="3119" spans="9:9" x14ac:dyDescent="0.3">
      <c r="I3119" s="101" t="str">
        <f t="shared" si="50"/>
        <v/>
      </c>
    </row>
    <row r="3120" spans="9:9" x14ac:dyDescent="0.3">
      <c r="I3120" s="101" t="str">
        <f t="shared" si="50"/>
        <v/>
      </c>
    </row>
    <row r="3121" spans="9:9" x14ac:dyDescent="0.3">
      <c r="I3121" s="101" t="str">
        <f t="shared" si="50"/>
        <v/>
      </c>
    </row>
    <row r="3122" spans="9:9" x14ac:dyDescent="0.3">
      <c r="I3122" s="101" t="str">
        <f t="shared" si="50"/>
        <v/>
      </c>
    </row>
    <row r="3123" spans="9:9" x14ac:dyDescent="0.3">
      <c r="I3123" s="101" t="str">
        <f t="shared" si="50"/>
        <v/>
      </c>
    </row>
    <row r="3124" spans="9:9" x14ac:dyDescent="0.3">
      <c r="I3124" s="101" t="str">
        <f t="shared" si="50"/>
        <v/>
      </c>
    </row>
    <row r="3125" spans="9:9" x14ac:dyDescent="0.3">
      <c r="I3125" s="101" t="str">
        <f t="shared" si="50"/>
        <v/>
      </c>
    </row>
    <row r="3126" spans="9:9" x14ac:dyDescent="0.3">
      <c r="I3126" s="101" t="str">
        <f t="shared" si="50"/>
        <v/>
      </c>
    </row>
    <row r="3127" spans="9:9" x14ac:dyDescent="0.3">
      <c r="I3127" s="101" t="str">
        <f t="shared" si="50"/>
        <v/>
      </c>
    </row>
    <row r="3128" spans="9:9" x14ac:dyDescent="0.3">
      <c r="I3128" s="101" t="str">
        <f t="shared" si="50"/>
        <v/>
      </c>
    </row>
    <row r="3129" spans="9:9" x14ac:dyDescent="0.3">
      <c r="I3129" s="101" t="str">
        <f t="shared" si="50"/>
        <v/>
      </c>
    </row>
    <row r="3130" spans="9:9" x14ac:dyDescent="0.3">
      <c r="I3130" s="101" t="str">
        <f t="shared" si="50"/>
        <v/>
      </c>
    </row>
    <row r="3131" spans="9:9" x14ac:dyDescent="0.3">
      <c r="I3131" s="101" t="str">
        <f t="shared" si="50"/>
        <v/>
      </c>
    </row>
    <row r="3132" spans="9:9" x14ac:dyDescent="0.3">
      <c r="I3132" s="101" t="str">
        <f t="shared" si="50"/>
        <v/>
      </c>
    </row>
    <row r="3133" spans="9:9" x14ac:dyDescent="0.3">
      <c r="I3133" s="101" t="str">
        <f t="shared" si="50"/>
        <v/>
      </c>
    </row>
    <row r="3134" spans="9:9" x14ac:dyDescent="0.3">
      <c r="I3134" s="101" t="str">
        <f t="shared" si="50"/>
        <v/>
      </c>
    </row>
    <row r="3135" spans="9:9" x14ac:dyDescent="0.3">
      <c r="I3135" s="101" t="str">
        <f t="shared" si="50"/>
        <v/>
      </c>
    </row>
    <row r="3136" spans="9:9" x14ac:dyDescent="0.3">
      <c r="I3136" s="101" t="str">
        <f t="shared" si="50"/>
        <v/>
      </c>
    </row>
    <row r="3137" spans="9:9" x14ac:dyDescent="0.3">
      <c r="I3137" s="101" t="str">
        <f t="shared" si="50"/>
        <v/>
      </c>
    </row>
    <row r="3138" spans="9:9" x14ac:dyDescent="0.3">
      <c r="I3138" s="101" t="str">
        <f t="shared" si="50"/>
        <v/>
      </c>
    </row>
    <row r="3139" spans="9:9" x14ac:dyDescent="0.3">
      <c r="I3139" s="101" t="str">
        <f t="shared" ref="I3139:I3202" si="51">IF(OR(B3139&lt;&gt;B3138,C3139&lt;&gt;C3138),"",IF(E3138=0,"",IF(G3139="UP",(E3139-E3138)/E3138,-((E3139-E3138)/E3138))))</f>
        <v/>
      </c>
    </row>
    <row r="3140" spans="9:9" x14ac:dyDescent="0.3">
      <c r="I3140" s="101" t="str">
        <f t="shared" si="51"/>
        <v/>
      </c>
    </row>
    <row r="3141" spans="9:9" x14ac:dyDescent="0.3">
      <c r="I3141" s="101" t="str">
        <f t="shared" si="51"/>
        <v/>
      </c>
    </row>
    <row r="3142" spans="9:9" x14ac:dyDescent="0.3">
      <c r="I3142" s="101" t="str">
        <f t="shared" si="51"/>
        <v/>
      </c>
    </row>
    <row r="3143" spans="9:9" x14ac:dyDescent="0.3">
      <c r="I3143" s="101" t="str">
        <f t="shared" si="51"/>
        <v/>
      </c>
    </row>
    <row r="3144" spans="9:9" x14ac:dyDescent="0.3">
      <c r="I3144" s="101" t="str">
        <f t="shared" si="51"/>
        <v/>
      </c>
    </row>
    <row r="3145" spans="9:9" x14ac:dyDescent="0.3">
      <c r="I3145" s="101" t="str">
        <f t="shared" si="51"/>
        <v/>
      </c>
    </row>
    <row r="3146" spans="9:9" x14ac:dyDescent="0.3">
      <c r="I3146" s="101" t="str">
        <f t="shared" si="51"/>
        <v/>
      </c>
    </row>
    <row r="3147" spans="9:9" x14ac:dyDescent="0.3">
      <c r="I3147" s="101" t="str">
        <f t="shared" si="51"/>
        <v/>
      </c>
    </row>
    <row r="3148" spans="9:9" x14ac:dyDescent="0.3">
      <c r="I3148" s="101" t="str">
        <f t="shared" si="51"/>
        <v/>
      </c>
    </row>
    <row r="3149" spans="9:9" x14ac:dyDescent="0.3">
      <c r="I3149" s="101" t="str">
        <f t="shared" si="51"/>
        <v/>
      </c>
    </row>
    <row r="3150" spans="9:9" x14ac:dyDescent="0.3">
      <c r="I3150" s="101" t="str">
        <f t="shared" si="51"/>
        <v/>
      </c>
    </row>
    <row r="3151" spans="9:9" x14ac:dyDescent="0.3">
      <c r="I3151" s="101" t="str">
        <f t="shared" si="51"/>
        <v/>
      </c>
    </row>
    <row r="3152" spans="9:9" x14ac:dyDescent="0.3">
      <c r="I3152" s="101" t="str">
        <f t="shared" si="51"/>
        <v/>
      </c>
    </row>
    <row r="3153" spans="9:9" x14ac:dyDescent="0.3">
      <c r="I3153" s="101" t="str">
        <f t="shared" si="51"/>
        <v/>
      </c>
    </row>
    <row r="3154" spans="9:9" x14ac:dyDescent="0.3">
      <c r="I3154" s="101" t="str">
        <f t="shared" si="51"/>
        <v/>
      </c>
    </row>
    <row r="3155" spans="9:9" x14ac:dyDescent="0.3">
      <c r="I3155" s="101" t="str">
        <f t="shared" si="51"/>
        <v/>
      </c>
    </row>
    <row r="3156" spans="9:9" x14ac:dyDescent="0.3">
      <c r="I3156" s="101" t="str">
        <f t="shared" si="51"/>
        <v/>
      </c>
    </row>
    <row r="3157" spans="9:9" x14ac:dyDescent="0.3">
      <c r="I3157" s="101" t="str">
        <f t="shared" si="51"/>
        <v/>
      </c>
    </row>
    <row r="3158" spans="9:9" x14ac:dyDescent="0.3">
      <c r="I3158" s="101" t="str">
        <f t="shared" si="51"/>
        <v/>
      </c>
    </row>
    <row r="3159" spans="9:9" x14ac:dyDescent="0.3">
      <c r="I3159" s="101" t="str">
        <f t="shared" si="51"/>
        <v/>
      </c>
    </row>
    <row r="3160" spans="9:9" x14ac:dyDescent="0.3">
      <c r="I3160" s="101" t="str">
        <f t="shared" si="51"/>
        <v/>
      </c>
    </row>
    <row r="3161" spans="9:9" x14ac:dyDescent="0.3">
      <c r="I3161" s="101" t="str">
        <f t="shared" si="51"/>
        <v/>
      </c>
    </row>
    <row r="3162" spans="9:9" x14ac:dyDescent="0.3">
      <c r="I3162" s="101" t="str">
        <f t="shared" si="51"/>
        <v/>
      </c>
    </row>
    <row r="3163" spans="9:9" x14ac:dyDescent="0.3">
      <c r="I3163" s="101" t="str">
        <f t="shared" si="51"/>
        <v/>
      </c>
    </row>
    <row r="3164" spans="9:9" x14ac:dyDescent="0.3">
      <c r="I3164" s="101" t="str">
        <f t="shared" si="51"/>
        <v/>
      </c>
    </row>
    <row r="3165" spans="9:9" x14ac:dyDescent="0.3">
      <c r="I3165" s="101" t="str">
        <f t="shared" si="51"/>
        <v/>
      </c>
    </row>
    <row r="3166" spans="9:9" x14ac:dyDescent="0.3">
      <c r="I3166" s="101" t="str">
        <f t="shared" si="51"/>
        <v/>
      </c>
    </row>
    <row r="3167" spans="9:9" x14ac:dyDescent="0.3">
      <c r="I3167" s="101" t="str">
        <f t="shared" si="51"/>
        <v/>
      </c>
    </row>
    <row r="3168" spans="9:9" x14ac:dyDescent="0.3">
      <c r="I3168" s="101" t="str">
        <f t="shared" si="51"/>
        <v/>
      </c>
    </row>
    <row r="3169" spans="9:9" x14ac:dyDescent="0.3">
      <c r="I3169" s="101" t="str">
        <f t="shared" si="51"/>
        <v/>
      </c>
    </row>
    <row r="3170" spans="9:9" x14ac:dyDescent="0.3">
      <c r="I3170" s="101" t="str">
        <f t="shared" si="51"/>
        <v/>
      </c>
    </row>
    <row r="3171" spans="9:9" x14ac:dyDescent="0.3">
      <c r="I3171" s="101" t="str">
        <f t="shared" si="51"/>
        <v/>
      </c>
    </row>
    <row r="3172" spans="9:9" x14ac:dyDescent="0.3">
      <c r="I3172" s="101" t="str">
        <f t="shared" si="51"/>
        <v/>
      </c>
    </row>
    <row r="3173" spans="9:9" x14ac:dyDescent="0.3">
      <c r="I3173" s="101" t="str">
        <f t="shared" si="51"/>
        <v/>
      </c>
    </row>
    <row r="3174" spans="9:9" x14ac:dyDescent="0.3">
      <c r="I3174" s="101" t="str">
        <f t="shared" si="51"/>
        <v/>
      </c>
    </row>
    <row r="3175" spans="9:9" x14ac:dyDescent="0.3">
      <c r="I3175" s="101" t="str">
        <f t="shared" si="51"/>
        <v/>
      </c>
    </row>
    <row r="3176" spans="9:9" x14ac:dyDescent="0.3">
      <c r="I3176" s="101" t="str">
        <f t="shared" si="51"/>
        <v/>
      </c>
    </row>
    <row r="3177" spans="9:9" x14ac:dyDescent="0.3">
      <c r="I3177" s="101" t="str">
        <f t="shared" si="51"/>
        <v/>
      </c>
    </row>
    <row r="3178" spans="9:9" x14ac:dyDescent="0.3">
      <c r="I3178" s="101" t="str">
        <f t="shared" si="51"/>
        <v/>
      </c>
    </row>
    <row r="3179" spans="9:9" x14ac:dyDescent="0.3">
      <c r="I3179" s="101" t="str">
        <f t="shared" si="51"/>
        <v/>
      </c>
    </row>
    <row r="3180" spans="9:9" x14ac:dyDescent="0.3">
      <c r="I3180" s="101" t="str">
        <f t="shared" si="51"/>
        <v/>
      </c>
    </row>
    <row r="3181" spans="9:9" x14ac:dyDescent="0.3">
      <c r="I3181" s="101" t="str">
        <f t="shared" si="51"/>
        <v/>
      </c>
    </row>
    <row r="3182" spans="9:9" x14ac:dyDescent="0.3">
      <c r="I3182" s="101" t="str">
        <f t="shared" si="51"/>
        <v/>
      </c>
    </row>
    <row r="3183" spans="9:9" x14ac:dyDescent="0.3">
      <c r="I3183" s="101" t="str">
        <f t="shared" si="51"/>
        <v/>
      </c>
    </row>
    <row r="3184" spans="9:9" x14ac:dyDescent="0.3">
      <c r="I3184" s="101" t="str">
        <f t="shared" si="51"/>
        <v/>
      </c>
    </row>
    <row r="3185" spans="9:9" x14ac:dyDescent="0.3">
      <c r="I3185" s="101" t="str">
        <f t="shared" si="51"/>
        <v/>
      </c>
    </row>
    <row r="3186" spans="9:9" x14ac:dyDescent="0.3">
      <c r="I3186" s="101" t="str">
        <f t="shared" si="51"/>
        <v/>
      </c>
    </row>
    <row r="3187" spans="9:9" x14ac:dyDescent="0.3">
      <c r="I3187" s="101" t="str">
        <f t="shared" si="51"/>
        <v/>
      </c>
    </row>
    <row r="3188" spans="9:9" x14ac:dyDescent="0.3">
      <c r="I3188" s="101" t="str">
        <f t="shared" si="51"/>
        <v/>
      </c>
    </row>
    <row r="3189" spans="9:9" x14ac:dyDescent="0.3">
      <c r="I3189" s="101" t="str">
        <f t="shared" si="51"/>
        <v/>
      </c>
    </row>
    <row r="3190" spans="9:9" x14ac:dyDescent="0.3">
      <c r="I3190" s="101" t="str">
        <f t="shared" si="51"/>
        <v/>
      </c>
    </row>
    <row r="3191" spans="9:9" x14ac:dyDescent="0.3">
      <c r="I3191" s="101" t="str">
        <f t="shared" si="51"/>
        <v/>
      </c>
    </row>
    <row r="3192" spans="9:9" x14ac:dyDescent="0.3">
      <c r="I3192" s="101" t="str">
        <f t="shared" si="51"/>
        <v/>
      </c>
    </row>
    <row r="3193" spans="9:9" x14ac:dyDescent="0.3">
      <c r="I3193" s="101" t="str">
        <f t="shared" si="51"/>
        <v/>
      </c>
    </row>
    <row r="3194" spans="9:9" x14ac:dyDescent="0.3">
      <c r="I3194" s="101" t="str">
        <f t="shared" si="51"/>
        <v/>
      </c>
    </row>
    <row r="3195" spans="9:9" x14ac:dyDescent="0.3">
      <c r="I3195" s="101" t="str">
        <f t="shared" si="51"/>
        <v/>
      </c>
    </row>
    <row r="3196" spans="9:9" x14ac:dyDescent="0.3">
      <c r="I3196" s="101" t="str">
        <f t="shared" si="51"/>
        <v/>
      </c>
    </row>
    <row r="3197" spans="9:9" x14ac:dyDescent="0.3">
      <c r="I3197" s="101" t="str">
        <f t="shared" si="51"/>
        <v/>
      </c>
    </row>
    <row r="3198" spans="9:9" x14ac:dyDescent="0.3">
      <c r="I3198" s="101" t="str">
        <f t="shared" si="51"/>
        <v/>
      </c>
    </row>
    <row r="3199" spans="9:9" x14ac:dyDescent="0.3">
      <c r="I3199" s="101" t="str">
        <f t="shared" si="51"/>
        <v/>
      </c>
    </row>
    <row r="3200" spans="9:9" x14ac:dyDescent="0.3">
      <c r="I3200" s="101" t="str">
        <f t="shared" si="51"/>
        <v/>
      </c>
    </row>
    <row r="3201" spans="9:9" x14ac:dyDescent="0.3">
      <c r="I3201" s="101" t="str">
        <f t="shared" si="51"/>
        <v/>
      </c>
    </row>
    <row r="3202" spans="9:9" x14ac:dyDescent="0.3">
      <c r="I3202" s="101" t="str">
        <f t="shared" si="51"/>
        <v/>
      </c>
    </row>
    <row r="3203" spans="9:9" x14ac:dyDescent="0.3">
      <c r="I3203" s="101" t="str">
        <f t="shared" ref="I3203:I3266" si="52">IF(OR(B3203&lt;&gt;B3202,C3203&lt;&gt;C3202),"",IF(E3202=0,"",IF(G3203="UP",(E3203-E3202)/E3202,-((E3203-E3202)/E3202))))</f>
        <v/>
      </c>
    </row>
    <row r="3204" spans="9:9" x14ac:dyDescent="0.3">
      <c r="I3204" s="101" t="str">
        <f t="shared" si="52"/>
        <v/>
      </c>
    </row>
    <row r="3205" spans="9:9" x14ac:dyDescent="0.3">
      <c r="I3205" s="101" t="str">
        <f t="shared" si="52"/>
        <v/>
      </c>
    </row>
    <row r="3206" spans="9:9" x14ac:dyDescent="0.3">
      <c r="I3206" s="101" t="str">
        <f t="shared" si="52"/>
        <v/>
      </c>
    </row>
    <row r="3207" spans="9:9" x14ac:dyDescent="0.3">
      <c r="I3207" s="101" t="str">
        <f t="shared" si="52"/>
        <v/>
      </c>
    </row>
    <row r="3208" spans="9:9" x14ac:dyDescent="0.3">
      <c r="I3208" s="101" t="str">
        <f t="shared" si="52"/>
        <v/>
      </c>
    </row>
    <row r="3209" spans="9:9" x14ac:dyDescent="0.3">
      <c r="I3209" s="101" t="str">
        <f t="shared" si="52"/>
        <v/>
      </c>
    </row>
    <row r="3210" spans="9:9" x14ac:dyDescent="0.3">
      <c r="I3210" s="101" t="str">
        <f t="shared" si="52"/>
        <v/>
      </c>
    </row>
    <row r="3211" spans="9:9" x14ac:dyDescent="0.3">
      <c r="I3211" s="101" t="str">
        <f t="shared" si="52"/>
        <v/>
      </c>
    </row>
    <row r="3212" spans="9:9" x14ac:dyDescent="0.3">
      <c r="I3212" s="101" t="str">
        <f t="shared" si="52"/>
        <v/>
      </c>
    </row>
    <row r="3213" spans="9:9" x14ac:dyDescent="0.3">
      <c r="I3213" s="101" t="str">
        <f t="shared" si="52"/>
        <v/>
      </c>
    </row>
    <row r="3214" spans="9:9" x14ac:dyDescent="0.3">
      <c r="I3214" s="101" t="str">
        <f t="shared" si="52"/>
        <v/>
      </c>
    </row>
    <row r="3215" spans="9:9" x14ac:dyDescent="0.3">
      <c r="I3215" s="101" t="str">
        <f t="shared" si="52"/>
        <v/>
      </c>
    </row>
    <row r="3216" spans="9:9" x14ac:dyDescent="0.3">
      <c r="I3216" s="101" t="str">
        <f t="shared" si="52"/>
        <v/>
      </c>
    </row>
    <row r="3217" spans="9:9" x14ac:dyDescent="0.3">
      <c r="I3217" s="101" t="str">
        <f t="shared" si="52"/>
        <v/>
      </c>
    </row>
    <row r="3218" spans="9:9" x14ac:dyDescent="0.3">
      <c r="I3218" s="101" t="str">
        <f t="shared" si="52"/>
        <v/>
      </c>
    </row>
    <row r="3219" spans="9:9" x14ac:dyDescent="0.3">
      <c r="I3219" s="101" t="str">
        <f t="shared" si="52"/>
        <v/>
      </c>
    </row>
    <row r="3220" spans="9:9" x14ac:dyDescent="0.3">
      <c r="I3220" s="101" t="str">
        <f t="shared" si="52"/>
        <v/>
      </c>
    </row>
    <row r="3221" spans="9:9" x14ac:dyDescent="0.3">
      <c r="I3221" s="101" t="str">
        <f t="shared" si="52"/>
        <v/>
      </c>
    </row>
    <row r="3222" spans="9:9" x14ac:dyDescent="0.3">
      <c r="I3222" s="101" t="str">
        <f t="shared" si="52"/>
        <v/>
      </c>
    </row>
    <row r="3223" spans="9:9" x14ac:dyDescent="0.3">
      <c r="I3223" s="101" t="str">
        <f t="shared" si="52"/>
        <v/>
      </c>
    </row>
    <row r="3224" spans="9:9" x14ac:dyDescent="0.3">
      <c r="I3224" s="101" t="str">
        <f t="shared" si="52"/>
        <v/>
      </c>
    </row>
    <row r="3225" spans="9:9" x14ac:dyDescent="0.3">
      <c r="I3225" s="101" t="str">
        <f t="shared" si="52"/>
        <v/>
      </c>
    </row>
    <row r="3226" spans="9:9" x14ac:dyDescent="0.3">
      <c r="I3226" s="101" t="str">
        <f t="shared" si="52"/>
        <v/>
      </c>
    </row>
    <row r="3227" spans="9:9" x14ac:dyDescent="0.3">
      <c r="I3227" s="101" t="str">
        <f t="shared" si="52"/>
        <v/>
      </c>
    </row>
    <row r="3228" spans="9:9" x14ac:dyDescent="0.3">
      <c r="I3228" s="101" t="str">
        <f t="shared" si="52"/>
        <v/>
      </c>
    </row>
    <row r="3229" spans="9:9" x14ac:dyDescent="0.3">
      <c r="I3229" s="101" t="str">
        <f t="shared" si="52"/>
        <v/>
      </c>
    </row>
    <row r="3230" spans="9:9" x14ac:dyDescent="0.3">
      <c r="I3230" s="101" t="str">
        <f t="shared" si="52"/>
        <v/>
      </c>
    </row>
    <row r="3231" spans="9:9" x14ac:dyDescent="0.3">
      <c r="I3231" s="101" t="str">
        <f t="shared" si="52"/>
        <v/>
      </c>
    </row>
    <row r="3232" spans="9:9" x14ac:dyDescent="0.3">
      <c r="I3232" s="101" t="str">
        <f t="shared" si="52"/>
        <v/>
      </c>
    </row>
    <row r="3233" spans="9:9" x14ac:dyDescent="0.3">
      <c r="I3233" s="101" t="str">
        <f t="shared" si="52"/>
        <v/>
      </c>
    </row>
    <row r="3234" spans="9:9" x14ac:dyDescent="0.3">
      <c r="I3234" s="101" t="str">
        <f t="shared" si="52"/>
        <v/>
      </c>
    </row>
    <row r="3235" spans="9:9" x14ac:dyDescent="0.3">
      <c r="I3235" s="101" t="str">
        <f t="shared" si="52"/>
        <v/>
      </c>
    </row>
    <row r="3236" spans="9:9" x14ac:dyDescent="0.3">
      <c r="I3236" s="101" t="str">
        <f t="shared" si="52"/>
        <v/>
      </c>
    </row>
    <row r="3237" spans="9:9" x14ac:dyDescent="0.3">
      <c r="I3237" s="101" t="str">
        <f t="shared" si="52"/>
        <v/>
      </c>
    </row>
    <row r="3238" spans="9:9" x14ac:dyDescent="0.3">
      <c r="I3238" s="101" t="str">
        <f t="shared" si="52"/>
        <v/>
      </c>
    </row>
    <row r="3239" spans="9:9" x14ac:dyDescent="0.3">
      <c r="I3239" s="101" t="str">
        <f t="shared" si="52"/>
        <v/>
      </c>
    </row>
    <row r="3240" spans="9:9" x14ac:dyDescent="0.3">
      <c r="I3240" s="101" t="str">
        <f t="shared" si="52"/>
        <v/>
      </c>
    </row>
    <row r="3241" spans="9:9" x14ac:dyDescent="0.3">
      <c r="I3241" s="101" t="str">
        <f t="shared" si="52"/>
        <v/>
      </c>
    </row>
    <row r="3242" spans="9:9" x14ac:dyDescent="0.3">
      <c r="I3242" s="101" t="str">
        <f t="shared" si="52"/>
        <v/>
      </c>
    </row>
    <row r="3243" spans="9:9" x14ac:dyDescent="0.3">
      <c r="I3243" s="101" t="str">
        <f t="shared" si="52"/>
        <v/>
      </c>
    </row>
    <row r="3244" spans="9:9" x14ac:dyDescent="0.3">
      <c r="I3244" s="101" t="str">
        <f t="shared" si="52"/>
        <v/>
      </c>
    </row>
    <row r="3245" spans="9:9" x14ac:dyDescent="0.3">
      <c r="I3245" s="101" t="str">
        <f t="shared" si="52"/>
        <v/>
      </c>
    </row>
    <row r="3246" spans="9:9" x14ac:dyDescent="0.3">
      <c r="I3246" s="101" t="str">
        <f t="shared" si="52"/>
        <v/>
      </c>
    </row>
    <row r="3247" spans="9:9" x14ac:dyDescent="0.3">
      <c r="I3247" s="101" t="str">
        <f t="shared" si="52"/>
        <v/>
      </c>
    </row>
    <row r="3248" spans="9:9" x14ac:dyDescent="0.3">
      <c r="I3248" s="101" t="str">
        <f t="shared" si="52"/>
        <v/>
      </c>
    </row>
    <row r="3249" spans="9:9" x14ac:dyDescent="0.3">
      <c r="I3249" s="101" t="str">
        <f t="shared" si="52"/>
        <v/>
      </c>
    </row>
    <row r="3250" spans="9:9" x14ac:dyDescent="0.3">
      <c r="I3250" s="101" t="str">
        <f t="shared" si="52"/>
        <v/>
      </c>
    </row>
    <row r="3251" spans="9:9" x14ac:dyDescent="0.3">
      <c r="I3251" s="101" t="str">
        <f t="shared" si="52"/>
        <v/>
      </c>
    </row>
    <row r="3252" spans="9:9" x14ac:dyDescent="0.3">
      <c r="I3252" s="101" t="str">
        <f t="shared" si="52"/>
        <v/>
      </c>
    </row>
    <row r="3253" spans="9:9" x14ac:dyDescent="0.3">
      <c r="I3253" s="101" t="str">
        <f t="shared" si="52"/>
        <v/>
      </c>
    </row>
    <row r="3254" spans="9:9" x14ac:dyDescent="0.3">
      <c r="I3254" s="101" t="str">
        <f t="shared" si="52"/>
        <v/>
      </c>
    </row>
    <row r="3255" spans="9:9" x14ac:dyDescent="0.3">
      <c r="I3255" s="101" t="str">
        <f t="shared" si="52"/>
        <v/>
      </c>
    </row>
    <row r="3256" spans="9:9" x14ac:dyDescent="0.3">
      <c r="I3256" s="101" t="str">
        <f t="shared" si="52"/>
        <v/>
      </c>
    </row>
    <row r="3257" spans="9:9" x14ac:dyDescent="0.3">
      <c r="I3257" s="101" t="str">
        <f t="shared" si="52"/>
        <v/>
      </c>
    </row>
    <row r="3258" spans="9:9" x14ac:dyDescent="0.3">
      <c r="I3258" s="101" t="str">
        <f t="shared" si="52"/>
        <v/>
      </c>
    </row>
    <row r="3259" spans="9:9" x14ac:dyDescent="0.3">
      <c r="I3259" s="101" t="str">
        <f t="shared" si="52"/>
        <v/>
      </c>
    </row>
    <row r="3260" spans="9:9" x14ac:dyDescent="0.3">
      <c r="I3260" s="101" t="str">
        <f t="shared" si="52"/>
        <v/>
      </c>
    </row>
    <row r="3261" spans="9:9" x14ac:dyDescent="0.3">
      <c r="I3261" s="101" t="str">
        <f t="shared" si="52"/>
        <v/>
      </c>
    </row>
    <row r="3262" spans="9:9" x14ac:dyDescent="0.3">
      <c r="I3262" s="101" t="str">
        <f t="shared" si="52"/>
        <v/>
      </c>
    </row>
    <row r="3263" spans="9:9" x14ac:dyDescent="0.3">
      <c r="I3263" s="101" t="str">
        <f t="shared" si="52"/>
        <v/>
      </c>
    </row>
    <row r="3264" spans="9:9" x14ac:dyDescent="0.3">
      <c r="I3264" s="101" t="str">
        <f t="shared" si="52"/>
        <v/>
      </c>
    </row>
    <row r="3265" spans="9:9" x14ac:dyDescent="0.3">
      <c r="I3265" s="101" t="str">
        <f t="shared" si="52"/>
        <v/>
      </c>
    </row>
    <row r="3266" spans="9:9" x14ac:dyDescent="0.3">
      <c r="I3266" s="101" t="str">
        <f t="shared" si="52"/>
        <v/>
      </c>
    </row>
    <row r="3267" spans="9:9" x14ac:dyDescent="0.3">
      <c r="I3267" s="101" t="str">
        <f t="shared" ref="I3267:I3330" si="53">IF(OR(B3267&lt;&gt;B3266,C3267&lt;&gt;C3266),"",IF(E3266=0,"",IF(G3267="UP",(E3267-E3266)/E3266,-((E3267-E3266)/E3266))))</f>
        <v/>
      </c>
    </row>
    <row r="3268" spans="9:9" x14ac:dyDescent="0.3">
      <c r="I3268" s="101" t="str">
        <f t="shared" si="53"/>
        <v/>
      </c>
    </row>
    <row r="3269" spans="9:9" x14ac:dyDescent="0.3">
      <c r="I3269" s="101" t="str">
        <f t="shared" si="53"/>
        <v/>
      </c>
    </row>
    <row r="3270" spans="9:9" x14ac:dyDescent="0.3">
      <c r="I3270" s="101" t="str">
        <f t="shared" si="53"/>
        <v/>
      </c>
    </row>
    <row r="3271" spans="9:9" x14ac:dyDescent="0.3">
      <c r="I3271" s="101" t="str">
        <f t="shared" si="53"/>
        <v/>
      </c>
    </row>
    <row r="3272" spans="9:9" x14ac:dyDescent="0.3">
      <c r="I3272" s="101" t="str">
        <f t="shared" si="53"/>
        <v/>
      </c>
    </row>
    <row r="3273" spans="9:9" x14ac:dyDescent="0.3">
      <c r="I3273" s="101" t="str">
        <f t="shared" si="53"/>
        <v/>
      </c>
    </row>
    <row r="3274" spans="9:9" x14ac:dyDescent="0.3">
      <c r="I3274" s="101" t="str">
        <f t="shared" si="53"/>
        <v/>
      </c>
    </row>
    <row r="3275" spans="9:9" x14ac:dyDescent="0.3">
      <c r="I3275" s="101" t="str">
        <f t="shared" si="53"/>
        <v/>
      </c>
    </row>
    <row r="3276" spans="9:9" x14ac:dyDescent="0.3">
      <c r="I3276" s="101" t="str">
        <f t="shared" si="53"/>
        <v/>
      </c>
    </row>
    <row r="3277" spans="9:9" x14ac:dyDescent="0.3">
      <c r="I3277" s="101" t="str">
        <f t="shared" si="53"/>
        <v/>
      </c>
    </row>
    <row r="3278" spans="9:9" x14ac:dyDescent="0.3">
      <c r="I3278" s="101" t="str">
        <f t="shared" si="53"/>
        <v/>
      </c>
    </row>
    <row r="3279" spans="9:9" x14ac:dyDescent="0.3">
      <c r="I3279" s="101" t="str">
        <f t="shared" si="53"/>
        <v/>
      </c>
    </row>
    <row r="3280" spans="9:9" x14ac:dyDescent="0.3">
      <c r="I3280" s="101" t="str">
        <f t="shared" si="53"/>
        <v/>
      </c>
    </row>
    <row r="3281" spans="9:9" x14ac:dyDescent="0.3">
      <c r="I3281" s="101" t="str">
        <f t="shared" si="53"/>
        <v/>
      </c>
    </row>
    <row r="3282" spans="9:9" x14ac:dyDescent="0.3">
      <c r="I3282" s="101" t="str">
        <f t="shared" si="53"/>
        <v/>
      </c>
    </row>
    <row r="3283" spans="9:9" x14ac:dyDescent="0.3">
      <c r="I3283" s="101" t="str">
        <f t="shared" si="53"/>
        <v/>
      </c>
    </row>
    <row r="3284" spans="9:9" x14ac:dyDescent="0.3">
      <c r="I3284" s="101" t="str">
        <f t="shared" si="53"/>
        <v/>
      </c>
    </row>
    <row r="3285" spans="9:9" x14ac:dyDescent="0.3">
      <c r="I3285" s="101" t="str">
        <f t="shared" si="53"/>
        <v/>
      </c>
    </row>
    <row r="3286" spans="9:9" x14ac:dyDescent="0.3">
      <c r="I3286" s="101" t="str">
        <f t="shared" si="53"/>
        <v/>
      </c>
    </row>
    <row r="3287" spans="9:9" x14ac:dyDescent="0.3">
      <c r="I3287" s="101" t="str">
        <f t="shared" si="53"/>
        <v/>
      </c>
    </row>
    <row r="3288" spans="9:9" x14ac:dyDescent="0.3">
      <c r="I3288" s="101" t="str">
        <f t="shared" si="53"/>
        <v/>
      </c>
    </row>
    <row r="3289" spans="9:9" x14ac:dyDescent="0.3">
      <c r="I3289" s="101" t="str">
        <f t="shared" si="53"/>
        <v/>
      </c>
    </row>
    <row r="3290" spans="9:9" x14ac:dyDescent="0.3">
      <c r="I3290" s="101" t="str">
        <f t="shared" si="53"/>
        <v/>
      </c>
    </row>
    <row r="3291" spans="9:9" x14ac:dyDescent="0.3">
      <c r="I3291" s="101" t="str">
        <f t="shared" si="53"/>
        <v/>
      </c>
    </row>
    <row r="3292" spans="9:9" x14ac:dyDescent="0.3">
      <c r="I3292" s="101" t="str">
        <f t="shared" si="53"/>
        <v/>
      </c>
    </row>
    <row r="3293" spans="9:9" x14ac:dyDescent="0.3">
      <c r="I3293" s="101" t="str">
        <f t="shared" si="53"/>
        <v/>
      </c>
    </row>
    <row r="3294" spans="9:9" x14ac:dyDescent="0.3">
      <c r="I3294" s="101" t="str">
        <f t="shared" si="53"/>
        <v/>
      </c>
    </row>
    <row r="3295" spans="9:9" x14ac:dyDescent="0.3">
      <c r="I3295" s="101" t="str">
        <f t="shared" si="53"/>
        <v/>
      </c>
    </row>
    <row r="3296" spans="9:9" x14ac:dyDescent="0.3">
      <c r="I3296" s="101" t="str">
        <f t="shared" si="53"/>
        <v/>
      </c>
    </row>
    <row r="3297" spans="9:9" x14ac:dyDescent="0.3">
      <c r="I3297" s="101" t="str">
        <f t="shared" si="53"/>
        <v/>
      </c>
    </row>
    <row r="3298" spans="9:9" x14ac:dyDescent="0.3">
      <c r="I3298" s="101" t="str">
        <f t="shared" si="53"/>
        <v/>
      </c>
    </row>
    <row r="3299" spans="9:9" x14ac:dyDescent="0.3">
      <c r="I3299" s="101" t="str">
        <f t="shared" si="53"/>
        <v/>
      </c>
    </row>
    <row r="3300" spans="9:9" x14ac:dyDescent="0.3">
      <c r="I3300" s="101" t="str">
        <f t="shared" si="53"/>
        <v/>
      </c>
    </row>
    <row r="3301" spans="9:9" x14ac:dyDescent="0.3">
      <c r="I3301" s="101" t="str">
        <f t="shared" si="53"/>
        <v/>
      </c>
    </row>
    <row r="3302" spans="9:9" x14ac:dyDescent="0.3">
      <c r="I3302" s="101" t="str">
        <f t="shared" si="53"/>
        <v/>
      </c>
    </row>
    <row r="3303" spans="9:9" x14ac:dyDescent="0.3">
      <c r="I3303" s="101" t="str">
        <f t="shared" si="53"/>
        <v/>
      </c>
    </row>
    <row r="3304" spans="9:9" x14ac:dyDescent="0.3">
      <c r="I3304" s="101" t="str">
        <f t="shared" si="53"/>
        <v/>
      </c>
    </row>
    <row r="3305" spans="9:9" x14ac:dyDescent="0.3">
      <c r="I3305" s="101" t="str">
        <f t="shared" si="53"/>
        <v/>
      </c>
    </row>
    <row r="3306" spans="9:9" x14ac:dyDescent="0.3">
      <c r="I3306" s="101" t="str">
        <f t="shared" si="53"/>
        <v/>
      </c>
    </row>
    <row r="3307" spans="9:9" x14ac:dyDescent="0.3">
      <c r="I3307" s="101" t="str">
        <f t="shared" si="53"/>
        <v/>
      </c>
    </row>
    <row r="3308" spans="9:9" x14ac:dyDescent="0.3">
      <c r="I3308" s="101" t="str">
        <f t="shared" si="53"/>
        <v/>
      </c>
    </row>
    <row r="3309" spans="9:9" x14ac:dyDescent="0.3">
      <c r="I3309" s="101" t="str">
        <f t="shared" si="53"/>
        <v/>
      </c>
    </row>
    <row r="3310" spans="9:9" x14ac:dyDescent="0.3">
      <c r="I3310" s="101" t="str">
        <f t="shared" si="53"/>
        <v/>
      </c>
    </row>
    <row r="3311" spans="9:9" x14ac:dyDescent="0.3">
      <c r="I3311" s="101" t="str">
        <f t="shared" si="53"/>
        <v/>
      </c>
    </row>
    <row r="3312" spans="9:9" x14ac:dyDescent="0.3">
      <c r="I3312" s="101" t="str">
        <f t="shared" si="53"/>
        <v/>
      </c>
    </row>
    <row r="3313" spans="9:9" x14ac:dyDescent="0.3">
      <c r="I3313" s="101" t="str">
        <f t="shared" si="53"/>
        <v/>
      </c>
    </row>
    <row r="3314" spans="9:9" x14ac:dyDescent="0.3">
      <c r="I3314" s="101" t="str">
        <f t="shared" si="53"/>
        <v/>
      </c>
    </row>
    <row r="3315" spans="9:9" x14ac:dyDescent="0.3">
      <c r="I3315" s="101" t="str">
        <f t="shared" si="53"/>
        <v/>
      </c>
    </row>
    <row r="3316" spans="9:9" x14ac:dyDescent="0.3">
      <c r="I3316" s="101" t="str">
        <f t="shared" si="53"/>
        <v/>
      </c>
    </row>
    <row r="3317" spans="9:9" x14ac:dyDescent="0.3">
      <c r="I3317" s="101" t="str">
        <f t="shared" si="53"/>
        <v/>
      </c>
    </row>
    <row r="3318" spans="9:9" x14ac:dyDescent="0.3">
      <c r="I3318" s="101" t="str">
        <f t="shared" si="53"/>
        <v/>
      </c>
    </row>
    <row r="3319" spans="9:9" x14ac:dyDescent="0.3">
      <c r="I3319" s="101" t="str">
        <f t="shared" si="53"/>
        <v/>
      </c>
    </row>
    <row r="3320" spans="9:9" x14ac:dyDescent="0.3">
      <c r="I3320" s="101" t="str">
        <f t="shared" si="53"/>
        <v/>
      </c>
    </row>
    <row r="3321" spans="9:9" x14ac:dyDescent="0.3">
      <c r="I3321" s="101" t="str">
        <f t="shared" si="53"/>
        <v/>
      </c>
    </row>
    <row r="3322" spans="9:9" x14ac:dyDescent="0.3">
      <c r="I3322" s="101" t="str">
        <f t="shared" si="53"/>
        <v/>
      </c>
    </row>
    <row r="3323" spans="9:9" x14ac:dyDescent="0.3">
      <c r="I3323" s="101" t="str">
        <f t="shared" si="53"/>
        <v/>
      </c>
    </row>
    <row r="3324" spans="9:9" x14ac:dyDescent="0.3">
      <c r="I3324" s="101" t="str">
        <f t="shared" si="53"/>
        <v/>
      </c>
    </row>
    <row r="3325" spans="9:9" x14ac:dyDescent="0.3">
      <c r="I3325" s="101" t="str">
        <f t="shared" si="53"/>
        <v/>
      </c>
    </row>
    <row r="3326" spans="9:9" x14ac:dyDescent="0.3">
      <c r="I3326" s="101" t="str">
        <f t="shared" si="53"/>
        <v/>
      </c>
    </row>
    <row r="3327" spans="9:9" x14ac:dyDescent="0.3">
      <c r="I3327" s="101" t="str">
        <f t="shared" si="53"/>
        <v/>
      </c>
    </row>
    <row r="3328" spans="9:9" x14ac:dyDescent="0.3">
      <c r="I3328" s="101" t="str">
        <f t="shared" si="53"/>
        <v/>
      </c>
    </row>
    <row r="3329" spans="9:9" x14ac:dyDescent="0.3">
      <c r="I3329" s="101" t="str">
        <f t="shared" si="53"/>
        <v/>
      </c>
    </row>
    <row r="3330" spans="9:9" x14ac:dyDescent="0.3">
      <c r="I3330" s="101" t="str">
        <f t="shared" si="53"/>
        <v/>
      </c>
    </row>
    <row r="3331" spans="9:9" x14ac:dyDescent="0.3">
      <c r="I3331" s="101" t="str">
        <f t="shared" ref="I3331:I3394" si="54">IF(OR(B3331&lt;&gt;B3330,C3331&lt;&gt;C3330),"",IF(E3330=0,"",IF(G3331="UP",(E3331-E3330)/E3330,-((E3331-E3330)/E3330))))</f>
        <v/>
      </c>
    </row>
    <row r="3332" spans="9:9" x14ac:dyDescent="0.3">
      <c r="I3332" s="101" t="str">
        <f t="shared" si="54"/>
        <v/>
      </c>
    </row>
    <row r="3333" spans="9:9" x14ac:dyDescent="0.3">
      <c r="I3333" s="101" t="str">
        <f t="shared" si="54"/>
        <v/>
      </c>
    </row>
    <row r="3334" spans="9:9" x14ac:dyDescent="0.3">
      <c r="I3334" s="101" t="str">
        <f t="shared" si="54"/>
        <v/>
      </c>
    </row>
    <row r="3335" spans="9:9" x14ac:dyDescent="0.3">
      <c r="I3335" s="101" t="str">
        <f t="shared" si="54"/>
        <v/>
      </c>
    </row>
    <row r="3336" spans="9:9" x14ac:dyDescent="0.3">
      <c r="I3336" s="101" t="str">
        <f t="shared" si="54"/>
        <v/>
      </c>
    </row>
    <row r="3337" spans="9:9" x14ac:dyDescent="0.3">
      <c r="I3337" s="101" t="str">
        <f t="shared" si="54"/>
        <v/>
      </c>
    </row>
    <row r="3338" spans="9:9" x14ac:dyDescent="0.3">
      <c r="I3338" s="101" t="str">
        <f t="shared" si="54"/>
        <v/>
      </c>
    </row>
    <row r="3339" spans="9:9" x14ac:dyDescent="0.3">
      <c r="I3339" s="101" t="str">
        <f t="shared" si="54"/>
        <v/>
      </c>
    </row>
    <row r="3340" spans="9:9" x14ac:dyDescent="0.3">
      <c r="I3340" s="101" t="str">
        <f t="shared" si="54"/>
        <v/>
      </c>
    </row>
    <row r="3341" spans="9:9" x14ac:dyDescent="0.3">
      <c r="I3341" s="101" t="str">
        <f t="shared" si="54"/>
        <v/>
      </c>
    </row>
    <row r="3342" spans="9:9" x14ac:dyDescent="0.3">
      <c r="I3342" s="101" t="str">
        <f t="shared" si="54"/>
        <v/>
      </c>
    </row>
    <row r="3343" spans="9:9" x14ac:dyDescent="0.3">
      <c r="I3343" s="101" t="str">
        <f t="shared" si="54"/>
        <v/>
      </c>
    </row>
    <row r="3344" spans="9:9" x14ac:dyDescent="0.3">
      <c r="I3344" s="101" t="str">
        <f t="shared" si="54"/>
        <v/>
      </c>
    </row>
    <row r="3345" spans="9:9" x14ac:dyDescent="0.3">
      <c r="I3345" s="101" t="str">
        <f t="shared" si="54"/>
        <v/>
      </c>
    </row>
    <row r="3346" spans="9:9" x14ac:dyDescent="0.3">
      <c r="I3346" s="101" t="str">
        <f t="shared" si="54"/>
        <v/>
      </c>
    </row>
    <row r="3347" spans="9:9" x14ac:dyDescent="0.3">
      <c r="I3347" s="101" t="str">
        <f t="shared" si="54"/>
        <v/>
      </c>
    </row>
    <row r="3348" spans="9:9" x14ac:dyDescent="0.3">
      <c r="I3348" s="101" t="str">
        <f t="shared" si="54"/>
        <v/>
      </c>
    </row>
    <row r="3349" spans="9:9" x14ac:dyDescent="0.3">
      <c r="I3349" s="101" t="str">
        <f t="shared" si="54"/>
        <v/>
      </c>
    </row>
    <row r="3350" spans="9:9" x14ac:dyDescent="0.3">
      <c r="I3350" s="101" t="str">
        <f t="shared" si="54"/>
        <v/>
      </c>
    </row>
    <row r="3351" spans="9:9" x14ac:dyDescent="0.3">
      <c r="I3351" s="101" t="str">
        <f t="shared" si="54"/>
        <v/>
      </c>
    </row>
    <row r="3352" spans="9:9" x14ac:dyDescent="0.3">
      <c r="I3352" s="101" t="str">
        <f t="shared" si="54"/>
        <v/>
      </c>
    </row>
    <row r="3353" spans="9:9" x14ac:dyDescent="0.3">
      <c r="I3353" s="101" t="str">
        <f t="shared" si="54"/>
        <v/>
      </c>
    </row>
    <row r="3354" spans="9:9" x14ac:dyDescent="0.3">
      <c r="I3354" s="101" t="str">
        <f t="shared" si="54"/>
        <v/>
      </c>
    </row>
    <row r="3355" spans="9:9" x14ac:dyDescent="0.3">
      <c r="I3355" s="101" t="str">
        <f t="shared" si="54"/>
        <v/>
      </c>
    </row>
    <row r="3356" spans="9:9" x14ac:dyDescent="0.3">
      <c r="I3356" s="101" t="str">
        <f t="shared" si="54"/>
        <v/>
      </c>
    </row>
    <row r="3357" spans="9:9" x14ac:dyDescent="0.3">
      <c r="I3357" s="101" t="str">
        <f t="shared" si="54"/>
        <v/>
      </c>
    </row>
    <row r="3358" spans="9:9" x14ac:dyDescent="0.3">
      <c r="I3358" s="101" t="str">
        <f t="shared" si="54"/>
        <v/>
      </c>
    </row>
    <row r="3359" spans="9:9" x14ac:dyDescent="0.3">
      <c r="I3359" s="101" t="str">
        <f t="shared" si="54"/>
        <v/>
      </c>
    </row>
    <row r="3360" spans="9:9" x14ac:dyDescent="0.3">
      <c r="I3360" s="101" t="str">
        <f t="shared" si="54"/>
        <v/>
      </c>
    </row>
    <row r="3361" spans="9:9" x14ac:dyDescent="0.3">
      <c r="I3361" s="101" t="str">
        <f t="shared" si="54"/>
        <v/>
      </c>
    </row>
    <row r="3362" spans="9:9" x14ac:dyDescent="0.3">
      <c r="I3362" s="101" t="str">
        <f t="shared" si="54"/>
        <v/>
      </c>
    </row>
    <row r="3363" spans="9:9" x14ac:dyDescent="0.3">
      <c r="I3363" s="101" t="str">
        <f t="shared" si="54"/>
        <v/>
      </c>
    </row>
    <row r="3364" spans="9:9" x14ac:dyDescent="0.3">
      <c r="I3364" s="101" t="str">
        <f t="shared" si="54"/>
        <v/>
      </c>
    </row>
    <row r="3365" spans="9:9" x14ac:dyDescent="0.3">
      <c r="I3365" s="101" t="str">
        <f t="shared" si="54"/>
        <v/>
      </c>
    </row>
    <row r="3366" spans="9:9" x14ac:dyDescent="0.3">
      <c r="I3366" s="101" t="str">
        <f t="shared" si="54"/>
        <v/>
      </c>
    </row>
    <row r="3367" spans="9:9" x14ac:dyDescent="0.3">
      <c r="I3367" s="101" t="str">
        <f t="shared" si="54"/>
        <v/>
      </c>
    </row>
    <row r="3368" spans="9:9" x14ac:dyDescent="0.3">
      <c r="I3368" s="101" t="str">
        <f t="shared" si="54"/>
        <v/>
      </c>
    </row>
    <row r="3369" spans="9:9" x14ac:dyDescent="0.3">
      <c r="I3369" s="101" t="str">
        <f t="shared" si="54"/>
        <v/>
      </c>
    </row>
    <row r="3370" spans="9:9" x14ac:dyDescent="0.3">
      <c r="I3370" s="101" t="str">
        <f t="shared" si="54"/>
        <v/>
      </c>
    </row>
    <row r="3371" spans="9:9" x14ac:dyDescent="0.3">
      <c r="I3371" s="101" t="str">
        <f t="shared" si="54"/>
        <v/>
      </c>
    </row>
    <row r="3372" spans="9:9" x14ac:dyDescent="0.3">
      <c r="I3372" s="101" t="str">
        <f t="shared" si="54"/>
        <v/>
      </c>
    </row>
    <row r="3373" spans="9:9" x14ac:dyDescent="0.3">
      <c r="I3373" s="101" t="str">
        <f t="shared" si="54"/>
        <v/>
      </c>
    </row>
    <row r="3374" spans="9:9" x14ac:dyDescent="0.3">
      <c r="I3374" s="101" t="str">
        <f t="shared" si="54"/>
        <v/>
      </c>
    </row>
    <row r="3375" spans="9:9" x14ac:dyDescent="0.3">
      <c r="I3375" s="101" t="str">
        <f t="shared" si="54"/>
        <v/>
      </c>
    </row>
    <row r="3376" spans="9:9" x14ac:dyDescent="0.3">
      <c r="I3376" s="101" t="str">
        <f t="shared" si="54"/>
        <v/>
      </c>
    </row>
    <row r="3377" spans="9:9" x14ac:dyDescent="0.3">
      <c r="I3377" s="101" t="str">
        <f t="shared" si="54"/>
        <v/>
      </c>
    </row>
    <row r="3378" spans="9:9" x14ac:dyDescent="0.3">
      <c r="I3378" s="101" t="str">
        <f t="shared" si="54"/>
        <v/>
      </c>
    </row>
    <row r="3379" spans="9:9" x14ac:dyDescent="0.3">
      <c r="I3379" s="101" t="str">
        <f t="shared" si="54"/>
        <v/>
      </c>
    </row>
    <row r="3380" spans="9:9" x14ac:dyDescent="0.3">
      <c r="I3380" s="101" t="str">
        <f t="shared" si="54"/>
        <v/>
      </c>
    </row>
    <row r="3381" spans="9:9" x14ac:dyDescent="0.3">
      <c r="I3381" s="101" t="str">
        <f t="shared" si="54"/>
        <v/>
      </c>
    </row>
    <row r="3382" spans="9:9" x14ac:dyDescent="0.3">
      <c r="I3382" s="101" t="str">
        <f t="shared" si="54"/>
        <v/>
      </c>
    </row>
    <row r="3383" spans="9:9" x14ac:dyDescent="0.3">
      <c r="I3383" s="101" t="str">
        <f t="shared" si="54"/>
        <v/>
      </c>
    </row>
    <row r="3384" spans="9:9" x14ac:dyDescent="0.3">
      <c r="I3384" s="101" t="str">
        <f t="shared" si="54"/>
        <v/>
      </c>
    </row>
    <row r="3385" spans="9:9" x14ac:dyDescent="0.3">
      <c r="I3385" s="101" t="str">
        <f t="shared" si="54"/>
        <v/>
      </c>
    </row>
    <row r="3386" spans="9:9" x14ac:dyDescent="0.3">
      <c r="I3386" s="101" t="str">
        <f t="shared" si="54"/>
        <v/>
      </c>
    </row>
    <row r="3387" spans="9:9" x14ac:dyDescent="0.3">
      <c r="I3387" s="101" t="str">
        <f t="shared" si="54"/>
        <v/>
      </c>
    </row>
    <row r="3388" spans="9:9" x14ac:dyDescent="0.3">
      <c r="I3388" s="101" t="str">
        <f t="shared" si="54"/>
        <v/>
      </c>
    </row>
    <row r="3389" spans="9:9" x14ac:dyDescent="0.3">
      <c r="I3389" s="101" t="str">
        <f t="shared" si="54"/>
        <v/>
      </c>
    </row>
    <row r="3390" spans="9:9" x14ac:dyDescent="0.3">
      <c r="I3390" s="101" t="str">
        <f t="shared" si="54"/>
        <v/>
      </c>
    </row>
    <row r="3391" spans="9:9" x14ac:dyDescent="0.3">
      <c r="I3391" s="101" t="str">
        <f t="shared" si="54"/>
        <v/>
      </c>
    </row>
    <row r="3392" spans="9:9" x14ac:dyDescent="0.3">
      <c r="I3392" s="101" t="str">
        <f t="shared" si="54"/>
        <v/>
      </c>
    </row>
    <row r="3393" spans="9:9" x14ac:dyDescent="0.3">
      <c r="I3393" s="101" t="str">
        <f t="shared" si="54"/>
        <v/>
      </c>
    </row>
    <row r="3394" spans="9:9" x14ac:dyDescent="0.3">
      <c r="I3394" s="101" t="str">
        <f t="shared" si="54"/>
        <v/>
      </c>
    </row>
    <row r="3395" spans="9:9" x14ac:dyDescent="0.3">
      <c r="I3395" s="101" t="str">
        <f t="shared" ref="I3395:I3458" si="55">IF(OR(B3395&lt;&gt;B3394,C3395&lt;&gt;C3394),"",IF(E3394=0,"",IF(G3395="UP",(E3395-E3394)/E3394,-((E3395-E3394)/E3394))))</f>
        <v/>
      </c>
    </row>
    <row r="3396" spans="9:9" x14ac:dyDescent="0.3">
      <c r="I3396" s="101" t="str">
        <f t="shared" si="55"/>
        <v/>
      </c>
    </row>
    <row r="3397" spans="9:9" x14ac:dyDescent="0.3">
      <c r="I3397" s="101" t="str">
        <f t="shared" si="55"/>
        <v/>
      </c>
    </row>
    <row r="3398" spans="9:9" x14ac:dyDescent="0.3">
      <c r="I3398" s="101" t="str">
        <f t="shared" si="55"/>
        <v/>
      </c>
    </row>
    <row r="3399" spans="9:9" x14ac:dyDescent="0.3">
      <c r="I3399" s="101" t="str">
        <f t="shared" si="55"/>
        <v/>
      </c>
    </row>
    <row r="3400" spans="9:9" x14ac:dyDescent="0.3">
      <c r="I3400" s="101" t="str">
        <f t="shared" si="55"/>
        <v/>
      </c>
    </row>
    <row r="3401" spans="9:9" x14ac:dyDescent="0.3">
      <c r="I3401" s="101" t="str">
        <f t="shared" si="55"/>
        <v/>
      </c>
    </row>
    <row r="3402" spans="9:9" x14ac:dyDescent="0.3">
      <c r="I3402" s="101" t="str">
        <f t="shared" si="55"/>
        <v/>
      </c>
    </row>
    <row r="3403" spans="9:9" x14ac:dyDescent="0.3">
      <c r="I3403" s="101" t="str">
        <f t="shared" si="55"/>
        <v/>
      </c>
    </row>
    <row r="3404" spans="9:9" x14ac:dyDescent="0.3">
      <c r="I3404" s="101" t="str">
        <f t="shared" si="55"/>
        <v/>
      </c>
    </row>
    <row r="3405" spans="9:9" x14ac:dyDescent="0.3">
      <c r="I3405" s="101" t="str">
        <f t="shared" si="55"/>
        <v/>
      </c>
    </row>
    <row r="3406" spans="9:9" x14ac:dyDescent="0.3">
      <c r="I3406" s="101" t="str">
        <f t="shared" si="55"/>
        <v/>
      </c>
    </row>
    <row r="3407" spans="9:9" x14ac:dyDescent="0.3">
      <c r="I3407" s="101" t="str">
        <f t="shared" si="55"/>
        <v/>
      </c>
    </row>
    <row r="3408" spans="9:9" x14ac:dyDescent="0.3">
      <c r="I3408" s="101" t="str">
        <f t="shared" si="55"/>
        <v/>
      </c>
    </row>
    <row r="3409" spans="9:9" x14ac:dyDescent="0.3">
      <c r="I3409" s="101" t="str">
        <f t="shared" si="55"/>
        <v/>
      </c>
    </row>
    <row r="3410" spans="9:9" x14ac:dyDescent="0.3">
      <c r="I3410" s="101" t="str">
        <f t="shared" si="55"/>
        <v/>
      </c>
    </row>
    <row r="3411" spans="9:9" x14ac:dyDescent="0.3">
      <c r="I3411" s="101" t="str">
        <f t="shared" si="55"/>
        <v/>
      </c>
    </row>
    <row r="3412" spans="9:9" x14ac:dyDescent="0.3">
      <c r="I3412" s="101" t="str">
        <f t="shared" si="55"/>
        <v/>
      </c>
    </row>
    <row r="3413" spans="9:9" x14ac:dyDescent="0.3">
      <c r="I3413" s="101" t="str">
        <f t="shared" si="55"/>
        <v/>
      </c>
    </row>
    <row r="3414" spans="9:9" x14ac:dyDescent="0.3">
      <c r="I3414" s="101" t="str">
        <f t="shared" si="55"/>
        <v/>
      </c>
    </row>
    <row r="3415" spans="9:9" x14ac:dyDescent="0.3">
      <c r="I3415" s="101" t="str">
        <f t="shared" si="55"/>
        <v/>
      </c>
    </row>
    <row r="3416" spans="9:9" x14ac:dyDescent="0.3">
      <c r="I3416" s="101" t="str">
        <f t="shared" si="55"/>
        <v/>
      </c>
    </row>
    <row r="3417" spans="9:9" x14ac:dyDescent="0.3">
      <c r="I3417" s="101" t="str">
        <f t="shared" si="55"/>
        <v/>
      </c>
    </row>
    <row r="3418" spans="9:9" x14ac:dyDescent="0.3">
      <c r="I3418" s="101" t="str">
        <f t="shared" si="55"/>
        <v/>
      </c>
    </row>
    <row r="3419" spans="9:9" x14ac:dyDescent="0.3">
      <c r="I3419" s="101" t="str">
        <f t="shared" si="55"/>
        <v/>
      </c>
    </row>
    <row r="3420" spans="9:9" x14ac:dyDescent="0.3">
      <c r="I3420" s="101" t="str">
        <f t="shared" si="55"/>
        <v/>
      </c>
    </row>
    <row r="3421" spans="9:9" x14ac:dyDescent="0.3">
      <c r="I3421" s="101" t="str">
        <f t="shared" si="55"/>
        <v/>
      </c>
    </row>
    <row r="3422" spans="9:9" x14ac:dyDescent="0.3">
      <c r="I3422" s="101" t="str">
        <f t="shared" si="55"/>
        <v/>
      </c>
    </row>
    <row r="3423" spans="9:9" x14ac:dyDescent="0.3">
      <c r="I3423" s="101" t="str">
        <f t="shared" si="55"/>
        <v/>
      </c>
    </row>
    <row r="3424" spans="9:9" x14ac:dyDescent="0.3">
      <c r="I3424" s="101" t="str">
        <f t="shared" si="55"/>
        <v/>
      </c>
    </row>
    <row r="3425" spans="9:9" x14ac:dyDescent="0.3">
      <c r="I3425" s="101" t="str">
        <f t="shared" si="55"/>
        <v/>
      </c>
    </row>
    <row r="3426" spans="9:9" x14ac:dyDescent="0.3">
      <c r="I3426" s="101" t="str">
        <f t="shared" si="55"/>
        <v/>
      </c>
    </row>
    <row r="3427" spans="9:9" x14ac:dyDescent="0.3">
      <c r="I3427" s="101" t="str">
        <f t="shared" si="55"/>
        <v/>
      </c>
    </row>
    <row r="3428" spans="9:9" x14ac:dyDescent="0.3">
      <c r="I3428" s="101" t="str">
        <f t="shared" si="55"/>
        <v/>
      </c>
    </row>
    <row r="3429" spans="9:9" x14ac:dyDescent="0.3">
      <c r="I3429" s="101" t="str">
        <f t="shared" si="55"/>
        <v/>
      </c>
    </row>
    <row r="3430" spans="9:9" x14ac:dyDescent="0.3">
      <c r="I3430" s="101" t="str">
        <f t="shared" si="55"/>
        <v/>
      </c>
    </row>
    <row r="3431" spans="9:9" x14ac:dyDescent="0.3">
      <c r="I3431" s="101" t="str">
        <f t="shared" si="55"/>
        <v/>
      </c>
    </row>
    <row r="3432" spans="9:9" x14ac:dyDescent="0.3">
      <c r="I3432" s="101" t="str">
        <f t="shared" si="55"/>
        <v/>
      </c>
    </row>
    <row r="3433" spans="9:9" x14ac:dyDescent="0.3">
      <c r="I3433" s="101" t="str">
        <f t="shared" si="55"/>
        <v/>
      </c>
    </row>
    <row r="3434" spans="9:9" x14ac:dyDescent="0.3">
      <c r="I3434" s="101" t="str">
        <f t="shared" si="55"/>
        <v/>
      </c>
    </row>
    <row r="3435" spans="9:9" x14ac:dyDescent="0.3">
      <c r="I3435" s="101" t="str">
        <f t="shared" si="55"/>
        <v/>
      </c>
    </row>
    <row r="3436" spans="9:9" x14ac:dyDescent="0.3">
      <c r="I3436" s="101" t="str">
        <f t="shared" si="55"/>
        <v/>
      </c>
    </row>
    <row r="3437" spans="9:9" x14ac:dyDescent="0.3">
      <c r="I3437" s="101" t="str">
        <f t="shared" si="55"/>
        <v/>
      </c>
    </row>
    <row r="3438" spans="9:9" x14ac:dyDescent="0.3">
      <c r="I3438" s="101" t="str">
        <f t="shared" si="55"/>
        <v/>
      </c>
    </row>
    <row r="3439" spans="9:9" x14ac:dyDescent="0.3">
      <c r="I3439" s="101" t="str">
        <f t="shared" si="55"/>
        <v/>
      </c>
    </row>
    <row r="3440" spans="9:9" x14ac:dyDescent="0.3">
      <c r="I3440" s="101" t="str">
        <f t="shared" si="55"/>
        <v/>
      </c>
    </row>
    <row r="3441" spans="9:9" x14ac:dyDescent="0.3">
      <c r="I3441" s="101" t="str">
        <f t="shared" si="55"/>
        <v/>
      </c>
    </row>
    <row r="3442" spans="9:9" x14ac:dyDescent="0.3">
      <c r="I3442" s="101" t="str">
        <f t="shared" si="55"/>
        <v/>
      </c>
    </row>
    <row r="3443" spans="9:9" x14ac:dyDescent="0.3">
      <c r="I3443" s="101" t="str">
        <f t="shared" si="55"/>
        <v/>
      </c>
    </row>
    <row r="3444" spans="9:9" x14ac:dyDescent="0.3">
      <c r="I3444" s="101" t="str">
        <f t="shared" si="55"/>
        <v/>
      </c>
    </row>
    <row r="3445" spans="9:9" x14ac:dyDescent="0.3">
      <c r="I3445" s="101" t="str">
        <f t="shared" si="55"/>
        <v/>
      </c>
    </row>
    <row r="3446" spans="9:9" x14ac:dyDescent="0.3">
      <c r="I3446" s="101" t="str">
        <f t="shared" si="55"/>
        <v/>
      </c>
    </row>
    <row r="3447" spans="9:9" x14ac:dyDescent="0.3">
      <c r="I3447" s="101" t="str">
        <f t="shared" si="55"/>
        <v/>
      </c>
    </row>
    <row r="3448" spans="9:9" x14ac:dyDescent="0.3">
      <c r="I3448" s="101" t="str">
        <f t="shared" si="55"/>
        <v/>
      </c>
    </row>
    <row r="3449" spans="9:9" x14ac:dyDescent="0.3">
      <c r="I3449" s="101" t="str">
        <f t="shared" si="55"/>
        <v/>
      </c>
    </row>
    <row r="3450" spans="9:9" x14ac:dyDescent="0.3">
      <c r="I3450" s="101" t="str">
        <f t="shared" si="55"/>
        <v/>
      </c>
    </row>
    <row r="3451" spans="9:9" x14ac:dyDescent="0.3">
      <c r="I3451" s="101" t="str">
        <f t="shared" si="55"/>
        <v/>
      </c>
    </row>
    <row r="3452" spans="9:9" x14ac:dyDescent="0.3">
      <c r="I3452" s="101" t="str">
        <f t="shared" si="55"/>
        <v/>
      </c>
    </row>
    <row r="3453" spans="9:9" x14ac:dyDescent="0.3">
      <c r="I3453" s="101" t="str">
        <f t="shared" si="55"/>
        <v/>
      </c>
    </row>
    <row r="3454" spans="9:9" x14ac:dyDescent="0.3">
      <c r="I3454" s="101" t="str">
        <f t="shared" si="55"/>
        <v/>
      </c>
    </row>
    <row r="3455" spans="9:9" x14ac:dyDescent="0.3">
      <c r="I3455" s="101" t="str">
        <f t="shared" si="55"/>
        <v/>
      </c>
    </row>
    <row r="3456" spans="9:9" x14ac:dyDescent="0.3">
      <c r="I3456" s="101" t="str">
        <f t="shared" si="55"/>
        <v/>
      </c>
    </row>
    <row r="3457" spans="9:9" x14ac:dyDescent="0.3">
      <c r="I3457" s="101" t="str">
        <f t="shared" si="55"/>
        <v/>
      </c>
    </row>
    <row r="3458" spans="9:9" x14ac:dyDescent="0.3">
      <c r="I3458" s="101" t="str">
        <f t="shared" si="55"/>
        <v/>
      </c>
    </row>
    <row r="3459" spans="9:9" x14ac:dyDescent="0.3">
      <c r="I3459" s="101" t="str">
        <f t="shared" ref="I3459:I3522" si="56">IF(OR(B3459&lt;&gt;B3458,C3459&lt;&gt;C3458),"",IF(E3458=0,"",IF(G3459="UP",(E3459-E3458)/E3458,-((E3459-E3458)/E3458))))</f>
        <v/>
      </c>
    </row>
    <row r="3460" spans="9:9" x14ac:dyDescent="0.3">
      <c r="I3460" s="101" t="str">
        <f t="shared" si="56"/>
        <v/>
      </c>
    </row>
    <row r="3461" spans="9:9" x14ac:dyDescent="0.3">
      <c r="I3461" s="101" t="str">
        <f t="shared" si="56"/>
        <v/>
      </c>
    </row>
    <row r="3462" spans="9:9" x14ac:dyDescent="0.3">
      <c r="I3462" s="101" t="str">
        <f t="shared" si="56"/>
        <v/>
      </c>
    </row>
    <row r="3463" spans="9:9" x14ac:dyDescent="0.3">
      <c r="I3463" s="101" t="str">
        <f t="shared" si="56"/>
        <v/>
      </c>
    </row>
    <row r="3464" spans="9:9" x14ac:dyDescent="0.3">
      <c r="I3464" s="101" t="str">
        <f t="shared" si="56"/>
        <v/>
      </c>
    </row>
    <row r="3465" spans="9:9" x14ac:dyDescent="0.3">
      <c r="I3465" s="101" t="str">
        <f t="shared" si="56"/>
        <v/>
      </c>
    </row>
    <row r="3466" spans="9:9" x14ac:dyDescent="0.3">
      <c r="I3466" s="101" t="str">
        <f t="shared" si="56"/>
        <v/>
      </c>
    </row>
    <row r="3467" spans="9:9" x14ac:dyDescent="0.3">
      <c r="I3467" s="101" t="str">
        <f t="shared" si="56"/>
        <v/>
      </c>
    </row>
    <row r="3468" spans="9:9" x14ac:dyDescent="0.3">
      <c r="I3468" s="101" t="str">
        <f t="shared" si="56"/>
        <v/>
      </c>
    </row>
    <row r="3469" spans="9:9" x14ac:dyDescent="0.3">
      <c r="I3469" s="101" t="str">
        <f t="shared" si="56"/>
        <v/>
      </c>
    </row>
    <row r="3470" spans="9:9" x14ac:dyDescent="0.3">
      <c r="I3470" s="101" t="str">
        <f t="shared" si="56"/>
        <v/>
      </c>
    </row>
    <row r="3471" spans="9:9" x14ac:dyDescent="0.3">
      <c r="I3471" s="101" t="str">
        <f t="shared" si="56"/>
        <v/>
      </c>
    </row>
    <row r="3472" spans="9:9" x14ac:dyDescent="0.3">
      <c r="I3472" s="101" t="str">
        <f t="shared" si="56"/>
        <v/>
      </c>
    </row>
    <row r="3473" spans="9:9" x14ac:dyDescent="0.3">
      <c r="I3473" s="101" t="str">
        <f t="shared" si="56"/>
        <v/>
      </c>
    </row>
    <row r="3474" spans="9:9" x14ac:dyDescent="0.3">
      <c r="I3474" s="101" t="str">
        <f t="shared" si="56"/>
        <v/>
      </c>
    </row>
    <row r="3475" spans="9:9" x14ac:dyDescent="0.3">
      <c r="I3475" s="101" t="str">
        <f t="shared" si="56"/>
        <v/>
      </c>
    </row>
    <row r="3476" spans="9:9" x14ac:dyDescent="0.3">
      <c r="I3476" s="101" t="str">
        <f t="shared" si="56"/>
        <v/>
      </c>
    </row>
    <row r="3477" spans="9:9" x14ac:dyDescent="0.3">
      <c r="I3477" s="101" t="str">
        <f t="shared" si="56"/>
        <v/>
      </c>
    </row>
    <row r="3478" spans="9:9" x14ac:dyDescent="0.3">
      <c r="I3478" s="101" t="str">
        <f t="shared" si="56"/>
        <v/>
      </c>
    </row>
    <row r="3479" spans="9:9" x14ac:dyDescent="0.3">
      <c r="I3479" s="101" t="str">
        <f t="shared" si="56"/>
        <v/>
      </c>
    </row>
    <row r="3480" spans="9:9" x14ac:dyDescent="0.3">
      <c r="I3480" s="101" t="str">
        <f t="shared" si="56"/>
        <v/>
      </c>
    </row>
    <row r="3481" spans="9:9" x14ac:dyDescent="0.3">
      <c r="I3481" s="101" t="str">
        <f t="shared" si="56"/>
        <v/>
      </c>
    </row>
    <row r="3482" spans="9:9" x14ac:dyDescent="0.3">
      <c r="I3482" s="101" t="str">
        <f t="shared" si="56"/>
        <v/>
      </c>
    </row>
    <row r="3483" spans="9:9" x14ac:dyDescent="0.3">
      <c r="I3483" s="101" t="str">
        <f t="shared" si="56"/>
        <v/>
      </c>
    </row>
    <row r="3484" spans="9:9" x14ac:dyDescent="0.3">
      <c r="I3484" s="101" t="str">
        <f t="shared" si="56"/>
        <v/>
      </c>
    </row>
    <row r="3485" spans="9:9" x14ac:dyDescent="0.3">
      <c r="I3485" s="101" t="str">
        <f t="shared" si="56"/>
        <v/>
      </c>
    </row>
    <row r="3486" spans="9:9" x14ac:dyDescent="0.3">
      <c r="I3486" s="101" t="str">
        <f t="shared" si="56"/>
        <v/>
      </c>
    </row>
    <row r="3487" spans="9:9" x14ac:dyDescent="0.3">
      <c r="I3487" s="101" t="str">
        <f t="shared" si="56"/>
        <v/>
      </c>
    </row>
    <row r="3488" spans="9:9" x14ac:dyDescent="0.3">
      <c r="I3488" s="101" t="str">
        <f t="shared" si="56"/>
        <v/>
      </c>
    </row>
    <row r="3489" spans="9:9" x14ac:dyDescent="0.3">
      <c r="I3489" s="101" t="str">
        <f t="shared" si="56"/>
        <v/>
      </c>
    </row>
    <row r="3490" spans="9:9" x14ac:dyDescent="0.3">
      <c r="I3490" s="101" t="str">
        <f t="shared" si="56"/>
        <v/>
      </c>
    </row>
    <row r="3491" spans="9:9" x14ac:dyDescent="0.3">
      <c r="I3491" s="101" t="str">
        <f t="shared" si="56"/>
        <v/>
      </c>
    </row>
    <row r="3492" spans="9:9" x14ac:dyDescent="0.3">
      <c r="I3492" s="101" t="str">
        <f t="shared" si="56"/>
        <v/>
      </c>
    </row>
    <row r="3493" spans="9:9" x14ac:dyDescent="0.3">
      <c r="I3493" s="101" t="str">
        <f t="shared" si="56"/>
        <v/>
      </c>
    </row>
    <row r="3494" spans="9:9" x14ac:dyDescent="0.3">
      <c r="I3494" s="101" t="str">
        <f t="shared" si="56"/>
        <v/>
      </c>
    </row>
    <row r="3495" spans="9:9" x14ac:dyDescent="0.3">
      <c r="I3495" s="101" t="str">
        <f t="shared" si="56"/>
        <v/>
      </c>
    </row>
    <row r="3496" spans="9:9" x14ac:dyDescent="0.3">
      <c r="I3496" s="101" t="str">
        <f t="shared" si="56"/>
        <v/>
      </c>
    </row>
    <row r="3497" spans="9:9" x14ac:dyDescent="0.3">
      <c r="I3497" s="101" t="str">
        <f t="shared" si="56"/>
        <v/>
      </c>
    </row>
    <row r="3498" spans="9:9" x14ac:dyDescent="0.3">
      <c r="I3498" s="101" t="str">
        <f t="shared" si="56"/>
        <v/>
      </c>
    </row>
    <row r="3499" spans="9:9" x14ac:dyDescent="0.3">
      <c r="I3499" s="101" t="str">
        <f t="shared" si="56"/>
        <v/>
      </c>
    </row>
    <row r="3500" spans="9:9" x14ac:dyDescent="0.3">
      <c r="I3500" s="101" t="str">
        <f t="shared" si="56"/>
        <v/>
      </c>
    </row>
    <row r="3501" spans="9:9" x14ac:dyDescent="0.3">
      <c r="I3501" s="101" t="str">
        <f t="shared" si="56"/>
        <v/>
      </c>
    </row>
    <row r="3502" spans="9:9" x14ac:dyDescent="0.3">
      <c r="I3502" s="101" t="str">
        <f t="shared" si="56"/>
        <v/>
      </c>
    </row>
    <row r="3503" spans="9:9" x14ac:dyDescent="0.3">
      <c r="I3503" s="101" t="str">
        <f t="shared" si="56"/>
        <v/>
      </c>
    </row>
    <row r="3504" spans="9:9" x14ac:dyDescent="0.3">
      <c r="I3504" s="101" t="str">
        <f t="shared" si="56"/>
        <v/>
      </c>
    </row>
    <row r="3505" spans="9:9" x14ac:dyDescent="0.3">
      <c r="I3505" s="101" t="str">
        <f t="shared" si="56"/>
        <v/>
      </c>
    </row>
    <row r="3506" spans="9:9" x14ac:dyDescent="0.3">
      <c r="I3506" s="101" t="str">
        <f t="shared" si="56"/>
        <v/>
      </c>
    </row>
    <row r="3507" spans="9:9" x14ac:dyDescent="0.3">
      <c r="I3507" s="101" t="str">
        <f t="shared" si="56"/>
        <v/>
      </c>
    </row>
    <row r="3508" spans="9:9" x14ac:dyDescent="0.3">
      <c r="I3508" s="101" t="str">
        <f t="shared" si="56"/>
        <v/>
      </c>
    </row>
    <row r="3509" spans="9:9" x14ac:dyDescent="0.3">
      <c r="I3509" s="101" t="str">
        <f t="shared" si="56"/>
        <v/>
      </c>
    </row>
    <row r="3510" spans="9:9" x14ac:dyDescent="0.3">
      <c r="I3510" s="101" t="str">
        <f t="shared" si="56"/>
        <v/>
      </c>
    </row>
    <row r="3511" spans="9:9" x14ac:dyDescent="0.3">
      <c r="I3511" s="101" t="str">
        <f t="shared" si="56"/>
        <v/>
      </c>
    </row>
    <row r="3512" spans="9:9" x14ac:dyDescent="0.3">
      <c r="I3512" s="101" t="str">
        <f t="shared" si="56"/>
        <v/>
      </c>
    </row>
    <row r="3513" spans="9:9" x14ac:dyDescent="0.3">
      <c r="I3513" s="101" t="str">
        <f t="shared" si="56"/>
        <v/>
      </c>
    </row>
    <row r="3514" spans="9:9" x14ac:dyDescent="0.3">
      <c r="I3514" s="101" t="str">
        <f t="shared" si="56"/>
        <v/>
      </c>
    </row>
    <row r="3515" spans="9:9" x14ac:dyDescent="0.3">
      <c r="I3515" s="101" t="str">
        <f t="shared" si="56"/>
        <v/>
      </c>
    </row>
    <row r="3516" spans="9:9" x14ac:dyDescent="0.3">
      <c r="I3516" s="101" t="str">
        <f t="shared" si="56"/>
        <v/>
      </c>
    </row>
    <row r="3517" spans="9:9" x14ac:dyDescent="0.3">
      <c r="I3517" s="101" t="str">
        <f t="shared" si="56"/>
        <v/>
      </c>
    </row>
    <row r="3518" spans="9:9" x14ac:dyDescent="0.3">
      <c r="I3518" s="101" t="str">
        <f t="shared" si="56"/>
        <v/>
      </c>
    </row>
    <row r="3519" spans="9:9" x14ac:dyDescent="0.3">
      <c r="I3519" s="101" t="str">
        <f t="shared" si="56"/>
        <v/>
      </c>
    </row>
    <row r="3520" spans="9:9" x14ac:dyDescent="0.3">
      <c r="I3520" s="101" t="str">
        <f t="shared" si="56"/>
        <v/>
      </c>
    </row>
    <row r="3521" spans="9:9" x14ac:dyDescent="0.3">
      <c r="I3521" s="101" t="str">
        <f t="shared" si="56"/>
        <v/>
      </c>
    </row>
    <row r="3522" spans="9:9" x14ac:dyDescent="0.3">
      <c r="I3522" s="101" t="str">
        <f t="shared" si="56"/>
        <v/>
      </c>
    </row>
    <row r="3523" spans="9:9" x14ac:dyDescent="0.3">
      <c r="I3523" s="101" t="str">
        <f t="shared" ref="I3523:I3586" si="57">IF(OR(B3523&lt;&gt;B3522,C3523&lt;&gt;C3522),"",IF(E3522=0,"",IF(G3523="UP",(E3523-E3522)/E3522,-((E3523-E3522)/E3522))))</f>
        <v/>
      </c>
    </row>
    <row r="3524" spans="9:9" x14ac:dyDescent="0.3">
      <c r="I3524" s="101" t="str">
        <f t="shared" si="57"/>
        <v/>
      </c>
    </row>
    <row r="3525" spans="9:9" x14ac:dyDescent="0.3">
      <c r="I3525" s="101" t="str">
        <f t="shared" si="57"/>
        <v/>
      </c>
    </row>
    <row r="3526" spans="9:9" x14ac:dyDescent="0.3">
      <c r="I3526" s="101" t="str">
        <f t="shared" si="57"/>
        <v/>
      </c>
    </row>
    <row r="3527" spans="9:9" x14ac:dyDescent="0.3">
      <c r="I3527" s="101" t="str">
        <f t="shared" si="57"/>
        <v/>
      </c>
    </row>
    <row r="3528" spans="9:9" x14ac:dyDescent="0.3">
      <c r="I3528" s="101" t="str">
        <f t="shared" si="57"/>
        <v/>
      </c>
    </row>
    <row r="3529" spans="9:9" x14ac:dyDescent="0.3">
      <c r="I3529" s="101" t="str">
        <f t="shared" si="57"/>
        <v/>
      </c>
    </row>
    <row r="3530" spans="9:9" x14ac:dyDescent="0.3">
      <c r="I3530" s="101" t="str">
        <f t="shared" si="57"/>
        <v/>
      </c>
    </row>
    <row r="3531" spans="9:9" x14ac:dyDescent="0.3">
      <c r="I3531" s="101" t="str">
        <f t="shared" si="57"/>
        <v/>
      </c>
    </row>
    <row r="3532" spans="9:9" x14ac:dyDescent="0.3">
      <c r="I3532" s="101" t="str">
        <f t="shared" si="57"/>
        <v/>
      </c>
    </row>
    <row r="3533" spans="9:9" x14ac:dyDescent="0.3">
      <c r="I3533" s="101" t="str">
        <f t="shared" si="57"/>
        <v/>
      </c>
    </row>
    <row r="3534" spans="9:9" x14ac:dyDescent="0.3">
      <c r="I3534" s="101" t="str">
        <f t="shared" si="57"/>
        <v/>
      </c>
    </row>
    <row r="3535" spans="9:9" x14ac:dyDescent="0.3">
      <c r="I3535" s="101" t="str">
        <f t="shared" si="57"/>
        <v/>
      </c>
    </row>
    <row r="3536" spans="9:9" x14ac:dyDescent="0.3">
      <c r="I3536" s="101" t="str">
        <f t="shared" si="57"/>
        <v/>
      </c>
    </row>
    <row r="3537" spans="9:9" x14ac:dyDescent="0.3">
      <c r="I3537" s="101" t="str">
        <f t="shared" si="57"/>
        <v/>
      </c>
    </row>
    <row r="3538" spans="9:9" x14ac:dyDescent="0.3">
      <c r="I3538" s="101" t="str">
        <f t="shared" si="57"/>
        <v/>
      </c>
    </row>
    <row r="3539" spans="9:9" x14ac:dyDescent="0.3">
      <c r="I3539" s="101" t="str">
        <f t="shared" si="57"/>
        <v/>
      </c>
    </row>
    <row r="3540" spans="9:9" x14ac:dyDescent="0.3">
      <c r="I3540" s="101" t="str">
        <f t="shared" si="57"/>
        <v/>
      </c>
    </row>
    <row r="3541" spans="9:9" x14ac:dyDescent="0.3">
      <c r="I3541" s="101" t="str">
        <f t="shared" si="57"/>
        <v/>
      </c>
    </row>
    <row r="3542" spans="9:9" x14ac:dyDescent="0.3">
      <c r="I3542" s="101" t="str">
        <f t="shared" si="57"/>
        <v/>
      </c>
    </row>
    <row r="3543" spans="9:9" x14ac:dyDescent="0.3">
      <c r="I3543" s="101" t="str">
        <f t="shared" si="57"/>
        <v/>
      </c>
    </row>
    <row r="3544" spans="9:9" x14ac:dyDescent="0.3">
      <c r="I3544" s="101" t="str">
        <f t="shared" si="57"/>
        <v/>
      </c>
    </row>
    <row r="3545" spans="9:9" x14ac:dyDescent="0.3">
      <c r="I3545" s="101" t="str">
        <f t="shared" si="57"/>
        <v/>
      </c>
    </row>
    <row r="3546" spans="9:9" x14ac:dyDescent="0.3">
      <c r="I3546" s="101" t="str">
        <f t="shared" si="57"/>
        <v/>
      </c>
    </row>
    <row r="3547" spans="9:9" x14ac:dyDescent="0.3">
      <c r="I3547" s="101" t="str">
        <f t="shared" si="57"/>
        <v/>
      </c>
    </row>
    <row r="3548" spans="9:9" x14ac:dyDescent="0.3">
      <c r="I3548" s="101" t="str">
        <f t="shared" si="57"/>
        <v/>
      </c>
    </row>
    <row r="3549" spans="9:9" x14ac:dyDescent="0.3">
      <c r="I3549" s="101" t="str">
        <f t="shared" si="57"/>
        <v/>
      </c>
    </row>
    <row r="3550" spans="9:9" x14ac:dyDescent="0.3">
      <c r="I3550" s="101" t="str">
        <f t="shared" si="57"/>
        <v/>
      </c>
    </row>
    <row r="3551" spans="9:9" x14ac:dyDescent="0.3">
      <c r="I3551" s="101" t="str">
        <f t="shared" si="57"/>
        <v/>
      </c>
    </row>
    <row r="3552" spans="9:9" x14ac:dyDescent="0.3">
      <c r="I3552" s="101" t="str">
        <f t="shared" si="57"/>
        <v/>
      </c>
    </row>
    <row r="3553" spans="9:9" x14ac:dyDescent="0.3">
      <c r="I3553" s="101" t="str">
        <f t="shared" si="57"/>
        <v/>
      </c>
    </row>
    <row r="3554" spans="9:9" x14ac:dyDescent="0.3">
      <c r="I3554" s="101" t="str">
        <f t="shared" si="57"/>
        <v/>
      </c>
    </row>
    <row r="3555" spans="9:9" x14ac:dyDescent="0.3">
      <c r="I3555" s="101" t="str">
        <f t="shared" si="57"/>
        <v/>
      </c>
    </row>
    <row r="3556" spans="9:9" x14ac:dyDescent="0.3">
      <c r="I3556" s="101" t="str">
        <f t="shared" si="57"/>
        <v/>
      </c>
    </row>
    <row r="3557" spans="9:9" x14ac:dyDescent="0.3">
      <c r="I3557" s="101" t="str">
        <f t="shared" si="57"/>
        <v/>
      </c>
    </row>
    <row r="3558" spans="9:9" x14ac:dyDescent="0.3">
      <c r="I3558" s="101" t="str">
        <f t="shared" si="57"/>
        <v/>
      </c>
    </row>
    <row r="3559" spans="9:9" x14ac:dyDescent="0.3">
      <c r="I3559" s="101" t="str">
        <f t="shared" si="57"/>
        <v/>
      </c>
    </row>
    <row r="3560" spans="9:9" x14ac:dyDescent="0.3">
      <c r="I3560" s="101" t="str">
        <f t="shared" si="57"/>
        <v/>
      </c>
    </row>
    <row r="3561" spans="9:9" x14ac:dyDescent="0.3">
      <c r="I3561" s="101" t="str">
        <f t="shared" si="57"/>
        <v/>
      </c>
    </row>
    <row r="3562" spans="9:9" x14ac:dyDescent="0.3">
      <c r="I3562" s="101" t="str">
        <f t="shared" si="57"/>
        <v/>
      </c>
    </row>
    <row r="3563" spans="9:9" x14ac:dyDescent="0.3">
      <c r="I3563" s="101" t="str">
        <f t="shared" si="57"/>
        <v/>
      </c>
    </row>
    <row r="3564" spans="9:9" x14ac:dyDescent="0.3">
      <c r="I3564" s="101" t="str">
        <f t="shared" si="57"/>
        <v/>
      </c>
    </row>
    <row r="3565" spans="9:9" x14ac:dyDescent="0.3">
      <c r="I3565" s="101" t="str">
        <f t="shared" si="57"/>
        <v/>
      </c>
    </row>
    <row r="3566" spans="9:9" x14ac:dyDescent="0.3">
      <c r="I3566" s="101" t="str">
        <f t="shared" si="57"/>
        <v/>
      </c>
    </row>
    <row r="3567" spans="9:9" x14ac:dyDescent="0.3">
      <c r="I3567" s="101" t="str">
        <f t="shared" si="57"/>
        <v/>
      </c>
    </row>
    <row r="3568" spans="9:9" x14ac:dyDescent="0.3">
      <c r="I3568" s="101" t="str">
        <f t="shared" si="57"/>
        <v/>
      </c>
    </row>
    <row r="3569" spans="9:9" x14ac:dyDescent="0.3">
      <c r="I3569" s="101" t="str">
        <f t="shared" si="57"/>
        <v/>
      </c>
    </row>
    <row r="3570" spans="9:9" x14ac:dyDescent="0.3">
      <c r="I3570" s="101" t="str">
        <f t="shared" si="57"/>
        <v/>
      </c>
    </row>
    <row r="3571" spans="9:9" x14ac:dyDescent="0.3">
      <c r="I3571" s="101" t="str">
        <f t="shared" si="57"/>
        <v/>
      </c>
    </row>
    <row r="3572" spans="9:9" x14ac:dyDescent="0.3">
      <c r="I3572" s="101" t="str">
        <f t="shared" si="57"/>
        <v/>
      </c>
    </row>
    <row r="3573" spans="9:9" x14ac:dyDescent="0.3">
      <c r="I3573" s="101" t="str">
        <f t="shared" si="57"/>
        <v/>
      </c>
    </row>
    <row r="3574" spans="9:9" x14ac:dyDescent="0.3">
      <c r="I3574" s="101" t="str">
        <f t="shared" si="57"/>
        <v/>
      </c>
    </row>
    <row r="3575" spans="9:9" x14ac:dyDescent="0.3">
      <c r="I3575" s="101" t="str">
        <f t="shared" si="57"/>
        <v/>
      </c>
    </row>
    <row r="3576" spans="9:9" x14ac:dyDescent="0.3">
      <c r="I3576" s="101" t="str">
        <f t="shared" si="57"/>
        <v/>
      </c>
    </row>
    <row r="3577" spans="9:9" x14ac:dyDescent="0.3">
      <c r="I3577" s="101" t="str">
        <f t="shared" si="57"/>
        <v/>
      </c>
    </row>
    <row r="3578" spans="9:9" x14ac:dyDescent="0.3">
      <c r="I3578" s="101" t="str">
        <f t="shared" si="57"/>
        <v/>
      </c>
    </row>
    <row r="3579" spans="9:9" x14ac:dyDescent="0.3">
      <c r="I3579" s="101" t="str">
        <f t="shared" si="57"/>
        <v/>
      </c>
    </row>
    <row r="3580" spans="9:9" x14ac:dyDescent="0.3">
      <c r="I3580" s="101" t="str">
        <f t="shared" si="57"/>
        <v/>
      </c>
    </row>
    <row r="3581" spans="9:9" x14ac:dyDescent="0.3">
      <c r="I3581" s="101" t="str">
        <f t="shared" si="57"/>
        <v/>
      </c>
    </row>
    <row r="3582" spans="9:9" x14ac:dyDescent="0.3">
      <c r="I3582" s="101" t="str">
        <f t="shared" si="57"/>
        <v/>
      </c>
    </row>
    <row r="3583" spans="9:9" x14ac:dyDescent="0.3">
      <c r="I3583" s="101" t="str">
        <f t="shared" si="57"/>
        <v/>
      </c>
    </row>
    <row r="3584" spans="9:9" x14ac:dyDescent="0.3">
      <c r="I3584" s="101" t="str">
        <f t="shared" si="57"/>
        <v/>
      </c>
    </row>
    <row r="3585" spans="9:9" x14ac:dyDescent="0.3">
      <c r="I3585" s="101" t="str">
        <f t="shared" si="57"/>
        <v/>
      </c>
    </row>
    <row r="3586" spans="9:9" x14ac:dyDescent="0.3">
      <c r="I3586" s="101" t="str">
        <f t="shared" si="57"/>
        <v/>
      </c>
    </row>
    <row r="3587" spans="9:9" x14ac:dyDescent="0.3">
      <c r="I3587" s="101" t="str">
        <f t="shared" ref="I3587:I3650" si="58">IF(OR(B3587&lt;&gt;B3586,C3587&lt;&gt;C3586),"",IF(E3586=0,"",IF(G3587="UP",(E3587-E3586)/E3586,-((E3587-E3586)/E3586))))</f>
        <v/>
      </c>
    </row>
    <row r="3588" spans="9:9" x14ac:dyDescent="0.3">
      <c r="I3588" s="101" t="str">
        <f t="shared" si="58"/>
        <v/>
      </c>
    </row>
    <row r="3589" spans="9:9" x14ac:dyDescent="0.3">
      <c r="I3589" s="101" t="str">
        <f t="shared" si="58"/>
        <v/>
      </c>
    </row>
    <row r="3590" spans="9:9" x14ac:dyDescent="0.3">
      <c r="I3590" s="101" t="str">
        <f t="shared" si="58"/>
        <v/>
      </c>
    </row>
    <row r="3591" spans="9:9" x14ac:dyDescent="0.3">
      <c r="I3591" s="101" t="str">
        <f t="shared" si="58"/>
        <v/>
      </c>
    </row>
    <row r="3592" spans="9:9" x14ac:dyDescent="0.3">
      <c r="I3592" s="101" t="str">
        <f t="shared" si="58"/>
        <v/>
      </c>
    </row>
    <row r="3593" spans="9:9" x14ac:dyDescent="0.3">
      <c r="I3593" s="101" t="str">
        <f t="shared" si="58"/>
        <v/>
      </c>
    </row>
    <row r="3594" spans="9:9" x14ac:dyDescent="0.3">
      <c r="I3594" s="101" t="str">
        <f t="shared" si="58"/>
        <v/>
      </c>
    </row>
    <row r="3595" spans="9:9" x14ac:dyDescent="0.3">
      <c r="I3595" s="101" t="str">
        <f t="shared" si="58"/>
        <v/>
      </c>
    </row>
    <row r="3596" spans="9:9" x14ac:dyDescent="0.3">
      <c r="I3596" s="101" t="str">
        <f t="shared" si="58"/>
        <v/>
      </c>
    </row>
    <row r="3597" spans="9:9" x14ac:dyDescent="0.3">
      <c r="I3597" s="101" t="str">
        <f t="shared" si="58"/>
        <v/>
      </c>
    </row>
    <row r="3598" spans="9:9" x14ac:dyDescent="0.3">
      <c r="I3598" s="101" t="str">
        <f t="shared" si="58"/>
        <v/>
      </c>
    </row>
    <row r="3599" spans="9:9" x14ac:dyDescent="0.3">
      <c r="I3599" s="101" t="str">
        <f t="shared" si="58"/>
        <v/>
      </c>
    </row>
    <row r="3600" spans="9:9" x14ac:dyDescent="0.3">
      <c r="I3600" s="101" t="str">
        <f t="shared" si="58"/>
        <v/>
      </c>
    </row>
    <row r="3601" spans="9:9" x14ac:dyDescent="0.3">
      <c r="I3601" s="101" t="str">
        <f t="shared" si="58"/>
        <v/>
      </c>
    </row>
    <row r="3602" spans="9:9" x14ac:dyDescent="0.3">
      <c r="I3602" s="101" t="str">
        <f t="shared" si="58"/>
        <v/>
      </c>
    </row>
    <row r="3603" spans="9:9" x14ac:dyDescent="0.3">
      <c r="I3603" s="101" t="str">
        <f t="shared" si="58"/>
        <v/>
      </c>
    </row>
    <row r="3604" spans="9:9" x14ac:dyDescent="0.3">
      <c r="I3604" s="101" t="str">
        <f t="shared" si="58"/>
        <v/>
      </c>
    </row>
    <row r="3605" spans="9:9" x14ac:dyDescent="0.3">
      <c r="I3605" s="101" t="str">
        <f t="shared" si="58"/>
        <v/>
      </c>
    </row>
    <row r="3606" spans="9:9" x14ac:dyDescent="0.3">
      <c r="I3606" s="101" t="str">
        <f t="shared" si="58"/>
        <v/>
      </c>
    </row>
    <row r="3607" spans="9:9" x14ac:dyDescent="0.3">
      <c r="I3607" s="101" t="str">
        <f t="shared" si="58"/>
        <v/>
      </c>
    </row>
    <row r="3608" spans="9:9" x14ac:dyDescent="0.3">
      <c r="I3608" s="101" t="str">
        <f t="shared" si="58"/>
        <v/>
      </c>
    </row>
    <row r="3609" spans="9:9" x14ac:dyDescent="0.3">
      <c r="I3609" s="101" t="str">
        <f t="shared" si="58"/>
        <v/>
      </c>
    </row>
    <row r="3610" spans="9:9" x14ac:dyDescent="0.3">
      <c r="I3610" s="101" t="str">
        <f t="shared" si="58"/>
        <v/>
      </c>
    </row>
    <row r="3611" spans="9:9" x14ac:dyDescent="0.3">
      <c r="I3611" s="101" t="str">
        <f t="shared" si="58"/>
        <v/>
      </c>
    </row>
    <row r="3612" spans="9:9" x14ac:dyDescent="0.3">
      <c r="I3612" s="101" t="str">
        <f t="shared" si="58"/>
        <v/>
      </c>
    </row>
    <row r="3613" spans="9:9" x14ac:dyDescent="0.3">
      <c r="I3613" s="101" t="str">
        <f t="shared" si="58"/>
        <v/>
      </c>
    </row>
    <row r="3614" spans="9:9" x14ac:dyDescent="0.3">
      <c r="I3614" s="101" t="str">
        <f t="shared" si="58"/>
        <v/>
      </c>
    </row>
    <row r="3615" spans="9:9" x14ac:dyDescent="0.3">
      <c r="I3615" s="101" t="str">
        <f t="shared" si="58"/>
        <v/>
      </c>
    </row>
    <row r="3616" spans="9:9" x14ac:dyDescent="0.3">
      <c r="I3616" s="101" t="str">
        <f t="shared" si="58"/>
        <v/>
      </c>
    </row>
    <row r="3617" spans="9:9" x14ac:dyDescent="0.3">
      <c r="I3617" s="101" t="str">
        <f t="shared" si="58"/>
        <v/>
      </c>
    </row>
    <row r="3618" spans="9:9" x14ac:dyDescent="0.3">
      <c r="I3618" s="101" t="str">
        <f t="shared" si="58"/>
        <v/>
      </c>
    </row>
    <row r="3619" spans="9:9" x14ac:dyDescent="0.3">
      <c r="I3619" s="101" t="str">
        <f t="shared" si="58"/>
        <v/>
      </c>
    </row>
    <row r="3620" spans="9:9" x14ac:dyDescent="0.3">
      <c r="I3620" s="101" t="str">
        <f t="shared" si="58"/>
        <v/>
      </c>
    </row>
    <row r="3621" spans="9:9" x14ac:dyDescent="0.3">
      <c r="I3621" s="101" t="str">
        <f t="shared" si="58"/>
        <v/>
      </c>
    </row>
    <row r="3622" spans="9:9" x14ac:dyDescent="0.3">
      <c r="I3622" s="101" t="str">
        <f t="shared" si="58"/>
        <v/>
      </c>
    </row>
    <row r="3623" spans="9:9" x14ac:dyDescent="0.3">
      <c r="I3623" s="101" t="str">
        <f t="shared" si="58"/>
        <v/>
      </c>
    </row>
    <row r="3624" spans="9:9" x14ac:dyDescent="0.3">
      <c r="I3624" s="101" t="str">
        <f t="shared" si="58"/>
        <v/>
      </c>
    </row>
    <row r="3625" spans="9:9" x14ac:dyDescent="0.3">
      <c r="I3625" s="101" t="str">
        <f t="shared" si="58"/>
        <v/>
      </c>
    </row>
    <row r="3626" spans="9:9" x14ac:dyDescent="0.3">
      <c r="I3626" s="101" t="str">
        <f t="shared" si="58"/>
        <v/>
      </c>
    </row>
    <row r="3627" spans="9:9" x14ac:dyDescent="0.3">
      <c r="I3627" s="101" t="str">
        <f t="shared" si="58"/>
        <v/>
      </c>
    </row>
    <row r="3628" spans="9:9" x14ac:dyDescent="0.3">
      <c r="I3628" s="101" t="str">
        <f t="shared" si="58"/>
        <v/>
      </c>
    </row>
    <row r="3629" spans="9:9" x14ac:dyDescent="0.3">
      <c r="I3629" s="101" t="str">
        <f t="shared" si="58"/>
        <v/>
      </c>
    </row>
    <row r="3630" spans="9:9" x14ac:dyDescent="0.3">
      <c r="I3630" s="101" t="str">
        <f t="shared" si="58"/>
        <v/>
      </c>
    </row>
    <row r="3631" spans="9:9" x14ac:dyDescent="0.3">
      <c r="I3631" s="101" t="str">
        <f t="shared" si="58"/>
        <v/>
      </c>
    </row>
    <row r="3632" spans="9:9" x14ac:dyDescent="0.3">
      <c r="I3632" s="101" t="str">
        <f t="shared" si="58"/>
        <v/>
      </c>
    </row>
    <row r="3633" spans="9:9" x14ac:dyDescent="0.3">
      <c r="I3633" s="101" t="str">
        <f t="shared" si="58"/>
        <v/>
      </c>
    </row>
    <row r="3634" spans="9:9" x14ac:dyDescent="0.3">
      <c r="I3634" s="101" t="str">
        <f t="shared" si="58"/>
        <v/>
      </c>
    </row>
    <row r="3635" spans="9:9" x14ac:dyDescent="0.3">
      <c r="I3635" s="101" t="str">
        <f t="shared" si="58"/>
        <v/>
      </c>
    </row>
    <row r="3636" spans="9:9" x14ac:dyDescent="0.3">
      <c r="I3636" s="101" t="str">
        <f t="shared" si="58"/>
        <v/>
      </c>
    </row>
    <row r="3637" spans="9:9" x14ac:dyDescent="0.3">
      <c r="I3637" s="101" t="str">
        <f t="shared" si="58"/>
        <v/>
      </c>
    </row>
    <row r="3638" spans="9:9" x14ac:dyDescent="0.3">
      <c r="I3638" s="101" t="str">
        <f t="shared" si="58"/>
        <v/>
      </c>
    </row>
    <row r="3639" spans="9:9" x14ac:dyDescent="0.3">
      <c r="I3639" s="101" t="str">
        <f t="shared" si="58"/>
        <v/>
      </c>
    </row>
    <row r="3640" spans="9:9" x14ac:dyDescent="0.3">
      <c r="I3640" s="101" t="str">
        <f t="shared" si="58"/>
        <v/>
      </c>
    </row>
    <row r="3641" spans="9:9" x14ac:dyDescent="0.3">
      <c r="I3641" s="101" t="str">
        <f t="shared" si="58"/>
        <v/>
      </c>
    </row>
    <row r="3642" spans="9:9" x14ac:dyDescent="0.3">
      <c r="I3642" s="101" t="str">
        <f t="shared" si="58"/>
        <v/>
      </c>
    </row>
    <row r="3643" spans="9:9" x14ac:dyDescent="0.3">
      <c r="I3643" s="101" t="str">
        <f t="shared" si="58"/>
        <v/>
      </c>
    </row>
    <row r="3644" spans="9:9" x14ac:dyDescent="0.3">
      <c r="I3644" s="101" t="str">
        <f t="shared" si="58"/>
        <v/>
      </c>
    </row>
    <row r="3645" spans="9:9" x14ac:dyDescent="0.3">
      <c r="I3645" s="101" t="str">
        <f t="shared" si="58"/>
        <v/>
      </c>
    </row>
    <row r="3646" spans="9:9" x14ac:dyDescent="0.3">
      <c r="I3646" s="101" t="str">
        <f t="shared" si="58"/>
        <v/>
      </c>
    </row>
    <row r="3647" spans="9:9" x14ac:dyDescent="0.3">
      <c r="I3647" s="101" t="str">
        <f t="shared" si="58"/>
        <v/>
      </c>
    </row>
    <row r="3648" spans="9:9" x14ac:dyDescent="0.3">
      <c r="I3648" s="101" t="str">
        <f t="shared" si="58"/>
        <v/>
      </c>
    </row>
    <row r="3649" spans="9:9" x14ac:dyDescent="0.3">
      <c r="I3649" s="101" t="str">
        <f t="shared" si="58"/>
        <v/>
      </c>
    </row>
    <row r="3650" spans="9:9" x14ac:dyDescent="0.3">
      <c r="I3650" s="101" t="str">
        <f t="shared" si="58"/>
        <v/>
      </c>
    </row>
    <row r="3651" spans="9:9" x14ac:dyDescent="0.3">
      <c r="I3651" s="101" t="str">
        <f t="shared" ref="I3651:I3714" si="59">IF(OR(B3651&lt;&gt;B3650,C3651&lt;&gt;C3650),"",IF(E3650=0,"",IF(G3651="UP",(E3651-E3650)/E3650,-((E3651-E3650)/E3650))))</f>
        <v/>
      </c>
    </row>
    <row r="3652" spans="9:9" x14ac:dyDescent="0.3">
      <c r="I3652" s="101" t="str">
        <f t="shared" si="59"/>
        <v/>
      </c>
    </row>
    <row r="3653" spans="9:9" x14ac:dyDescent="0.3">
      <c r="I3653" s="101" t="str">
        <f t="shared" si="59"/>
        <v/>
      </c>
    </row>
    <row r="3654" spans="9:9" x14ac:dyDescent="0.3">
      <c r="I3654" s="101" t="str">
        <f t="shared" si="59"/>
        <v/>
      </c>
    </row>
    <row r="3655" spans="9:9" x14ac:dyDescent="0.3">
      <c r="I3655" s="101" t="str">
        <f t="shared" si="59"/>
        <v/>
      </c>
    </row>
    <row r="3656" spans="9:9" x14ac:dyDescent="0.3">
      <c r="I3656" s="101" t="str">
        <f t="shared" si="59"/>
        <v/>
      </c>
    </row>
    <row r="3657" spans="9:9" x14ac:dyDescent="0.3">
      <c r="I3657" s="101" t="str">
        <f t="shared" si="59"/>
        <v/>
      </c>
    </row>
    <row r="3658" spans="9:9" x14ac:dyDescent="0.3">
      <c r="I3658" s="101" t="str">
        <f t="shared" si="59"/>
        <v/>
      </c>
    </row>
    <row r="3659" spans="9:9" x14ac:dyDescent="0.3">
      <c r="I3659" s="101" t="str">
        <f t="shared" si="59"/>
        <v/>
      </c>
    </row>
    <row r="3660" spans="9:9" x14ac:dyDescent="0.3">
      <c r="I3660" s="101" t="str">
        <f t="shared" si="59"/>
        <v/>
      </c>
    </row>
    <row r="3661" spans="9:9" x14ac:dyDescent="0.3">
      <c r="I3661" s="101" t="str">
        <f t="shared" si="59"/>
        <v/>
      </c>
    </row>
    <row r="3662" spans="9:9" x14ac:dyDescent="0.3">
      <c r="I3662" s="101" t="str">
        <f t="shared" si="59"/>
        <v/>
      </c>
    </row>
    <row r="3663" spans="9:9" x14ac:dyDescent="0.3">
      <c r="I3663" s="101" t="str">
        <f t="shared" si="59"/>
        <v/>
      </c>
    </row>
    <row r="3664" spans="9:9" x14ac:dyDescent="0.3">
      <c r="I3664" s="101" t="str">
        <f t="shared" si="59"/>
        <v/>
      </c>
    </row>
    <row r="3665" spans="9:9" x14ac:dyDescent="0.3">
      <c r="I3665" s="101" t="str">
        <f t="shared" si="59"/>
        <v/>
      </c>
    </row>
    <row r="3666" spans="9:9" x14ac:dyDescent="0.3">
      <c r="I3666" s="101" t="str">
        <f t="shared" si="59"/>
        <v/>
      </c>
    </row>
    <row r="3667" spans="9:9" x14ac:dyDescent="0.3">
      <c r="I3667" s="101" t="str">
        <f t="shared" si="59"/>
        <v/>
      </c>
    </row>
    <row r="3668" spans="9:9" x14ac:dyDescent="0.3">
      <c r="I3668" s="101" t="str">
        <f t="shared" si="59"/>
        <v/>
      </c>
    </row>
    <row r="3669" spans="9:9" x14ac:dyDescent="0.3">
      <c r="I3669" s="101" t="str">
        <f t="shared" si="59"/>
        <v/>
      </c>
    </row>
    <row r="3670" spans="9:9" x14ac:dyDescent="0.3">
      <c r="I3670" s="101" t="str">
        <f t="shared" si="59"/>
        <v/>
      </c>
    </row>
    <row r="3671" spans="9:9" x14ac:dyDescent="0.3">
      <c r="I3671" s="101" t="str">
        <f t="shared" si="59"/>
        <v/>
      </c>
    </row>
    <row r="3672" spans="9:9" x14ac:dyDescent="0.3">
      <c r="I3672" s="101" t="str">
        <f t="shared" si="59"/>
        <v/>
      </c>
    </row>
    <row r="3673" spans="9:9" x14ac:dyDescent="0.3">
      <c r="I3673" s="101" t="str">
        <f t="shared" si="59"/>
        <v/>
      </c>
    </row>
    <row r="3674" spans="9:9" x14ac:dyDescent="0.3">
      <c r="I3674" s="101" t="str">
        <f t="shared" si="59"/>
        <v/>
      </c>
    </row>
    <row r="3675" spans="9:9" x14ac:dyDescent="0.3">
      <c r="I3675" s="101" t="str">
        <f t="shared" si="59"/>
        <v/>
      </c>
    </row>
    <row r="3676" spans="9:9" x14ac:dyDescent="0.3">
      <c r="I3676" s="101" t="str">
        <f t="shared" si="59"/>
        <v/>
      </c>
    </row>
    <row r="3677" spans="9:9" x14ac:dyDescent="0.3">
      <c r="I3677" s="101" t="str">
        <f t="shared" si="59"/>
        <v/>
      </c>
    </row>
    <row r="3678" spans="9:9" x14ac:dyDescent="0.3">
      <c r="I3678" s="101" t="str">
        <f t="shared" si="59"/>
        <v/>
      </c>
    </row>
    <row r="3679" spans="9:9" x14ac:dyDescent="0.3">
      <c r="I3679" s="101" t="str">
        <f t="shared" si="59"/>
        <v/>
      </c>
    </row>
    <row r="3680" spans="9:9" x14ac:dyDescent="0.3">
      <c r="I3680" s="101" t="str">
        <f t="shared" si="59"/>
        <v/>
      </c>
    </row>
    <row r="3681" spans="9:9" x14ac:dyDescent="0.3">
      <c r="I3681" s="101" t="str">
        <f t="shared" si="59"/>
        <v/>
      </c>
    </row>
    <row r="3682" spans="9:9" x14ac:dyDescent="0.3">
      <c r="I3682" s="101" t="str">
        <f t="shared" si="59"/>
        <v/>
      </c>
    </row>
    <row r="3683" spans="9:9" x14ac:dyDescent="0.3">
      <c r="I3683" s="101" t="str">
        <f t="shared" si="59"/>
        <v/>
      </c>
    </row>
    <row r="3684" spans="9:9" x14ac:dyDescent="0.3">
      <c r="I3684" s="101" t="str">
        <f t="shared" si="59"/>
        <v/>
      </c>
    </row>
    <row r="3685" spans="9:9" x14ac:dyDescent="0.3">
      <c r="I3685" s="101" t="str">
        <f t="shared" si="59"/>
        <v/>
      </c>
    </row>
    <row r="3686" spans="9:9" x14ac:dyDescent="0.3">
      <c r="I3686" s="101" t="str">
        <f t="shared" si="59"/>
        <v/>
      </c>
    </row>
    <row r="3687" spans="9:9" x14ac:dyDescent="0.3">
      <c r="I3687" s="101" t="str">
        <f t="shared" si="59"/>
        <v/>
      </c>
    </row>
    <row r="3688" spans="9:9" x14ac:dyDescent="0.3">
      <c r="I3688" s="101" t="str">
        <f t="shared" si="59"/>
        <v/>
      </c>
    </row>
    <row r="3689" spans="9:9" x14ac:dyDescent="0.3">
      <c r="I3689" s="101" t="str">
        <f t="shared" si="59"/>
        <v/>
      </c>
    </row>
    <row r="3690" spans="9:9" x14ac:dyDescent="0.3">
      <c r="I3690" s="101" t="str">
        <f t="shared" si="59"/>
        <v/>
      </c>
    </row>
    <row r="3691" spans="9:9" x14ac:dyDescent="0.3">
      <c r="I3691" s="101" t="str">
        <f t="shared" si="59"/>
        <v/>
      </c>
    </row>
    <row r="3692" spans="9:9" x14ac:dyDescent="0.3">
      <c r="I3692" s="101" t="str">
        <f t="shared" si="59"/>
        <v/>
      </c>
    </row>
    <row r="3693" spans="9:9" x14ac:dyDescent="0.3">
      <c r="I3693" s="101" t="str">
        <f t="shared" si="59"/>
        <v/>
      </c>
    </row>
    <row r="3694" spans="9:9" x14ac:dyDescent="0.3">
      <c r="I3694" s="101" t="str">
        <f t="shared" si="59"/>
        <v/>
      </c>
    </row>
    <row r="3695" spans="9:9" x14ac:dyDescent="0.3">
      <c r="I3695" s="101" t="str">
        <f t="shared" si="59"/>
        <v/>
      </c>
    </row>
    <row r="3696" spans="9:9" x14ac:dyDescent="0.3">
      <c r="I3696" s="101" t="str">
        <f t="shared" si="59"/>
        <v/>
      </c>
    </row>
    <row r="3697" spans="9:9" x14ac:dyDescent="0.3">
      <c r="I3697" s="101" t="str">
        <f t="shared" si="59"/>
        <v/>
      </c>
    </row>
    <row r="3698" spans="9:9" x14ac:dyDescent="0.3">
      <c r="I3698" s="101" t="str">
        <f t="shared" si="59"/>
        <v/>
      </c>
    </row>
    <row r="3699" spans="9:9" x14ac:dyDescent="0.3">
      <c r="I3699" s="101" t="str">
        <f t="shared" si="59"/>
        <v/>
      </c>
    </row>
    <row r="3700" spans="9:9" x14ac:dyDescent="0.3">
      <c r="I3700" s="101" t="str">
        <f t="shared" si="59"/>
        <v/>
      </c>
    </row>
    <row r="3701" spans="9:9" x14ac:dyDescent="0.3">
      <c r="I3701" s="101" t="str">
        <f t="shared" si="59"/>
        <v/>
      </c>
    </row>
    <row r="3702" spans="9:9" x14ac:dyDescent="0.3">
      <c r="I3702" s="101" t="str">
        <f t="shared" si="59"/>
        <v/>
      </c>
    </row>
    <row r="3703" spans="9:9" x14ac:dyDescent="0.3">
      <c r="I3703" s="101" t="str">
        <f t="shared" si="59"/>
        <v/>
      </c>
    </row>
    <row r="3704" spans="9:9" x14ac:dyDescent="0.3">
      <c r="I3704" s="101" t="str">
        <f t="shared" si="59"/>
        <v/>
      </c>
    </row>
    <row r="3705" spans="9:9" x14ac:dyDescent="0.3">
      <c r="I3705" s="101" t="str">
        <f t="shared" si="59"/>
        <v/>
      </c>
    </row>
    <row r="3706" spans="9:9" x14ac:dyDescent="0.3">
      <c r="I3706" s="101" t="str">
        <f t="shared" si="59"/>
        <v/>
      </c>
    </row>
    <row r="3707" spans="9:9" x14ac:dyDescent="0.3">
      <c r="I3707" s="101" t="str">
        <f t="shared" si="59"/>
        <v/>
      </c>
    </row>
    <row r="3708" spans="9:9" x14ac:dyDescent="0.3">
      <c r="I3708" s="101" t="str">
        <f t="shared" si="59"/>
        <v/>
      </c>
    </row>
    <row r="3709" spans="9:9" x14ac:dyDescent="0.3">
      <c r="I3709" s="101" t="str">
        <f t="shared" si="59"/>
        <v/>
      </c>
    </row>
    <row r="3710" spans="9:9" x14ac:dyDescent="0.3">
      <c r="I3710" s="101" t="str">
        <f t="shared" si="59"/>
        <v/>
      </c>
    </row>
    <row r="3711" spans="9:9" x14ac:dyDescent="0.3">
      <c r="I3711" s="101" t="str">
        <f t="shared" si="59"/>
        <v/>
      </c>
    </row>
    <row r="3712" spans="9:9" x14ac:dyDescent="0.3">
      <c r="I3712" s="101" t="str">
        <f t="shared" si="59"/>
        <v/>
      </c>
    </row>
    <row r="3713" spans="9:9" x14ac:dyDescent="0.3">
      <c r="I3713" s="101" t="str">
        <f t="shared" si="59"/>
        <v/>
      </c>
    </row>
    <row r="3714" spans="9:9" x14ac:dyDescent="0.3">
      <c r="I3714" s="101" t="str">
        <f t="shared" si="59"/>
        <v/>
      </c>
    </row>
    <row r="3715" spans="9:9" x14ac:dyDescent="0.3">
      <c r="I3715" s="101" t="str">
        <f t="shared" ref="I3715:I3778" si="60">IF(OR(B3715&lt;&gt;B3714,C3715&lt;&gt;C3714),"",IF(E3714=0,"",IF(G3715="UP",(E3715-E3714)/E3714,-((E3715-E3714)/E3714))))</f>
        <v/>
      </c>
    </row>
    <row r="3716" spans="9:9" x14ac:dyDescent="0.3">
      <c r="I3716" s="101" t="str">
        <f t="shared" si="60"/>
        <v/>
      </c>
    </row>
    <row r="3717" spans="9:9" x14ac:dyDescent="0.3">
      <c r="I3717" s="101" t="str">
        <f t="shared" si="60"/>
        <v/>
      </c>
    </row>
    <row r="3718" spans="9:9" x14ac:dyDescent="0.3">
      <c r="I3718" s="101" t="str">
        <f t="shared" si="60"/>
        <v/>
      </c>
    </row>
    <row r="3719" spans="9:9" x14ac:dyDescent="0.3">
      <c r="I3719" s="101" t="str">
        <f t="shared" si="60"/>
        <v/>
      </c>
    </row>
    <row r="3720" spans="9:9" x14ac:dyDescent="0.3">
      <c r="I3720" s="101" t="str">
        <f t="shared" si="60"/>
        <v/>
      </c>
    </row>
    <row r="3721" spans="9:9" x14ac:dyDescent="0.3">
      <c r="I3721" s="101" t="str">
        <f t="shared" si="60"/>
        <v/>
      </c>
    </row>
    <row r="3722" spans="9:9" x14ac:dyDescent="0.3">
      <c r="I3722" s="101" t="str">
        <f t="shared" si="60"/>
        <v/>
      </c>
    </row>
    <row r="3723" spans="9:9" x14ac:dyDescent="0.3">
      <c r="I3723" s="101" t="str">
        <f t="shared" si="60"/>
        <v/>
      </c>
    </row>
    <row r="3724" spans="9:9" x14ac:dyDescent="0.3">
      <c r="I3724" s="101" t="str">
        <f t="shared" si="60"/>
        <v/>
      </c>
    </row>
    <row r="3725" spans="9:9" x14ac:dyDescent="0.3">
      <c r="I3725" s="101" t="str">
        <f t="shared" si="60"/>
        <v/>
      </c>
    </row>
    <row r="3726" spans="9:9" x14ac:dyDescent="0.3">
      <c r="I3726" s="101" t="str">
        <f t="shared" si="60"/>
        <v/>
      </c>
    </row>
    <row r="3727" spans="9:9" x14ac:dyDescent="0.3">
      <c r="I3727" s="101" t="str">
        <f t="shared" si="60"/>
        <v/>
      </c>
    </row>
    <row r="3728" spans="9:9" x14ac:dyDescent="0.3">
      <c r="I3728" s="101" t="str">
        <f t="shared" si="60"/>
        <v/>
      </c>
    </row>
    <row r="3729" spans="9:9" x14ac:dyDescent="0.3">
      <c r="I3729" s="101" t="str">
        <f t="shared" si="60"/>
        <v/>
      </c>
    </row>
    <row r="3730" spans="9:9" x14ac:dyDescent="0.3">
      <c r="I3730" s="101" t="str">
        <f t="shared" si="60"/>
        <v/>
      </c>
    </row>
    <row r="3731" spans="9:9" x14ac:dyDescent="0.3">
      <c r="I3731" s="101" t="str">
        <f t="shared" si="60"/>
        <v/>
      </c>
    </row>
    <row r="3732" spans="9:9" x14ac:dyDescent="0.3">
      <c r="I3732" s="101" t="str">
        <f t="shared" si="60"/>
        <v/>
      </c>
    </row>
    <row r="3733" spans="9:9" x14ac:dyDescent="0.3">
      <c r="I3733" s="101" t="str">
        <f t="shared" si="60"/>
        <v/>
      </c>
    </row>
    <row r="3734" spans="9:9" x14ac:dyDescent="0.3">
      <c r="I3734" s="101" t="str">
        <f t="shared" si="60"/>
        <v/>
      </c>
    </row>
    <row r="3735" spans="9:9" x14ac:dyDescent="0.3">
      <c r="I3735" s="101" t="str">
        <f t="shared" si="60"/>
        <v/>
      </c>
    </row>
    <row r="3736" spans="9:9" x14ac:dyDescent="0.3">
      <c r="I3736" s="101" t="str">
        <f t="shared" si="60"/>
        <v/>
      </c>
    </row>
    <row r="3737" spans="9:9" x14ac:dyDescent="0.3">
      <c r="I3737" s="101" t="str">
        <f t="shared" si="60"/>
        <v/>
      </c>
    </row>
    <row r="3738" spans="9:9" x14ac:dyDescent="0.3">
      <c r="I3738" s="101" t="str">
        <f t="shared" si="60"/>
        <v/>
      </c>
    </row>
    <row r="3739" spans="9:9" x14ac:dyDescent="0.3">
      <c r="I3739" s="101" t="str">
        <f t="shared" si="60"/>
        <v/>
      </c>
    </row>
    <row r="3740" spans="9:9" x14ac:dyDescent="0.3">
      <c r="I3740" s="101" t="str">
        <f t="shared" si="60"/>
        <v/>
      </c>
    </row>
    <row r="3741" spans="9:9" x14ac:dyDescent="0.3">
      <c r="I3741" s="101" t="str">
        <f t="shared" si="60"/>
        <v/>
      </c>
    </row>
    <row r="3742" spans="9:9" x14ac:dyDescent="0.3">
      <c r="I3742" s="101" t="str">
        <f t="shared" si="60"/>
        <v/>
      </c>
    </row>
    <row r="3743" spans="9:9" x14ac:dyDescent="0.3">
      <c r="I3743" s="101" t="str">
        <f t="shared" si="60"/>
        <v/>
      </c>
    </row>
    <row r="3744" spans="9:9" x14ac:dyDescent="0.3">
      <c r="I3744" s="101" t="str">
        <f t="shared" si="60"/>
        <v/>
      </c>
    </row>
    <row r="3745" spans="9:9" x14ac:dyDescent="0.3">
      <c r="I3745" s="101" t="str">
        <f t="shared" si="60"/>
        <v/>
      </c>
    </row>
    <row r="3746" spans="9:9" x14ac:dyDescent="0.3">
      <c r="I3746" s="101" t="str">
        <f t="shared" si="60"/>
        <v/>
      </c>
    </row>
    <row r="3747" spans="9:9" x14ac:dyDescent="0.3">
      <c r="I3747" s="101" t="str">
        <f t="shared" si="60"/>
        <v/>
      </c>
    </row>
    <row r="3748" spans="9:9" x14ac:dyDescent="0.3">
      <c r="I3748" s="101" t="str">
        <f t="shared" si="60"/>
        <v/>
      </c>
    </row>
    <row r="3749" spans="9:9" x14ac:dyDescent="0.3">
      <c r="I3749" s="101" t="str">
        <f t="shared" si="60"/>
        <v/>
      </c>
    </row>
    <row r="3750" spans="9:9" x14ac:dyDescent="0.3">
      <c r="I3750" s="101" t="str">
        <f t="shared" si="60"/>
        <v/>
      </c>
    </row>
    <row r="3751" spans="9:9" x14ac:dyDescent="0.3">
      <c r="I3751" s="101" t="str">
        <f t="shared" si="60"/>
        <v/>
      </c>
    </row>
    <row r="3752" spans="9:9" x14ac:dyDescent="0.3">
      <c r="I3752" s="101" t="str">
        <f t="shared" si="60"/>
        <v/>
      </c>
    </row>
    <row r="3753" spans="9:9" x14ac:dyDescent="0.3">
      <c r="I3753" s="101" t="str">
        <f t="shared" si="60"/>
        <v/>
      </c>
    </row>
    <row r="3754" spans="9:9" x14ac:dyDescent="0.3">
      <c r="I3754" s="101" t="str">
        <f t="shared" si="60"/>
        <v/>
      </c>
    </row>
    <row r="3755" spans="9:9" x14ac:dyDescent="0.3">
      <c r="I3755" s="101" t="str">
        <f t="shared" si="60"/>
        <v/>
      </c>
    </row>
    <row r="3756" spans="9:9" x14ac:dyDescent="0.3">
      <c r="I3756" s="101" t="str">
        <f t="shared" si="60"/>
        <v/>
      </c>
    </row>
    <row r="3757" spans="9:9" x14ac:dyDescent="0.3">
      <c r="I3757" s="101" t="str">
        <f t="shared" si="60"/>
        <v/>
      </c>
    </row>
    <row r="3758" spans="9:9" x14ac:dyDescent="0.3">
      <c r="I3758" s="101" t="str">
        <f t="shared" si="60"/>
        <v/>
      </c>
    </row>
    <row r="3759" spans="9:9" x14ac:dyDescent="0.3">
      <c r="I3759" s="101" t="str">
        <f t="shared" si="60"/>
        <v/>
      </c>
    </row>
    <row r="3760" spans="9:9" x14ac:dyDescent="0.3">
      <c r="I3760" s="101" t="str">
        <f t="shared" si="60"/>
        <v/>
      </c>
    </row>
    <row r="3761" spans="9:9" x14ac:dyDescent="0.3">
      <c r="I3761" s="101" t="str">
        <f t="shared" si="60"/>
        <v/>
      </c>
    </row>
    <row r="3762" spans="9:9" x14ac:dyDescent="0.3">
      <c r="I3762" s="101" t="str">
        <f t="shared" si="60"/>
        <v/>
      </c>
    </row>
    <row r="3763" spans="9:9" x14ac:dyDescent="0.3">
      <c r="I3763" s="101" t="str">
        <f t="shared" si="60"/>
        <v/>
      </c>
    </row>
    <row r="3764" spans="9:9" x14ac:dyDescent="0.3">
      <c r="I3764" s="101" t="str">
        <f t="shared" si="60"/>
        <v/>
      </c>
    </row>
    <row r="3765" spans="9:9" x14ac:dyDescent="0.3">
      <c r="I3765" s="101" t="str">
        <f t="shared" si="60"/>
        <v/>
      </c>
    </row>
    <row r="3766" spans="9:9" x14ac:dyDescent="0.3">
      <c r="I3766" s="101" t="str">
        <f t="shared" si="60"/>
        <v/>
      </c>
    </row>
    <row r="3767" spans="9:9" x14ac:dyDescent="0.3">
      <c r="I3767" s="101" t="str">
        <f t="shared" si="60"/>
        <v/>
      </c>
    </row>
    <row r="3768" spans="9:9" x14ac:dyDescent="0.3">
      <c r="I3768" s="101" t="str">
        <f t="shared" si="60"/>
        <v/>
      </c>
    </row>
    <row r="3769" spans="9:9" x14ac:dyDescent="0.3">
      <c r="I3769" s="101" t="str">
        <f t="shared" si="60"/>
        <v/>
      </c>
    </row>
    <row r="3770" spans="9:9" x14ac:dyDescent="0.3">
      <c r="I3770" s="101" t="str">
        <f t="shared" si="60"/>
        <v/>
      </c>
    </row>
    <row r="3771" spans="9:9" x14ac:dyDescent="0.3">
      <c r="I3771" s="101" t="str">
        <f t="shared" si="60"/>
        <v/>
      </c>
    </row>
    <row r="3772" spans="9:9" x14ac:dyDescent="0.3">
      <c r="I3772" s="101" t="str">
        <f t="shared" si="60"/>
        <v/>
      </c>
    </row>
    <row r="3773" spans="9:9" x14ac:dyDescent="0.3">
      <c r="I3773" s="101" t="str">
        <f t="shared" si="60"/>
        <v/>
      </c>
    </row>
    <row r="3774" spans="9:9" x14ac:dyDescent="0.3">
      <c r="I3774" s="101" t="str">
        <f t="shared" si="60"/>
        <v/>
      </c>
    </row>
    <row r="3775" spans="9:9" x14ac:dyDescent="0.3">
      <c r="I3775" s="101" t="str">
        <f t="shared" si="60"/>
        <v/>
      </c>
    </row>
    <row r="3776" spans="9:9" x14ac:dyDescent="0.3">
      <c r="I3776" s="101" t="str">
        <f t="shared" si="60"/>
        <v/>
      </c>
    </row>
    <row r="3777" spans="9:9" x14ac:dyDescent="0.3">
      <c r="I3777" s="101" t="str">
        <f t="shared" si="60"/>
        <v/>
      </c>
    </row>
    <row r="3778" spans="9:9" x14ac:dyDescent="0.3">
      <c r="I3778" s="101" t="str">
        <f t="shared" si="60"/>
        <v/>
      </c>
    </row>
    <row r="3779" spans="9:9" x14ac:dyDescent="0.3">
      <c r="I3779" s="101" t="str">
        <f t="shared" ref="I3779:I3842" si="61">IF(OR(B3779&lt;&gt;B3778,C3779&lt;&gt;C3778),"",IF(E3778=0,"",IF(G3779="UP",(E3779-E3778)/E3778,-((E3779-E3778)/E3778))))</f>
        <v/>
      </c>
    </row>
    <row r="3780" spans="9:9" x14ac:dyDescent="0.3">
      <c r="I3780" s="101" t="str">
        <f t="shared" si="61"/>
        <v/>
      </c>
    </row>
    <row r="3781" spans="9:9" x14ac:dyDescent="0.3">
      <c r="I3781" s="101" t="str">
        <f t="shared" si="61"/>
        <v/>
      </c>
    </row>
    <row r="3782" spans="9:9" x14ac:dyDescent="0.3">
      <c r="I3782" s="101" t="str">
        <f t="shared" si="61"/>
        <v/>
      </c>
    </row>
    <row r="3783" spans="9:9" x14ac:dyDescent="0.3">
      <c r="I3783" s="101" t="str">
        <f t="shared" si="61"/>
        <v/>
      </c>
    </row>
    <row r="3784" spans="9:9" x14ac:dyDescent="0.3">
      <c r="I3784" s="101" t="str">
        <f t="shared" si="61"/>
        <v/>
      </c>
    </row>
    <row r="3785" spans="9:9" x14ac:dyDescent="0.3">
      <c r="I3785" s="101" t="str">
        <f t="shared" si="61"/>
        <v/>
      </c>
    </row>
    <row r="3786" spans="9:9" x14ac:dyDescent="0.3">
      <c r="I3786" s="101" t="str">
        <f t="shared" si="61"/>
        <v/>
      </c>
    </row>
    <row r="3787" spans="9:9" x14ac:dyDescent="0.3">
      <c r="I3787" s="101" t="str">
        <f t="shared" si="61"/>
        <v/>
      </c>
    </row>
    <row r="3788" spans="9:9" x14ac:dyDescent="0.3">
      <c r="I3788" s="101" t="str">
        <f t="shared" si="61"/>
        <v/>
      </c>
    </row>
    <row r="3789" spans="9:9" x14ac:dyDescent="0.3">
      <c r="I3789" s="101" t="str">
        <f t="shared" si="61"/>
        <v/>
      </c>
    </row>
    <row r="3790" spans="9:9" x14ac:dyDescent="0.3">
      <c r="I3790" s="101" t="str">
        <f t="shared" si="61"/>
        <v/>
      </c>
    </row>
    <row r="3791" spans="9:9" x14ac:dyDescent="0.3">
      <c r="I3791" s="101" t="str">
        <f t="shared" si="61"/>
        <v/>
      </c>
    </row>
    <row r="3792" spans="9:9" x14ac:dyDescent="0.3">
      <c r="I3792" s="101" t="str">
        <f t="shared" si="61"/>
        <v/>
      </c>
    </row>
    <row r="3793" spans="9:9" x14ac:dyDescent="0.3">
      <c r="I3793" s="101" t="str">
        <f t="shared" si="61"/>
        <v/>
      </c>
    </row>
    <row r="3794" spans="9:9" x14ac:dyDescent="0.3">
      <c r="I3794" s="101" t="str">
        <f t="shared" si="61"/>
        <v/>
      </c>
    </row>
    <row r="3795" spans="9:9" x14ac:dyDescent="0.3">
      <c r="I3795" s="101" t="str">
        <f t="shared" si="61"/>
        <v/>
      </c>
    </row>
    <row r="3796" spans="9:9" x14ac:dyDescent="0.3">
      <c r="I3796" s="101" t="str">
        <f t="shared" si="61"/>
        <v/>
      </c>
    </row>
    <row r="3797" spans="9:9" x14ac:dyDescent="0.3">
      <c r="I3797" s="101" t="str">
        <f t="shared" si="61"/>
        <v/>
      </c>
    </row>
    <row r="3798" spans="9:9" x14ac:dyDescent="0.3">
      <c r="I3798" s="101" t="str">
        <f t="shared" si="61"/>
        <v/>
      </c>
    </row>
    <row r="3799" spans="9:9" x14ac:dyDescent="0.3">
      <c r="I3799" s="101" t="str">
        <f t="shared" si="61"/>
        <v/>
      </c>
    </row>
    <row r="3800" spans="9:9" x14ac:dyDescent="0.3">
      <c r="I3800" s="101" t="str">
        <f t="shared" si="61"/>
        <v/>
      </c>
    </row>
    <row r="3801" spans="9:9" x14ac:dyDescent="0.3">
      <c r="I3801" s="101" t="str">
        <f t="shared" si="61"/>
        <v/>
      </c>
    </row>
    <row r="3802" spans="9:9" x14ac:dyDescent="0.3">
      <c r="I3802" s="101" t="str">
        <f t="shared" si="61"/>
        <v/>
      </c>
    </row>
    <row r="3803" spans="9:9" x14ac:dyDescent="0.3">
      <c r="I3803" s="101" t="str">
        <f t="shared" si="61"/>
        <v/>
      </c>
    </row>
    <row r="3804" spans="9:9" x14ac:dyDescent="0.3">
      <c r="I3804" s="101" t="str">
        <f t="shared" si="61"/>
        <v/>
      </c>
    </row>
    <row r="3805" spans="9:9" x14ac:dyDescent="0.3">
      <c r="I3805" s="101" t="str">
        <f t="shared" si="61"/>
        <v/>
      </c>
    </row>
    <row r="3806" spans="9:9" x14ac:dyDescent="0.3">
      <c r="I3806" s="101" t="str">
        <f t="shared" si="61"/>
        <v/>
      </c>
    </row>
    <row r="3807" spans="9:9" x14ac:dyDescent="0.3">
      <c r="I3807" s="101" t="str">
        <f t="shared" si="61"/>
        <v/>
      </c>
    </row>
    <row r="3808" spans="9:9" x14ac:dyDescent="0.3">
      <c r="I3808" s="101" t="str">
        <f t="shared" si="61"/>
        <v/>
      </c>
    </row>
    <row r="3809" spans="9:9" x14ac:dyDescent="0.3">
      <c r="I3809" s="101" t="str">
        <f t="shared" si="61"/>
        <v/>
      </c>
    </row>
    <row r="3810" spans="9:9" x14ac:dyDescent="0.3">
      <c r="I3810" s="101" t="str">
        <f t="shared" si="61"/>
        <v/>
      </c>
    </row>
    <row r="3811" spans="9:9" x14ac:dyDescent="0.3">
      <c r="I3811" s="101" t="str">
        <f t="shared" si="61"/>
        <v/>
      </c>
    </row>
    <row r="3812" spans="9:9" x14ac:dyDescent="0.3">
      <c r="I3812" s="101" t="str">
        <f t="shared" si="61"/>
        <v/>
      </c>
    </row>
    <row r="3813" spans="9:9" x14ac:dyDescent="0.3">
      <c r="I3813" s="101" t="str">
        <f t="shared" si="61"/>
        <v/>
      </c>
    </row>
    <row r="3814" spans="9:9" x14ac:dyDescent="0.3">
      <c r="I3814" s="101" t="str">
        <f t="shared" si="61"/>
        <v/>
      </c>
    </row>
    <row r="3815" spans="9:9" x14ac:dyDescent="0.3">
      <c r="I3815" s="101" t="str">
        <f t="shared" si="61"/>
        <v/>
      </c>
    </row>
    <row r="3816" spans="9:9" x14ac:dyDescent="0.3">
      <c r="I3816" s="101" t="str">
        <f t="shared" si="61"/>
        <v/>
      </c>
    </row>
    <row r="3817" spans="9:9" x14ac:dyDescent="0.3">
      <c r="I3817" s="101" t="str">
        <f t="shared" si="61"/>
        <v/>
      </c>
    </row>
    <row r="3818" spans="9:9" x14ac:dyDescent="0.3">
      <c r="I3818" s="101" t="str">
        <f t="shared" si="61"/>
        <v/>
      </c>
    </row>
    <row r="3819" spans="9:9" x14ac:dyDescent="0.3">
      <c r="I3819" s="101" t="str">
        <f t="shared" si="61"/>
        <v/>
      </c>
    </row>
    <row r="3820" spans="9:9" x14ac:dyDescent="0.3">
      <c r="I3820" s="101" t="str">
        <f t="shared" si="61"/>
        <v/>
      </c>
    </row>
    <row r="3821" spans="9:9" x14ac:dyDescent="0.3">
      <c r="I3821" s="101" t="str">
        <f t="shared" si="61"/>
        <v/>
      </c>
    </row>
    <row r="3822" spans="9:9" x14ac:dyDescent="0.3">
      <c r="I3822" s="101" t="str">
        <f t="shared" si="61"/>
        <v/>
      </c>
    </row>
    <row r="3823" spans="9:9" x14ac:dyDescent="0.3">
      <c r="I3823" s="101" t="str">
        <f t="shared" si="61"/>
        <v/>
      </c>
    </row>
    <row r="3824" spans="9:9" x14ac:dyDescent="0.3">
      <c r="I3824" s="101" t="str">
        <f t="shared" si="61"/>
        <v/>
      </c>
    </row>
    <row r="3825" spans="9:9" x14ac:dyDescent="0.3">
      <c r="I3825" s="101" t="str">
        <f t="shared" si="61"/>
        <v/>
      </c>
    </row>
    <row r="3826" spans="9:9" x14ac:dyDescent="0.3">
      <c r="I3826" s="101" t="str">
        <f t="shared" si="61"/>
        <v/>
      </c>
    </row>
    <row r="3827" spans="9:9" x14ac:dyDescent="0.3">
      <c r="I3827" s="101" t="str">
        <f t="shared" si="61"/>
        <v/>
      </c>
    </row>
    <row r="3828" spans="9:9" x14ac:dyDescent="0.3">
      <c r="I3828" s="101" t="str">
        <f t="shared" si="61"/>
        <v/>
      </c>
    </row>
    <row r="3829" spans="9:9" x14ac:dyDescent="0.3">
      <c r="I3829" s="101" t="str">
        <f t="shared" si="61"/>
        <v/>
      </c>
    </row>
    <row r="3830" spans="9:9" x14ac:dyDescent="0.3">
      <c r="I3830" s="101" t="str">
        <f t="shared" si="61"/>
        <v/>
      </c>
    </row>
    <row r="3831" spans="9:9" x14ac:dyDescent="0.3">
      <c r="I3831" s="101" t="str">
        <f t="shared" si="61"/>
        <v/>
      </c>
    </row>
    <row r="3832" spans="9:9" x14ac:dyDescent="0.3">
      <c r="I3832" s="101" t="str">
        <f t="shared" si="61"/>
        <v/>
      </c>
    </row>
    <row r="3833" spans="9:9" x14ac:dyDescent="0.3">
      <c r="I3833" s="101" t="str">
        <f t="shared" si="61"/>
        <v/>
      </c>
    </row>
    <row r="3834" spans="9:9" x14ac:dyDescent="0.3">
      <c r="I3834" s="101" t="str">
        <f t="shared" si="61"/>
        <v/>
      </c>
    </row>
    <row r="3835" spans="9:9" x14ac:dyDescent="0.3">
      <c r="I3835" s="101" t="str">
        <f t="shared" si="61"/>
        <v/>
      </c>
    </row>
    <row r="3836" spans="9:9" x14ac:dyDescent="0.3">
      <c r="I3836" s="101" t="str">
        <f t="shared" si="61"/>
        <v/>
      </c>
    </row>
    <row r="3837" spans="9:9" x14ac:dyDescent="0.3">
      <c r="I3837" s="101" t="str">
        <f t="shared" si="61"/>
        <v/>
      </c>
    </row>
    <row r="3838" spans="9:9" x14ac:dyDescent="0.3">
      <c r="I3838" s="101" t="str">
        <f t="shared" si="61"/>
        <v/>
      </c>
    </row>
    <row r="3839" spans="9:9" x14ac:dyDescent="0.3">
      <c r="I3839" s="101" t="str">
        <f t="shared" si="61"/>
        <v/>
      </c>
    </row>
    <row r="3840" spans="9:9" x14ac:dyDescent="0.3">
      <c r="I3840" s="101" t="str">
        <f t="shared" si="61"/>
        <v/>
      </c>
    </row>
    <row r="3841" spans="9:9" x14ac:dyDescent="0.3">
      <c r="I3841" s="101" t="str">
        <f t="shared" si="61"/>
        <v/>
      </c>
    </row>
    <row r="3842" spans="9:9" x14ac:dyDescent="0.3">
      <c r="I3842" s="101" t="str">
        <f t="shared" si="61"/>
        <v/>
      </c>
    </row>
    <row r="3843" spans="9:9" x14ac:dyDescent="0.3">
      <c r="I3843" s="101" t="str">
        <f t="shared" ref="I3843:I3906" si="62">IF(OR(B3843&lt;&gt;B3842,C3843&lt;&gt;C3842),"",IF(E3842=0,"",IF(G3843="UP",(E3843-E3842)/E3842,-((E3843-E3842)/E3842))))</f>
        <v/>
      </c>
    </row>
    <row r="3844" spans="9:9" x14ac:dyDescent="0.3">
      <c r="I3844" s="101" t="str">
        <f t="shared" si="62"/>
        <v/>
      </c>
    </row>
    <row r="3845" spans="9:9" x14ac:dyDescent="0.3">
      <c r="I3845" s="101" t="str">
        <f t="shared" si="62"/>
        <v/>
      </c>
    </row>
    <row r="3846" spans="9:9" x14ac:dyDescent="0.3">
      <c r="I3846" s="101" t="str">
        <f t="shared" si="62"/>
        <v/>
      </c>
    </row>
    <row r="3847" spans="9:9" x14ac:dyDescent="0.3">
      <c r="I3847" s="101" t="str">
        <f t="shared" si="62"/>
        <v/>
      </c>
    </row>
    <row r="3848" spans="9:9" x14ac:dyDescent="0.3">
      <c r="I3848" s="101" t="str">
        <f t="shared" si="62"/>
        <v/>
      </c>
    </row>
    <row r="3849" spans="9:9" x14ac:dyDescent="0.3">
      <c r="I3849" s="101" t="str">
        <f t="shared" si="62"/>
        <v/>
      </c>
    </row>
    <row r="3850" spans="9:9" x14ac:dyDescent="0.3">
      <c r="I3850" s="101" t="str">
        <f t="shared" si="62"/>
        <v/>
      </c>
    </row>
    <row r="3851" spans="9:9" x14ac:dyDescent="0.3">
      <c r="I3851" s="101" t="str">
        <f t="shared" si="62"/>
        <v/>
      </c>
    </row>
    <row r="3852" spans="9:9" x14ac:dyDescent="0.3">
      <c r="I3852" s="101" t="str">
        <f t="shared" si="62"/>
        <v/>
      </c>
    </row>
    <row r="3853" spans="9:9" x14ac:dyDescent="0.3">
      <c r="I3853" s="101" t="str">
        <f t="shared" si="62"/>
        <v/>
      </c>
    </row>
    <row r="3854" spans="9:9" x14ac:dyDescent="0.3">
      <c r="I3854" s="101" t="str">
        <f t="shared" si="62"/>
        <v/>
      </c>
    </row>
    <row r="3855" spans="9:9" x14ac:dyDescent="0.3">
      <c r="I3855" s="101" t="str">
        <f t="shared" si="62"/>
        <v/>
      </c>
    </row>
    <row r="3856" spans="9:9" x14ac:dyDescent="0.3">
      <c r="I3856" s="101" t="str">
        <f t="shared" si="62"/>
        <v/>
      </c>
    </row>
    <row r="3857" spans="9:9" x14ac:dyDescent="0.3">
      <c r="I3857" s="101" t="str">
        <f t="shared" si="62"/>
        <v/>
      </c>
    </row>
    <row r="3858" spans="9:9" x14ac:dyDescent="0.3">
      <c r="I3858" s="101" t="str">
        <f t="shared" si="62"/>
        <v/>
      </c>
    </row>
    <row r="3859" spans="9:9" x14ac:dyDescent="0.3">
      <c r="I3859" s="101" t="str">
        <f t="shared" si="62"/>
        <v/>
      </c>
    </row>
    <row r="3860" spans="9:9" x14ac:dyDescent="0.3">
      <c r="I3860" s="101" t="str">
        <f t="shared" si="62"/>
        <v/>
      </c>
    </row>
    <row r="3861" spans="9:9" x14ac:dyDescent="0.3">
      <c r="I3861" s="101" t="str">
        <f t="shared" si="62"/>
        <v/>
      </c>
    </row>
    <row r="3862" spans="9:9" x14ac:dyDescent="0.3">
      <c r="I3862" s="101" t="str">
        <f t="shared" si="62"/>
        <v/>
      </c>
    </row>
    <row r="3863" spans="9:9" x14ac:dyDescent="0.3">
      <c r="I3863" s="101" t="str">
        <f t="shared" si="62"/>
        <v/>
      </c>
    </row>
    <row r="3864" spans="9:9" x14ac:dyDescent="0.3">
      <c r="I3864" s="101" t="str">
        <f t="shared" si="62"/>
        <v/>
      </c>
    </row>
    <row r="3865" spans="9:9" x14ac:dyDescent="0.3">
      <c r="I3865" s="101" t="str">
        <f t="shared" si="62"/>
        <v/>
      </c>
    </row>
    <row r="3866" spans="9:9" x14ac:dyDescent="0.3">
      <c r="I3866" s="101" t="str">
        <f t="shared" si="62"/>
        <v/>
      </c>
    </row>
    <row r="3867" spans="9:9" x14ac:dyDescent="0.3">
      <c r="I3867" s="101" t="str">
        <f t="shared" si="62"/>
        <v/>
      </c>
    </row>
    <row r="3868" spans="9:9" x14ac:dyDescent="0.3">
      <c r="I3868" s="101" t="str">
        <f t="shared" si="62"/>
        <v/>
      </c>
    </row>
    <row r="3869" spans="9:9" x14ac:dyDescent="0.3">
      <c r="I3869" s="101" t="str">
        <f t="shared" si="62"/>
        <v/>
      </c>
    </row>
    <row r="3870" spans="9:9" x14ac:dyDescent="0.3">
      <c r="I3870" s="101" t="str">
        <f t="shared" si="62"/>
        <v/>
      </c>
    </row>
    <row r="3871" spans="9:9" x14ac:dyDescent="0.3">
      <c r="I3871" s="101" t="str">
        <f t="shared" si="62"/>
        <v/>
      </c>
    </row>
    <row r="3872" spans="9:9" x14ac:dyDescent="0.3">
      <c r="I3872" s="101" t="str">
        <f t="shared" si="62"/>
        <v/>
      </c>
    </row>
    <row r="3873" spans="9:9" x14ac:dyDescent="0.3">
      <c r="I3873" s="101" t="str">
        <f t="shared" si="62"/>
        <v/>
      </c>
    </row>
    <row r="3874" spans="9:9" x14ac:dyDescent="0.3">
      <c r="I3874" s="101" t="str">
        <f t="shared" si="62"/>
        <v/>
      </c>
    </row>
    <row r="3875" spans="9:9" x14ac:dyDescent="0.3">
      <c r="I3875" s="101" t="str">
        <f t="shared" si="62"/>
        <v/>
      </c>
    </row>
    <row r="3876" spans="9:9" x14ac:dyDescent="0.3">
      <c r="I3876" s="101" t="str">
        <f t="shared" si="62"/>
        <v/>
      </c>
    </row>
    <row r="3877" spans="9:9" x14ac:dyDescent="0.3">
      <c r="I3877" s="101" t="str">
        <f t="shared" si="62"/>
        <v/>
      </c>
    </row>
    <row r="3878" spans="9:9" x14ac:dyDescent="0.3">
      <c r="I3878" s="101" t="str">
        <f t="shared" si="62"/>
        <v/>
      </c>
    </row>
    <row r="3879" spans="9:9" x14ac:dyDescent="0.3">
      <c r="I3879" s="101" t="str">
        <f t="shared" si="62"/>
        <v/>
      </c>
    </row>
    <row r="3880" spans="9:9" x14ac:dyDescent="0.3">
      <c r="I3880" s="101" t="str">
        <f t="shared" si="62"/>
        <v/>
      </c>
    </row>
    <row r="3881" spans="9:9" x14ac:dyDescent="0.3">
      <c r="I3881" s="101" t="str">
        <f t="shared" si="62"/>
        <v/>
      </c>
    </row>
    <row r="3882" spans="9:9" x14ac:dyDescent="0.3">
      <c r="I3882" s="101" t="str">
        <f t="shared" si="62"/>
        <v/>
      </c>
    </row>
    <row r="3883" spans="9:9" x14ac:dyDescent="0.3">
      <c r="I3883" s="101" t="str">
        <f t="shared" si="62"/>
        <v/>
      </c>
    </row>
    <row r="3884" spans="9:9" x14ac:dyDescent="0.3">
      <c r="I3884" s="101" t="str">
        <f t="shared" si="62"/>
        <v/>
      </c>
    </row>
    <row r="3885" spans="9:9" x14ac:dyDescent="0.3">
      <c r="I3885" s="101" t="str">
        <f t="shared" si="62"/>
        <v/>
      </c>
    </row>
    <row r="3886" spans="9:9" x14ac:dyDescent="0.3">
      <c r="I3886" s="101" t="str">
        <f t="shared" si="62"/>
        <v/>
      </c>
    </row>
    <row r="3887" spans="9:9" x14ac:dyDescent="0.3">
      <c r="I3887" s="101" t="str">
        <f t="shared" si="62"/>
        <v/>
      </c>
    </row>
    <row r="3888" spans="9:9" x14ac:dyDescent="0.3">
      <c r="I3888" s="101" t="str">
        <f t="shared" si="62"/>
        <v/>
      </c>
    </row>
    <row r="3889" spans="9:9" x14ac:dyDescent="0.3">
      <c r="I3889" s="101" t="str">
        <f t="shared" si="62"/>
        <v/>
      </c>
    </row>
    <row r="3890" spans="9:9" x14ac:dyDescent="0.3">
      <c r="I3890" s="101" t="str">
        <f t="shared" si="62"/>
        <v/>
      </c>
    </row>
    <row r="3891" spans="9:9" x14ac:dyDescent="0.3">
      <c r="I3891" s="101" t="str">
        <f t="shared" si="62"/>
        <v/>
      </c>
    </row>
    <row r="3892" spans="9:9" x14ac:dyDescent="0.3">
      <c r="I3892" s="101" t="str">
        <f t="shared" si="62"/>
        <v/>
      </c>
    </row>
    <row r="3893" spans="9:9" x14ac:dyDescent="0.3">
      <c r="I3893" s="101" t="str">
        <f t="shared" si="62"/>
        <v/>
      </c>
    </row>
    <row r="3894" spans="9:9" x14ac:dyDescent="0.3">
      <c r="I3894" s="101" t="str">
        <f t="shared" si="62"/>
        <v/>
      </c>
    </row>
    <row r="3895" spans="9:9" x14ac:dyDescent="0.3">
      <c r="I3895" s="101" t="str">
        <f t="shared" si="62"/>
        <v/>
      </c>
    </row>
    <row r="3896" spans="9:9" x14ac:dyDescent="0.3">
      <c r="I3896" s="101" t="str">
        <f t="shared" si="62"/>
        <v/>
      </c>
    </row>
    <row r="3897" spans="9:9" x14ac:dyDescent="0.3">
      <c r="I3897" s="101" t="str">
        <f t="shared" si="62"/>
        <v/>
      </c>
    </row>
    <row r="3898" spans="9:9" x14ac:dyDescent="0.3">
      <c r="I3898" s="101" t="str">
        <f t="shared" si="62"/>
        <v/>
      </c>
    </row>
    <row r="3899" spans="9:9" x14ac:dyDescent="0.3">
      <c r="I3899" s="101" t="str">
        <f t="shared" si="62"/>
        <v/>
      </c>
    </row>
    <row r="3900" spans="9:9" x14ac:dyDescent="0.3">
      <c r="I3900" s="101" t="str">
        <f t="shared" si="62"/>
        <v/>
      </c>
    </row>
    <row r="3901" spans="9:9" x14ac:dyDescent="0.3">
      <c r="I3901" s="101" t="str">
        <f t="shared" si="62"/>
        <v/>
      </c>
    </row>
    <row r="3902" spans="9:9" x14ac:dyDescent="0.3">
      <c r="I3902" s="101" t="str">
        <f t="shared" si="62"/>
        <v/>
      </c>
    </row>
    <row r="3903" spans="9:9" x14ac:dyDescent="0.3">
      <c r="I3903" s="101" t="str">
        <f t="shared" si="62"/>
        <v/>
      </c>
    </row>
    <row r="3904" spans="9:9" x14ac:dyDescent="0.3">
      <c r="I3904" s="101" t="str">
        <f t="shared" si="62"/>
        <v/>
      </c>
    </row>
    <row r="3905" spans="9:9" x14ac:dyDescent="0.3">
      <c r="I3905" s="101" t="str">
        <f t="shared" si="62"/>
        <v/>
      </c>
    </row>
    <row r="3906" spans="9:9" x14ac:dyDescent="0.3">
      <c r="I3906" s="101" t="str">
        <f t="shared" si="62"/>
        <v/>
      </c>
    </row>
    <row r="3907" spans="9:9" x14ac:dyDescent="0.3">
      <c r="I3907" s="101" t="str">
        <f t="shared" ref="I3907:I3970" si="63">IF(OR(B3907&lt;&gt;B3906,C3907&lt;&gt;C3906),"",IF(E3906=0,"",IF(G3907="UP",(E3907-E3906)/E3906,-((E3907-E3906)/E3906))))</f>
        <v/>
      </c>
    </row>
    <row r="3908" spans="9:9" x14ac:dyDescent="0.3">
      <c r="I3908" s="101" t="str">
        <f t="shared" si="63"/>
        <v/>
      </c>
    </row>
    <row r="3909" spans="9:9" x14ac:dyDescent="0.3">
      <c r="I3909" s="101" t="str">
        <f t="shared" si="63"/>
        <v/>
      </c>
    </row>
    <row r="3910" spans="9:9" x14ac:dyDescent="0.3">
      <c r="I3910" s="101" t="str">
        <f t="shared" si="63"/>
        <v/>
      </c>
    </row>
    <row r="3911" spans="9:9" x14ac:dyDescent="0.3">
      <c r="I3911" s="101" t="str">
        <f t="shared" si="63"/>
        <v/>
      </c>
    </row>
    <row r="3912" spans="9:9" x14ac:dyDescent="0.3">
      <c r="I3912" s="101" t="str">
        <f t="shared" si="63"/>
        <v/>
      </c>
    </row>
    <row r="3913" spans="9:9" x14ac:dyDescent="0.3">
      <c r="I3913" s="101" t="str">
        <f t="shared" si="63"/>
        <v/>
      </c>
    </row>
    <row r="3914" spans="9:9" x14ac:dyDescent="0.3">
      <c r="I3914" s="101" t="str">
        <f t="shared" si="63"/>
        <v/>
      </c>
    </row>
    <row r="3915" spans="9:9" x14ac:dyDescent="0.3">
      <c r="I3915" s="101" t="str">
        <f t="shared" si="63"/>
        <v/>
      </c>
    </row>
    <row r="3916" spans="9:9" x14ac:dyDescent="0.3">
      <c r="I3916" s="101" t="str">
        <f t="shared" si="63"/>
        <v/>
      </c>
    </row>
    <row r="3917" spans="9:9" x14ac:dyDescent="0.3">
      <c r="I3917" s="101" t="str">
        <f t="shared" si="63"/>
        <v/>
      </c>
    </row>
    <row r="3918" spans="9:9" x14ac:dyDescent="0.3">
      <c r="I3918" s="101" t="str">
        <f t="shared" si="63"/>
        <v/>
      </c>
    </row>
    <row r="3919" spans="9:9" x14ac:dyDescent="0.3">
      <c r="I3919" s="101" t="str">
        <f t="shared" si="63"/>
        <v/>
      </c>
    </row>
    <row r="3920" spans="9:9" x14ac:dyDescent="0.3">
      <c r="I3920" s="101" t="str">
        <f t="shared" si="63"/>
        <v/>
      </c>
    </row>
    <row r="3921" spans="9:9" x14ac:dyDescent="0.3">
      <c r="I3921" s="101" t="str">
        <f t="shared" si="63"/>
        <v/>
      </c>
    </row>
    <row r="3922" spans="9:9" x14ac:dyDescent="0.3">
      <c r="I3922" s="101" t="str">
        <f t="shared" si="63"/>
        <v/>
      </c>
    </row>
    <row r="3923" spans="9:9" x14ac:dyDescent="0.3">
      <c r="I3923" s="101" t="str">
        <f t="shared" si="63"/>
        <v/>
      </c>
    </row>
    <row r="3924" spans="9:9" x14ac:dyDescent="0.3">
      <c r="I3924" s="101" t="str">
        <f t="shared" si="63"/>
        <v/>
      </c>
    </row>
    <row r="3925" spans="9:9" x14ac:dyDescent="0.3">
      <c r="I3925" s="101" t="str">
        <f t="shared" si="63"/>
        <v/>
      </c>
    </row>
    <row r="3926" spans="9:9" x14ac:dyDescent="0.3">
      <c r="I3926" s="101" t="str">
        <f t="shared" si="63"/>
        <v/>
      </c>
    </row>
    <row r="3927" spans="9:9" x14ac:dyDescent="0.3">
      <c r="I3927" s="101" t="str">
        <f t="shared" si="63"/>
        <v/>
      </c>
    </row>
    <row r="3928" spans="9:9" x14ac:dyDescent="0.3">
      <c r="I3928" s="101" t="str">
        <f t="shared" si="63"/>
        <v/>
      </c>
    </row>
    <row r="3929" spans="9:9" x14ac:dyDescent="0.3">
      <c r="I3929" s="101" t="str">
        <f t="shared" si="63"/>
        <v/>
      </c>
    </row>
    <row r="3930" spans="9:9" x14ac:dyDescent="0.3">
      <c r="I3930" s="101" t="str">
        <f t="shared" si="63"/>
        <v/>
      </c>
    </row>
    <row r="3931" spans="9:9" x14ac:dyDescent="0.3">
      <c r="I3931" s="101" t="str">
        <f t="shared" si="63"/>
        <v/>
      </c>
    </row>
    <row r="3932" spans="9:9" x14ac:dyDescent="0.3">
      <c r="I3932" s="101" t="str">
        <f t="shared" si="63"/>
        <v/>
      </c>
    </row>
    <row r="3933" spans="9:9" x14ac:dyDescent="0.3">
      <c r="I3933" s="101" t="str">
        <f t="shared" si="63"/>
        <v/>
      </c>
    </row>
    <row r="3934" spans="9:9" x14ac:dyDescent="0.3">
      <c r="I3934" s="101" t="str">
        <f t="shared" si="63"/>
        <v/>
      </c>
    </row>
    <row r="3935" spans="9:9" x14ac:dyDescent="0.3">
      <c r="I3935" s="101" t="str">
        <f t="shared" si="63"/>
        <v/>
      </c>
    </row>
    <row r="3936" spans="9:9" x14ac:dyDescent="0.3">
      <c r="I3936" s="101" t="str">
        <f t="shared" si="63"/>
        <v/>
      </c>
    </row>
    <row r="3937" spans="9:9" x14ac:dyDescent="0.3">
      <c r="I3937" s="101" t="str">
        <f t="shared" si="63"/>
        <v/>
      </c>
    </row>
    <row r="3938" spans="9:9" x14ac:dyDescent="0.3">
      <c r="I3938" s="101" t="str">
        <f t="shared" si="63"/>
        <v/>
      </c>
    </row>
    <row r="3939" spans="9:9" x14ac:dyDescent="0.3">
      <c r="I3939" s="101" t="str">
        <f t="shared" si="63"/>
        <v/>
      </c>
    </row>
    <row r="3940" spans="9:9" x14ac:dyDescent="0.3">
      <c r="I3940" s="101" t="str">
        <f t="shared" si="63"/>
        <v/>
      </c>
    </row>
    <row r="3941" spans="9:9" x14ac:dyDescent="0.3">
      <c r="I3941" s="101" t="str">
        <f t="shared" si="63"/>
        <v/>
      </c>
    </row>
    <row r="3942" spans="9:9" x14ac:dyDescent="0.3">
      <c r="I3942" s="101" t="str">
        <f t="shared" si="63"/>
        <v/>
      </c>
    </row>
    <row r="3943" spans="9:9" x14ac:dyDescent="0.3">
      <c r="I3943" s="101" t="str">
        <f t="shared" si="63"/>
        <v/>
      </c>
    </row>
    <row r="3944" spans="9:9" x14ac:dyDescent="0.3">
      <c r="I3944" s="101" t="str">
        <f t="shared" si="63"/>
        <v/>
      </c>
    </row>
    <row r="3945" spans="9:9" x14ac:dyDescent="0.3">
      <c r="I3945" s="101" t="str">
        <f t="shared" si="63"/>
        <v/>
      </c>
    </row>
    <row r="3946" spans="9:9" x14ac:dyDescent="0.3">
      <c r="I3946" s="101" t="str">
        <f t="shared" si="63"/>
        <v/>
      </c>
    </row>
    <row r="3947" spans="9:9" x14ac:dyDescent="0.3">
      <c r="I3947" s="101" t="str">
        <f t="shared" si="63"/>
        <v/>
      </c>
    </row>
    <row r="3948" spans="9:9" x14ac:dyDescent="0.3">
      <c r="I3948" s="101" t="str">
        <f t="shared" si="63"/>
        <v/>
      </c>
    </row>
    <row r="3949" spans="9:9" x14ac:dyDescent="0.3">
      <c r="I3949" s="101" t="str">
        <f t="shared" si="63"/>
        <v/>
      </c>
    </row>
    <row r="3950" spans="9:9" x14ac:dyDescent="0.3">
      <c r="I3950" s="101" t="str">
        <f t="shared" si="63"/>
        <v/>
      </c>
    </row>
    <row r="3951" spans="9:9" x14ac:dyDescent="0.3">
      <c r="I3951" s="101" t="str">
        <f t="shared" si="63"/>
        <v/>
      </c>
    </row>
    <row r="3952" spans="9:9" x14ac:dyDescent="0.3">
      <c r="I3952" s="101" t="str">
        <f t="shared" si="63"/>
        <v/>
      </c>
    </row>
    <row r="3953" spans="9:9" x14ac:dyDescent="0.3">
      <c r="I3953" s="101" t="str">
        <f t="shared" si="63"/>
        <v/>
      </c>
    </row>
    <row r="3954" spans="9:9" x14ac:dyDescent="0.3">
      <c r="I3954" s="101" t="str">
        <f t="shared" si="63"/>
        <v/>
      </c>
    </row>
    <row r="3955" spans="9:9" x14ac:dyDescent="0.3">
      <c r="I3955" s="101" t="str">
        <f t="shared" si="63"/>
        <v/>
      </c>
    </row>
    <row r="3956" spans="9:9" x14ac:dyDescent="0.3">
      <c r="I3956" s="101" t="str">
        <f t="shared" si="63"/>
        <v/>
      </c>
    </row>
    <row r="3957" spans="9:9" x14ac:dyDescent="0.3">
      <c r="I3957" s="101" t="str">
        <f t="shared" si="63"/>
        <v/>
      </c>
    </row>
    <row r="3958" spans="9:9" x14ac:dyDescent="0.3">
      <c r="I3958" s="101" t="str">
        <f t="shared" si="63"/>
        <v/>
      </c>
    </row>
    <row r="3959" spans="9:9" x14ac:dyDescent="0.3">
      <c r="I3959" s="101" t="str">
        <f t="shared" si="63"/>
        <v/>
      </c>
    </row>
    <row r="3960" spans="9:9" x14ac:dyDescent="0.3">
      <c r="I3960" s="101" t="str">
        <f t="shared" si="63"/>
        <v/>
      </c>
    </row>
    <row r="3961" spans="9:9" x14ac:dyDescent="0.3">
      <c r="I3961" s="101" t="str">
        <f t="shared" si="63"/>
        <v/>
      </c>
    </row>
    <row r="3962" spans="9:9" x14ac:dyDescent="0.3">
      <c r="I3962" s="101" t="str">
        <f t="shared" si="63"/>
        <v/>
      </c>
    </row>
    <row r="3963" spans="9:9" x14ac:dyDescent="0.3">
      <c r="I3963" s="101" t="str">
        <f t="shared" si="63"/>
        <v/>
      </c>
    </row>
    <row r="3964" spans="9:9" x14ac:dyDescent="0.3">
      <c r="I3964" s="101" t="str">
        <f t="shared" si="63"/>
        <v/>
      </c>
    </row>
    <row r="3965" spans="9:9" x14ac:dyDescent="0.3">
      <c r="I3965" s="101" t="str">
        <f t="shared" si="63"/>
        <v/>
      </c>
    </row>
    <row r="3966" spans="9:9" x14ac:dyDescent="0.3">
      <c r="I3966" s="101" t="str">
        <f t="shared" si="63"/>
        <v/>
      </c>
    </row>
    <row r="3967" spans="9:9" x14ac:dyDescent="0.3">
      <c r="I3967" s="101" t="str">
        <f t="shared" si="63"/>
        <v/>
      </c>
    </row>
    <row r="3968" spans="9:9" x14ac:dyDescent="0.3">
      <c r="I3968" s="101" t="str">
        <f t="shared" si="63"/>
        <v/>
      </c>
    </row>
    <row r="3969" spans="9:9" x14ac:dyDescent="0.3">
      <c r="I3969" s="101" t="str">
        <f t="shared" si="63"/>
        <v/>
      </c>
    </row>
    <row r="3970" spans="9:9" x14ac:dyDescent="0.3">
      <c r="I3970" s="101" t="str">
        <f t="shared" si="63"/>
        <v/>
      </c>
    </row>
    <row r="3971" spans="9:9" x14ac:dyDescent="0.3">
      <c r="I3971" s="101" t="str">
        <f t="shared" ref="I3971:I4034" si="64">IF(OR(B3971&lt;&gt;B3970,C3971&lt;&gt;C3970),"",IF(E3970=0,"",IF(G3971="UP",(E3971-E3970)/E3970,-((E3971-E3970)/E3970))))</f>
        <v/>
      </c>
    </row>
    <row r="3972" spans="9:9" x14ac:dyDescent="0.3">
      <c r="I3972" s="101" t="str">
        <f t="shared" si="64"/>
        <v/>
      </c>
    </row>
    <row r="3973" spans="9:9" x14ac:dyDescent="0.3">
      <c r="I3973" s="101" t="str">
        <f t="shared" si="64"/>
        <v/>
      </c>
    </row>
    <row r="3974" spans="9:9" x14ac:dyDescent="0.3">
      <c r="I3974" s="101" t="str">
        <f t="shared" si="64"/>
        <v/>
      </c>
    </row>
    <row r="3975" spans="9:9" x14ac:dyDescent="0.3">
      <c r="I3975" s="101" t="str">
        <f t="shared" si="64"/>
        <v/>
      </c>
    </row>
    <row r="3976" spans="9:9" x14ac:dyDescent="0.3">
      <c r="I3976" s="101" t="str">
        <f t="shared" si="64"/>
        <v/>
      </c>
    </row>
    <row r="3977" spans="9:9" x14ac:dyDescent="0.3">
      <c r="I3977" s="101" t="str">
        <f t="shared" si="64"/>
        <v/>
      </c>
    </row>
    <row r="3978" spans="9:9" x14ac:dyDescent="0.3">
      <c r="I3978" s="101" t="str">
        <f t="shared" si="64"/>
        <v/>
      </c>
    </row>
    <row r="3979" spans="9:9" x14ac:dyDescent="0.3">
      <c r="I3979" s="101" t="str">
        <f t="shared" si="64"/>
        <v/>
      </c>
    </row>
    <row r="3980" spans="9:9" x14ac:dyDescent="0.3">
      <c r="I3980" s="101" t="str">
        <f t="shared" si="64"/>
        <v/>
      </c>
    </row>
    <row r="3981" spans="9:9" x14ac:dyDescent="0.3">
      <c r="I3981" s="101" t="str">
        <f t="shared" si="64"/>
        <v/>
      </c>
    </row>
    <row r="3982" spans="9:9" x14ac:dyDescent="0.3">
      <c r="I3982" s="101" t="str">
        <f t="shared" si="64"/>
        <v/>
      </c>
    </row>
    <row r="3983" spans="9:9" x14ac:dyDescent="0.3">
      <c r="I3983" s="101" t="str">
        <f t="shared" si="64"/>
        <v/>
      </c>
    </row>
    <row r="3984" spans="9:9" x14ac:dyDescent="0.3">
      <c r="I3984" s="101" t="str">
        <f t="shared" si="64"/>
        <v/>
      </c>
    </row>
    <row r="3985" spans="9:9" x14ac:dyDescent="0.3">
      <c r="I3985" s="101" t="str">
        <f t="shared" si="64"/>
        <v/>
      </c>
    </row>
    <row r="3986" spans="9:9" x14ac:dyDescent="0.3">
      <c r="I3986" s="101" t="str">
        <f t="shared" si="64"/>
        <v/>
      </c>
    </row>
    <row r="3987" spans="9:9" x14ac:dyDescent="0.3">
      <c r="I3987" s="101" t="str">
        <f t="shared" si="64"/>
        <v/>
      </c>
    </row>
    <row r="3988" spans="9:9" x14ac:dyDescent="0.3">
      <c r="I3988" s="101" t="str">
        <f t="shared" si="64"/>
        <v/>
      </c>
    </row>
    <row r="3989" spans="9:9" x14ac:dyDescent="0.3">
      <c r="I3989" s="101" t="str">
        <f t="shared" si="64"/>
        <v/>
      </c>
    </row>
    <row r="3990" spans="9:9" x14ac:dyDescent="0.3">
      <c r="I3990" s="101" t="str">
        <f t="shared" si="64"/>
        <v/>
      </c>
    </row>
    <row r="3991" spans="9:9" x14ac:dyDescent="0.3">
      <c r="I3991" s="101" t="str">
        <f t="shared" si="64"/>
        <v/>
      </c>
    </row>
    <row r="3992" spans="9:9" x14ac:dyDescent="0.3">
      <c r="I3992" s="101" t="str">
        <f t="shared" si="64"/>
        <v/>
      </c>
    </row>
    <row r="3993" spans="9:9" x14ac:dyDescent="0.3">
      <c r="I3993" s="101" t="str">
        <f t="shared" si="64"/>
        <v/>
      </c>
    </row>
    <row r="3994" spans="9:9" x14ac:dyDescent="0.3">
      <c r="I3994" s="101" t="str">
        <f t="shared" si="64"/>
        <v/>
      </c>
    </row>
    <row r="3995" spans="9:9" x14ac:dyDescent="0.3">
      <c r="I3995" s="101" t="str">
        <f t="shared" si="64"/>
        <v/>
      </c>
    </row>
    <row r="3996" spans="9:9" x14ac:dyDescent="0.3">
      <c r="I3996" s="101" t="str">
        <f t="shared" si="64"/>
        <v/>
      </c>
    </row>
    <row r="3997" spans="9:9" x14ac:dyDescent="0.3">
      <c r="I3997" s="101" t="str">
        <f t="shared" si="64"/>
        <v/>
      </c>
    </row>
    <row r="3998" spans="9:9" x14ac:dyDescent="0.3">
      <c r="I3998" s="101" t="str">
        <f t="shared" si="64"/>
        <v/>
      </c>
    </row>
    <row r="3999" spans="9:9" x14ac:dyDescent="0.3">
      <c r="I3999" s="101" t="str">
        <f t="shared" si="64"/>
        <v/>
      </c>
    </row>
    <row r="4000" spans="9:9" x14ac:dyDescent="0.3">
      <c r="I4000" s="101" t="str">
        <f t="shared" si="64"/>
        <v/>
      </c>
    </row>
    <row r="4001" spans="9:9" x14ac:dyDescent="0.3">
      <c r="I4001" s="101" t="str">
        <f t="shared" si="64"/>
        <v/>
      </c>
    </row>
    <row r="4002" spans="9:9" x14ac:dyDescent="0.3">
      <c r="I4002" s="101" t="str">
        <f t="shared" si="64"/>
        <v/>
      </c>
    </row>
    <row r="4003" spans="9:9" x14ac:dyDescent="0.3">
      <c r="I4003" s="101" t="str">
        <f t="shared" si="64"/>
        <v/>
      </c>
    </row>
    <row r="4004" spans="9:9" x14ac:dyDescent="0.3">
      <c r="I4004" s="101" t="str">
        <f t="shared" si="64"/>
        <v/>
      </c>
    </row>
    <row r="4005" spans="9:9" x14ac:dyDescent="0.3">
      <c r="I4005" s="101" t="str">
        <f t="shared" si="64"/>
        <v/>
      </c>
    </row>
    <row r="4006" spans="9:9" x14ac:dyDescent="0.3">
      <c r="I4006" s="101" t="str">
        <f t="shared" si="64"/>
        <v/>
      </c>
    </row>
    <row r="4007" spans="9:9" x14ac:dyDescent="0.3">
      <c r="I4007" s="101" t="str">
        <f t="shared" si="64"/>
        <v/>
      </c>
    </row>
    <row r="4008" spans="9:9" x14ac:dyDescent="0.3">
      <c r="I4008" s="101" t="str">
        <f t="shared" si="64"/>
        <v/>
      </c>
    </row>
    <row r="4009" spans="9:9" x14ac:dyDescent="0.3">
      <c r="I4009" s="101" t="str">
        <f t="shared" si="64"/>
        <v/>
      </c>
    </row>
    <row r="4010" spans="9:9" x14ac:dyDescent="0.3">
      <c r="I4010" s="101" t="str">
        <f t="shared" si="64"/>
        <v/>
      </c>
    </row>
    <row r="4011" spans="9:9" x14ac:dyDescent="0.3">
      <c r="I4011" s="101" t="str">
        <f t="shared" si="64"/>
        <v/>
      </c>
    </row>
    <row r="4012" spans="9:9" x14ac:dyDescent="0.3">
      <c r="I4012" s="101" t="str">
        <f t="shared" si="64"/>
        <v/>
      </c>
    </row>
    <row r="4013" spans="9:9" x14ac:dyDescent="0.3">
      <c r="I4013" s="101" t="str">
        <f t="shared" si="64"/>
        <v/>
      </c>
    </row>
    <row r="4014" spans="9:9" x14ac:dyDescent="0.3">
      <c r="I4014" s="101" t="str">
        <f t="shared" si="64"/>
        <v/>
      </c>
    </row>
    <row r="4015" spans="9:9" x14ac:dyDescent="0.3">
      <c r="I4015" s="101" t="str">
        <f t="shared" si="64"/>
        <v/>
      </c>
    </row>
    <row r="4016" spans="9:9" x14ac:dyDescent="0.3">
      <c r="I4016" s="101" t="str">
        <f t="shared" si="64"/>
        <v/>
      </c>
    </row>
    <row r="4017" spans="9:9" x14ac:dyDescent="0.3">
      <c r="I4017" s="101" t="str">
        <f t="shared" si="64"/>
        <v/>
      </c>
    </row>
    <row r="4018" spans="9:9" x14ac:dyDescent="0.3">
      <c r="I4018" s="101" t="str">
        <f t="shared" si="64"/>
        <v/>
      </c>
    </row>
    <row r="4019" spans="9:9" x14ac:dyDescent="0.3">
      <c r="I4019" s="101" t="str">
        <f t="shared" si="64"/>
        <v/>
      </c>
    </row>
    <row r="4020" spans="9:9" x14ac:dyDescent="0.3">
      <c r="I4020" s="101" t="str">
        <f t="shared" si="64"/>
        <v/>
      </c>
    </row>
    <row r="4021" spans="9:9" x14ac:dyDescent="0.3">
      <c r="I4021" s="101" t="str">
        <f t="shared" si="64"/>
        <v/>
      </c>
    </row>
    <row r="4022" spans="9:9" x14ac:dyDescent="0.3">
      <c r="I4022" s="101" t="str">
        <f t="shared" si="64"/>
        <v/>
      </c>
    </row>
    <row r="4023" spans="9:9" x14ac:dyDescent="0.3">
      <c r="I4023" s="101" t="str">
        <f t="shared" si="64"/>
        <v/>
      </c>
    </row>
    <row r="4024" spans="9:9" x14ac:dyDescent="0.3">
      <c r="I4024" s="101" t="str">
        <f t="shared" si="64"/>
        <v/>
      </c>
    </row>
    <row r="4025" spans="9:9" x14ac:dyDescent="0.3">
      <c r="I4025" s="101" t="str">
        <f t="shared" si="64"/>
        <v/>
      </c>
    </row>
    <row r="4026" spans="9:9" x14ac:dyDescent="0.3">
      <c r="I4026" s="101" t="str">
        <f t="shared" si="64"/>
        <v/>
      </c>
    </row>
    <row r="4027" spans="9:9" x14ac:dyDescent="0.3">
      <c r="I4027" s="101" t="str">
        <f t="shared" si="64"/>
        <v/>
      </c>
    </row>
    <row r="4028" spans="9:9" x14ac:dyDescent="0.3">
      <c r="I4028" s="101" t="str">
        <f t="shared" si="64"/>
        <v/>
      </c>
    </row>
    <row r="4029" spans="9:9" x14ac:dyDescent="0.3">
      <c r="I4029" s="101" t="str">
        <f t="shared" si="64"/>
        <v/>
      </c>
    </row>
    <row r="4030" spans="9:9" x14ac:dyDescent="0.3">
      <c r="I4030" s="101" t="str">
        <f t="shared" si="64"/>
        <v/>
      </c>
    </row>
    <row r="4031" spans="9:9" x14ac:dyDescent="0.3">
      <c r="I4031" s="101" t="str">
        <f t="shared" si="64"/>
        <v/>
      </c>
    </row>
    <row r="4032" spans="9:9" x14ac:dyDescent="0.3">
      <c r="I4032" s="101" t="str">
        <f t="shared" si="64"/>
        <v/>
      </c>
    </row>
    <row r="4033" spans="9:9" x14ac:dyDescent="0.3">
      <c r="I4033" s="101" t="str">
        <f t="shared" si="64"/>
        <v/>
      </c>
    </row>
    <row r="4034" spans="9:9" x14ac:dyDescent="0.3">
      <c r="I4034" s="101" t="str">
        <f t="shared" si="64"/>
        <v/>
      </c>
    </row>
    <row r="4035" spans="9:9" x14ac:dyDescent="0.3">
      <c r="I4035" s="101" t="str">
        <f t="shared" ref="I4035:I4098" si="65">IF(OR(B4035&lt;&gt;B4034,C4035&lt;&gt;C4034),"",IF(E4034=0,"",IF(G4035="UP",(E4035-E4034)/E4034,-((E4035-E4034)/E4034))))</f>
        <v/>
      </c>
    </row>
    <row r="4036" spans="9:9" x14ac:dyDescent="0.3">
      <c r="I4036" s="101" t="str">
        <f t="shared" si="65"/>
        <v/>
      </c>
    </row>
    <row r="4037" spans="9:9" x14ac:dyDescent="0.3">
      <c r="I4037" s="101" t="str">
        <f t="shared" si="65"/>
        <v/>
      </c>
    </row>
    <row r="4038" spans="9:9" x14ac:dyDescent="0.3">
      <c r="I4038" s="101" t="str">
        <f t="shared" si="65"/>
        <v/>
      </c>
    </row>
    <row r="4039" spans="9:9" x14ac:dyDescent="0.3">
      <c r="I4039" s="101" t="str">
        <f t="shared" si="65"/>
        <v/>
      </c>
    </row>
    <row r="4040" spans="9:9" x14ac:dyDescent="0.3">
      <c r="I4040" s="101" t="str">
        <f t="shared" si="65"/>
        <v/>
      </c>
    </row>
    <row r="4041" spans="9:9" x14ac:dyDescent="0.3">
      <c r="I4041" s="101" t="str">
        <f t="shared" si="65"/>
        <v/>
      </c>
    </row>
    <row r="4042" spans="9:9" x14ac:dyDescent="0.3">
      <c r="I4042" s="101" t="str">
        <f t="shared" si="65"/>
        <v/>
      </c>
    </row>
    <row r="4043" spans="9:9" x14ac:dyDescent="0.3">
      <c r="I4043" s="101" t="str">
        <f t="shared" si="65"/>
        <v/>
      </c>
    </row>
    <row r="4044" spans="9:9" x14ac:dyDescent="0.3">
      <c r="I4044" s="101" t="str">
        <f t="shared" si="65"/>
        <v/>
      </c>
    </row>
    <row r="4045" spans="9:9" x14ac:dyDescent="0.3">
      <c r="I4045" s="101" t="str">
        <f t="shared" si="65"/>
        <v/>
      </c>
    </row>
    <row r="4046" spans="9:9" x14ac:dyDescent="0.3">
      <c r="I4046" s="101" t="str">
        <f t="shared" si="65"/>
        <v/>
      </c>
    </row>
    <row r="4047" spans="9:9" x14ac:dyDescent="0.3">
      <c r="I4047" s="101" t="str">
        <f t="shared" si="65"/>
        <v/>
      </c>
    </row>
    <row r="4048" spans="9:9" x14ac:dyDescent="0.3">
      <c r="I4048" s="101" t="str">
        <f t="shared" si="65"/>
        <v/>
      </c>
    </row>
    <row r="4049" spans="9:9" x14ac:dyDescent="0.3">
      <c r="I4049" s="101" t="str">
        <f t="shared" si="65"/>
        <v/>
      </c>
    </row>
    <row r="4050" spans="9:9" x14ac:dyDescent="0.3">
      <c r="I4050" s="101" t="str">
        <f t="shared" si="65"/>
        <v/>
      </c>
    </row>
    <row r="4051" spans="9:9" x14ac:dyDescent="0.3">
      <c r="I4051" s="101" t="str">
        <f t="shared" si="65"/>
        <v/>
      </c>
    </row>
    <row r="4052" spans="9:9" x14ac:dyDescent="0.3">
      <c r="I4052" s="101" t="str">
        <f t="shared" si="65"/>
        <v/>
      </c>
    </row>
    <row r="4053" spans="9:9" x14ac:dyDescent="0.3">
      <c r="I4053" s="101" t="str">
        <f t="shared" si="65"/>
        <v/>
      </c>
    </row>
    <row r="4054" spans="9:9" x14ac:dyDescent="0.3">
      <c r="I4054" s="101" t="str">
        <f t="shared" si="65"/>
        <v/>
      </c>
    </row>
    <row r="4055" spans="9:9" x14ac:dyDescent="0.3">
      <c r="I4055" s="101" t="str">
        <f t="shared" si="65"/>
        <v/>
      </c>
    </row>
    <row r="4056" spans="9:9" x14ac:dyDescent="0.3">
      <c r="I4056" s="101" t="str">
        <f t="shared" si="65"/>
        <v/>
      </c>
    </row>
    <row r="4057" spans="9:9" x14ac:dyDescent="0.3">
      <c r="I4057" s="101" t="str">
        <f t="shared" si="65"/>
        <v/>
      </c>
    </row>
    <row r="4058" spans="9:9" x14ac:dyDescent="0.3">
      <c r="I4058" s="101" t="str">
        <f t="shared" si="65"/>
        <v/>
      </c>
    </row>
    <row r="4059" spans="9:9" x14ac:dyDescent="0.3">
      <c r="I4059" s="101" t="str">
        <f t="shared" si="65"/>
        <v/>
      </c>
    </row>
    <row r="4060" spans="9:9" x14ac:dyDescent="0.3">
      <c r="I4060" s="101" t="str">
        <f t="shared" si="65"/>
        <v/>
      </c>
    </row>
    <row r="4061" spans="9:9" x14ac:dyDescent="0.3">
      <c r="I4061" s="101" t="str">
        <f t="shared" si="65"/>
        <v/>
      </c>
    </row>
    <row r="4062" spans="9:9" x14ac:dyDescent="0.3">
      <c r="I4062" s="101" t="str">
        <f t="shared" si="65"/>
        <v/>
      </c>
    </row>
    <row r="4063" spans="9:9" x14ac:dyDescent="0.3">
      <c r="I4063" s="101" t="str">
        <f t="shared" si="65"/>
        <v/>
      </c>
    </row>
    <row r="4064" spans="9:9" x14ac:dyDescent="0.3">
      <c r="I4064" s="101" t="str">
        <f t="shared" si="65"/>
        <v/>
      </c>
    </row>
    <row r="4065" spans="9:9" x14ac:dyDescent="0.3">
      <c r="I4065" s="101" t="str">
        <f t="shared" si="65"/>
        <v/>
      </c>
    </row>
    <row r="4066" spans="9:9" x14ac:dyDescent="0.3">
      <c r="I4066" s="101" t="str">
        <f t="shared" si="65"/>
        <v/>
      </c>
    </row>
    <row r="4067" spans="9:9" x14ac:dyDescent="0.3">
      <c r="I4067" s="101" t="str">
        <f t="shared" si="65"/>
        <v/>
      </c>
    </row>
    <row r="4068" spans="9:9" x14ac:dyDescent="0.3">
      <c r="I4068" s="101" t="str">
        <f t="shared" si="65"/>
        <v/>
      </c>
    </row>
    <row r="4069" spans="9:9" x14ac:dyDescent="0.3">
      <c r="I4069" s="101" t="str">
        <f t="shared" si="65"/>
        <v/>
      </c>
    </row>
    <row r="4070" spans="9:9" x14ac:dyDescent="0.3">
      <c r="I4070" s="101" t="str">
        <f t="shared" si="65"/>
        <v/>
      </c>
    </row>
    <row r="4071" spans="9:9" x14ac:dyDescent="0.3">
      <c r="I4071" s="101" t="str">
        <f t="shared" si="65"/>
        <v/>
      </c>
    </row>
    <row r="4072" spans="9:9" x14ac:dyDescent="0.3">
      <c r="I4072" s="101" t="str">
        <f t="shared" si="65"/>
        <v/>
      </c>
    </row>
    <row r="4073" spans="9:9" x14ac:dyDescent="0.3">
      <c r="I4073" s="101" t="str">
        <f t="shared" si="65"/>
        <v/>
      </c>
    </row>
    <row r="4074" spans="9:9" x14ac:dyDescent="0.3">
      <c r="I4074" s="101" t="str">
        <f t="shared" si="65"/>
        <v/>
      </c>
    </row>
    <row r="4075" spans="9:9" x14ac:dyDescent="0.3">
      <c r="I4075" s="101" t="str">
        <f t="shared" si="65"/>
        <v/>
      </c>
    </row>
    <row r="4076" spans="9:9" x14ac:dyDescent="0.3">
      <c r="I4076" s="101" t="str">
        <f t="shared" si="65"/>
        <v/>
      </c>
    </row>
    <row r="4077" spans="9:9" x14ac:dyDescent="0.3">
      <c r="I4077" s="101" t="str">
        <f t="shared" si="65"/>
        <v/>
      </c>
    </row>
    <row r="4078" spans="9:9" x14ac:dyDescent="0.3">
      <c r="I4078" s="101" t="str">
        <f t="shared" si="65"/>
        <v/>
      </c>
    </row>
    <row r="4079" spans="9:9" x14ac:dyDescent="0.3">
      <c r="I4079" s="101" t="str">
        <f t="shared" si="65"/>
        <v/>
      </c>
    </row>
    <row r="4080" spans="9:9" x14ac:dyDescent="0.3">
      <c r="I4080" s="101" t="str">
        <f t="shared" si="65"/>
        <v/>
      </c>
    </row>
    <row r="4081" spans="9:9" x14ac:dyDescent="0.3">
      <c r="I4081" s="101" t="str">
        <f t="shared" si="65"/>
        <v/>
      </c>
    </row>
    <row r="4082" spans="9:9" x14ac:dyDescent="0.3">
      <c r="I4082" s="101" t="str">
        <f t="shared" si="65"/>
        <v/>
      </c>
    </row>
    <row r="4083" spans="9:9" x14ac:dyDescent="0.3">
      <c r="I4083" s="101" t="str">
        <f t="shared" si="65"/>
        <v/>
      </c>
    </row>
    <row r="4084" spans="9:9" x14ac:dyDescent="0.3">
      <c r="I4084" s="101" t="str">
        <f t="shared" si="65"/>
        <v/>
      </c>
    </row>
    <row r="4085" spans="9:9" x14ac:dyDescent="0.3">
      <c r="I4085" s="101" t="str">
        <f t="shared" si="65"/>
        <v/>
      </c>
    </row>
    <row r="4086" spans="9:9" x14ac:dyDescent="0.3">
      <c r="I4086" s="101" t="str">
        <f t="shared" si="65"/>
        <v/>
      </c>
    </row>
    <row r="4087" spans="9:9" x14ac:dyDescent="0.3">
      <c r="I4087" s="101" t="str">
        <f t="shared" si="65"/>
        <v/>
      </c>
    </row>
    <row r="4088" spans="9:9" x14ac:dyDescent="0.3">
      <c r="I4088" s="101" t="str">
        <f t="shared" si="65"/>
        <v/>
      </c>
    </row>
    <row r="4089" spans="9:9" x14ac:dyDescent="0.3">
      <c r="I4089" s="101" t="str">
        <f t="shared" si="65"/>
        <v/>
      </c>
    </row>
    <row r="4090" spans="9:9" x14ac:dyDescent="0.3">
      <c r="I4090" s="101" t="str">
        <f t="shared" si="65"/>
        <v/>
      </c>
    </row>
    <row r="4091" spans="9:9" x14ac:dyDescent="0.3">
      <c r="I4091" s="101" t="str">
        <f t="shared" si="65"/>
        <v/>
      </c>
    </row>
    <row r="4092" spans="9:9" x14ac:dyDescent="0.3">
      <c r="I4092" s="101" t="str">
        <f t="shared" si="65"/>
        <v/>
      </c>
    </row>
    <row r="4093" spans="9:9" x14ac:dyDescent="0.3">
      <c r="I4093" s="101" t="str">
        <f t="shared" si="65"/>
        <v/>
      </c>
    </row>
    <row r="4094" spans="9:9" x14ac:dyDescent="0.3">
      <c r="I4094" s="101" t="str">
        <f t="shared" si="65"/>
        <v/>
      </c>
    </row>
    <row r="4095" spans="9:9" x14ac:dyDescent="0.3">
      <c r="I4095" s="101" t="str">
        <f t="shared" si="65"/>
        <v/>
      </c>
    </row>
    <row r="4096" spans="9:9" x14ac:dyDescent="0.3">
      <c r="I4096" s="101" t="str">
        <f t="shared" si="65"/>
        <v/>
      </c>
    </row>
    <row r="4097" spans="9:9" x14ac:dyDescent="0.3">
      <c r="I4097" s="101" t="str">
        <f t="shared" si="65"/>
        <v/>
      </c>
    </row>
    <row r="4098" spans="9:9" x14ac:dyDescent="0.3">
      <c r="I4098" s="101" t="str">
        <f t="shared" si="65"/>
        <v/>
      </c>
    </row>
    <row r="4099" spans="9:9" x14ac:dyDescent="0.3">
      <c r="I4099" s="101" t="str">
        <f t="shared" ref="I4099:I4162" si="66">IF(OR(B4099&lt;&gt;B4098,C4099&lt;&gt;C4098),"",IF(E4098=0,"",IF(G4099="UP",(E4099-E4098)/E4098,-((E4099-E4098)/E4098))))</f>
        <v/>
      </c>
    </row>
    <row r="4100" spans="9:9" x14ac:dyDescent="0.3">
      <c r="I4100" s="101" t="str">
        <f t="shared" si="66"/>
        <v/>
      </c>
    </row>
    <row r="4101" spans="9:9" x14ac:dyDescent="0.3">
      <c r="I4101" s="101" t="str">
        <f t="shared" si="66"/>
        <v/>
      </c>
    </row>
    <row r="4102" spans="9:9" x14ac:dyDescent="0.3">
      <c r="I4102" s="101" t="str">
        <f t="shared" si="66"/>
        <v/>
      </c>
    </row>
    <row r="4103" spans="9:9" x14ac:dyDescent="0.3">
      <c r="I4103" s="101" t="str">
        <f t="shared" si="66"/>
        <v/>
      </c>
    </row>
    <row r="4104" spans="9:9" x14ac:dyDescent="0.3">
      <c r="I4104" s="101" t="str">
        <f t="shared" si="66"/>
        <v/>
      </c>
    </row>
    <row r="4105" spans="9:9" x14ac:dyDescent="0.3">
      <c r="I4105" s="101" t="str">
        <f t="shared" si="66"/>
        <v/>
      </c>
    </row>
    <row r="4106" spans="9:9" x14ac:dyDescent="0.3">
      <c r="I4106" s="101" t="str">
        <f t="shared" si="66"/>
        <v/>
      </c>
    </row>
    <row r="4107" spans="9:9" x14ac:dyDescent="0.3">
      <c r="I4107" s="101" t="str">
        <f t="shared" si="66"/>
        <v/>
      </c>
    </row>
    <row r="4108" spans="9:9" x14ac:dyDescent="0.3">
      <c r="I4108" s="101" t="str">
        <f t="shared" si="66"/>
        <v/>
      </c>
    </row>
    <row r="4109" spans="9:9" x14ac:dyDescent="0.3">
      <c r="I4109" s="101" t="str">
        <f t="shared" si="66"/>
        <v/>
      </c>
    </row>
    <row r="4110" spans="9:9" x14ac:dyDescent="0.3">
      <c r="I4110" s="101" t="str">
        <f t="shared" si="66"/>
        <v/>
      </c>
    </row>
    <row r="4111" spans="9:9" x14ac:dyDescent="0.3">
      <c r="I4111" s="101" t="str">
        <f t="shared" si="66"/>
        <v/>
      </c>
    </row>
    <row r="4112" spans="9:9" x14ac:dyDescent="0.3">
      <c r="I4112" s="101" t="str">
        <f t="shared" si="66"/>
        <v/>
      </c>
    </row>
    <row r="4113" spans="9:9" x14ac:dyDescent="0.3">
      <c r="I4113" s="101" t="str">
        <f t="shared" si="66"/>
        <v/>
      </c>
    </row>
    <row r="4114" spans="9:9" x14ac:dyDescent="0.3">
      <c r="I4114" s="101" t="str">
        <f t="shared" si="66"/>
        <v/>
      </c>
    </row>
    <row r="4115" spans="9:9" x14ac:dyDescent="0.3">
      <c r="I4115" s="101" t="str">
        <f t="shared" si="66"/>
        <v/>
      </c>
    </row>
    <row r="4116" spans="9:9" x14ac:dyDescent="0.3">
      <c r="I4116" s="101" t="str">
        <f t="shared" si="66"/>
        <v/>
      </c>
    </row>
    <row r="4117" spans="9:9" x14ac:dyDescent="0.3">
      <c r="I4117" s="101" t="str">
        <f t="shared" si="66"/>
        <v/>
      </c>
    </row>
    <row r="4118" spans="9:9" x14ac:dyDescent="0.3">
      <c r="I4118" s="101" t="str">
        <f t="shared" si="66"/>
        <v/>
      </c>
    </row>
    <row r="4119" spans="9:9" x14ac:dyDescent="0.3">
      <c r="I4119" s="101" t="str">
        <f t="shared" si="66"/>
        <v/>
      </c>
    </row>
    <row r="4120" spans="9:9" x14ac:dyDescent="0.3">
      <c r="I4120" s="101" t="str">
        <f t="shared" si="66"/>
        <v/>
      </c>
    </row>
    <row r="4121" spans="9:9" x14ac:dyDescent="0.3">
      <c r="I4121" s="101" t="str">
        <f t="shared" si="66"/>
        <v/>
      </c>
    </row>
    <row r="4122" spans="9:9" x14ac:dyDescent="0.3">
      <c r="I4122" s="101" t="str">
        <f t="shared" si="66"/>
        <v/>
      </c>
    </row>
    <row r="4123" spans="9:9" x14ac:dyDescent="0.3">
      <c r="I4123" s="101" t="str">
        <f t="shared" si="66"/>
        <v/>
      </c>
    </row>
    <row r="4124" spans="9:9" x14ac:dyDescent="0.3">
      <c r="I4124" s="101" t="str">
        <f t="shared" si="66"/>
        <v/>
      </c>
    </row>
    <row r="4125" spans="9:9" x14ac:dyDescent="0.3">
      <c r="I4125" s="101" t="str">
        <f t="shared" si="66"/>
        <v/>
      </c>
    </row>
    <row r="4126" spans="9:9" x14ac:dyDescent="0.3">
      <c r="I4126" s="101" t="str">
        <f t="shared" si="66"/>
        <v/>
      </c>
    </row>
    <row r="4127" spans="9:9" x14ac:dyDescent="0.3">
      <c r="I4127" s="101" t="str">
        <f t="shared" si="66"/>
        <v/>
      </c>
    </row>
    <row r="4128" spans="9:9" x14ac:dyDescent="0.3">
      <c r="I4128" s="101" t="str">
        <f t="shared" si="66"/>
        <v/>
      </c>
    </row>
    <row r="4129" spans="9:9" x14ac:dyDescent="0.3">
      <c r="I4129" s="101" t="str">
        <f t="shared" si="66"/>
        <v/>
      </c>
    </row>
    <row r="4130" spans="9:9" x14ac:dyDescent="0.3">
      <c r="I4130" s="101" t="str">
        <f t="shared" si="66"/>
        <v/>
      </c>
    </row>
    <row r="4131" spans="9:9" x14ac:dyDescent="0.3">
      <c r="I4131" s="101" t="str">
        <f t="shared" si="66"/>
        <v/>
      </c>
    </row>
    <row r="4132" spans="9:9" x14ac:dyDescent="0.3">
      <c r="I4132" s="101" t="str">
        <f t="shared" si="66"/>
        <v/>
      </c>
    </row>
    <row r="4133" spans="9:9" x14ac:dyDescent="0.3">
      <c r="I4133" s="101" t="str">
        <f t="shared" si="66"/>
        <v/>
      </c>
    </row>
    <row r="4134" spans="9:9" x14ac:dyDescent="0.3">
      <c r="I4134" s="101" t="str">
        <f t="shared" si="66"/>
        <v/>
      </c>
    </row>
    <row r="4135" spans="9:9" x14ac:dyDescent="0.3">
      <c r="I4135" s="101" t="str">
        <f t="shared" si="66"/>
        <v/>
      </c>
    </row>
    <row r="4136" spans="9:9" x14ac:dyDescent="0.3">
      <c r="I4136" s="101" t="str">
        <f t="shared" si="66"/>
        <v/>
      </c>
    </row>
    <row r="4137" spans="9:9" x14ac:dyDescent="0.3">
      <c r="I4137" s="101" t="str">
        <f t="shared" si="66"/>
        <v/>
      </c>
    </row>
    <row r="4138" spans="9:9" x14ac:dyDescent="0.3">
      <c r="I4138" s="101" t="str">
        <f t="shared" si="66"/>
        <v/>
      </c>
    </row>
    <row r="4139" spans="9:9" x14ac:dyDescent="0.3">
      <c r="I4139" s="101" t="str">
        <f t="shared" si="66"/>
        <v/>
      </c>
    </row>
    <row r="4140" spans="9:9" x14ac:dyDescent="0.3">
      <c r="I4140" s="101" t="str">
        <f t="shared" si="66"/>
        <v/>
      </c>
    </row>
    <row r="4141" spans="9:9" x14ac:dyDescent="0.3">
      <c r="I4141" s="101" t="str">
        <f t="shared" si="66"/>
        <v/>
      </c>
    </row>
    <row r="4142" spans="9:9" x14ac:dyDescent="0.3">
      <c r="I4142" s="101" t="str">
        <f t="shared" si="66"/>
        <v/>
      </c>
    </row>
    <row r="4143" spans="9:9" x14ac:dyDescent="0.3">
      <c r="I4143" s="101" t="str">
        <f t="shared" si="66"/>
        <v/>
      </c>
    </row>
    <row r="4144" spans="9:9" x14ac:dyDescent="0.3">
      <c r="I4144" s="101" t="str">
        <f t="shared" si="66"/>
        <v/>
      </c>
    </row>
    <row r="4145" spans="9:9" x14ac:dyDescent="0.3">
      <c r="I4145" s="101" t="str">
        <f t="shared" si="66"/>
        <v/>
      </c>
    </row>
    <row r="4146" spans="9:9" x14ac:dyDescent="0.3">
      <c r="I4146" s="101" t="str">
        <f t="shared" si="66"/>
        <v/>
      </c>
    </row>
    <row r="4147" spans="9:9" x14ac:dyDescent="0.3">
      <c r="I4147" s="101" t="str">
        <f t="shared" si="66"/>
        <v/>
      </c>
    </row>
    <row r="4148" spans="9:9" x14ac:dyDescent="0.3">
      <c r="I4148" s="101" t="str">
        <f t="shared" si="66"/>
        <v/>
      </c>
    </row>
    <row r="4149" spans="9:9" x14ac:dyDescent="0.3">
      <c r="I4149" s="101" t="str">
        <f t="shared" si="66"/>
        <v/>
      </c>
    </row>
    <row r="4150" spans="9:9" x14ac:dyDescent="0.3">
      <c r="I4150" s="101" t="str">
        <f t="shared" si="66"/>
        <v/>
      </c>
    </row>
    <row r="4151" spans="9:9" x14ac:dyDescent="0.3">
      <c r="I4151" s="101" t="str">
        <f t="shared" si="66"/>
        <v/>
      </c>
    </row>
    <row r="4152" spans="9:9" x14ac:dyDescent="0.3">
      <c r="I4152" s="101" t="str">
        <f t="shared" si="66"/>
        <v/>
      </c>
    </row>
    <row r="4153" spans="9:9" x14ac:dyDescent="0.3">
      <c r="I4153" s="101" t="str">
        <f t="shared" si="66"/>
        <v/>
      </c>
    </row>
    <row r="4154" spans="9:9" x14ac:dyDescent="0.3">
      <c r="I4154" s="101" t="str">
        <f t="shared" si="66"/>
        <v/>
      </c>
    </row>
    <row r="4155" spans="9:9" x14ac:dyDescent="0.3">
      <c r="I4155" s="101" t="str">
        <f t="shared" si="66"/>
        <v/>
      </c>
    </row>
    <row r="4156" spans="9:9" x14ac:dyDescent="0.3">
      <c r="I4156" s="101" t="str">
        <f t="shared" si="66"/>
        <v/>
      </c>
    </row>
    <row r="4157" spans="9:9" x14ac:dyDescent="0.3">
      <c r="I4157" s="101" t="str">
        <f t="shared" si="66"/>
        <v/>
      </c>
    </row>
    <row r="4158" spans="9:9" x14ac:dyDescent="0.3">
      <c r="I4158" s="101" t="str">
        <f t="shared" si="66"/>
        <v/>
      </c>
    </row>
    <row r="4159" spans="9:9" x14ac:dyDescent="0.3">
      <c r="I4159" s="101" t="str">
        <f t="shared" si="66"/>
        <v/>
      </c>
    </row>
    <row r="4160" spans="9:9" x14ac:dyDescent="0.3">
      <c r="I4160" s="101" t="str">
        <f t="shared" si="66"/>
        <v/>
      </c>
    </row>
    <row r="4161" spans="9:9" x14ac:dyDescent="0.3">
      <c r="I4161" s="101" t="str">
        <f t="shared" si="66"/>
        <v/>
      </c>
    </row>
    <row r="4162" spans="9:9" x14ac:dyDescent="0.3">
      <c r="I4162" s="101" t="str">
        <f t="shared" si="66"/>
        <v/>
      </c>
    </row>
    <row r="4163" spans="9:9" x14ac:dyDescent="0.3">
      <c r="I4163" s="101" t="str">
        <f t="shared" ref="I4163:I4226" si="67">IF(OR(B4163&lt;&gt;B4162,C4163&lt;&gt;C4162),"",IF(E4162=0,"",IF(G4163="UP",(E4163-E4162)/E4162,-((E4163-E4162)/E4162))))</f>
        <v/>
      </c>
    </row>
    <row r="4164" spans="9:9" x14ac:dyDescent="0.3">
      <c r="I4164" s="101" t="str">
        <f t="shared" si="67"/>
        <v/>
      </c>
    </row>
    <row r="4165" spans="9:9" x14ac:dyDescent="0.3">
      <c r="I4165" s="101" t="str">
        <f t="shared" si="67"/>
        <v/>
      </c>
    </row>
    <row r="4166" spans="9:9" x14ac:dyDescent="0.3">
      <c r="I4166" s="101" t="str">
        <f t="shared" si="67"/>
        <v/>
      </c>
    </row>
    <row r="4167" spans="9:9" x14ac:dyDescent="0.3">
      <c r="I4167" s="101" t="str">
        <f t="shared" si="67"/>
        <v/>
      </c>
    </row>
    <row r="4168" spans="9:9" x14ac:dyDescent="0.3">
      <c r="I4168" s="101" t="str">
        <f t="shared" si="67"/>
        <v/>
      </c>
    </row>
    <row r="4169" spans="9:9" x14ac:dyDescent="0.3">
      <c r="I4169" s="101" t="str">
        <f t="shared" si="67"/>
        <v/>
      </c>
    </row>
    <row r="4170" spans="9:9" x14ac:dyDescent="0.3">
      <c r="I4170" s="101" t="str">
        <f t="shared" si="67"/>
        <v/>
      </c>
    </row>
    <row r="4171" spans="9:9" x14ac:dyDescent="0.3">
      <c r="I4171" s="101" t="str">
        <f t="shared" si="67"/>
        <v/>
      </c>
    </row>
    <row r="4172" spans="9:9" x14ac:dyDescent="0.3">
      <c r="I4172" s="101" t="str">
        <f t="shared" si="67"/>
        <v/>
      </c>
    </row>
    <row r="4173" spans="9:9" x14ac:dyDescent="0.3">
      <c r="I4173" s="101" t="str">
        <f t="shared" si="67"/>
        <v/>
      </c>
    </row>
    <row r="4174" spans="9:9" x14ac:dyDescent="0.3">
      <c r="I4174" s="101" t="str">
        <f t="shared" si="67"/>
        <v/>
      </c>
    </row>
    <row r="4175" spans="9:9" x14ac:dyDescent="0.3">
      <c r="I4175" s="101" t="str">
        <f t="shared" si="67"/>
        <v/>
      </c>
    </row>
    <row r="4176" spans="9:9" x14ac:dyDescent="0.3">
      <c r="I4176" s="101" t="str">
        <f t="shared" si="67"/>
        <v/>
      </c>
    </row>
    <row r="4177" spans="9:9" x14ac:dyDescent="0.3">
      <c r="I4177" s="101" t="str">
        <f t="shared" si="67"/>
        <v/>
      </c>
    </row>
    <row r="4178" spans="9:9" x14ac:dyDescent="0.3">
      <c r="I4178" s="101" t="str">
        <f t="shared" si="67"/>
        <v/>
      </c>
    </row>
    <row r="4179" spans="9:9" x14ac:dyDescent="0.3">
      <c r="I4179" s="101" t="str">
        <f t="shared" si="67"/>
        <v/>
      </c>
    </row>
    <row r="4180" spans="9:9" x14ac:dyDescent="0.3">
      <c r="I4180" s="101" t="str">
        <f t="shared" si="67"/>
        <v/>
      </c>
    </row>
    <row r="4181" spans="9:9" x14ac:dyDescent="0.3">
      <c r="I4181" s="101" t="str">
        <f t="shared" si="67"/>
        <v/>
      </c>
    </row>
    <row r="4182" spans="9:9" x14ac:dyDescent="0.3">
      <c r="I4182" s="101" t="str">
        <f t="shared" si="67"/>
        <v/>
      </c>
    </row>
    <row r="4183" spans="9:9" x14ac:dyDescent="0.3">
      <c r="I4183" s="101" t="str">
        <f t="shared" si="67"/>
        <v/>
      </c>
    </row>
    <row r="4184" spans="9:9" x14ac:dyDescent="0.3">
      <c r="I4184" s="101" t="str">
        <f t="shared" si="67"/>
        <v/>
      </c>
    </row>
    <row r="4185" spans="9:9" x14ac:dyDescent="0.3">
      <c r="I4185" s="101" t="str">
        <f t="shared" si="67"/>
        <v/>
      </c>
    </row>
    <row r="4186" spans="9:9" x14ac:dyDescent="0.3">
      <c r="I4186" s="101" t="str">
        <f t="shared" si="67"/>
        <v/>
      </c>
    </row>
    <row r="4187" spans="9:9" x14ac:dyDescent="0.3">
      <c r="I4187" s="101" t="str">
        <f t="shared" si="67"/>
        <v/>
      </c>
    </row>
    <row r="4188" spans="9:9" x14ac:dyDescent="0.3">
      <c r="I4188" s="101" t="str">
        <f t="shared" si="67"/>
        <v/>
      </c>
    </row>
    <row r="4189" spans="9:9" x14ac:dyDescent="0.3">
      <c r="I4189" s="101" t="str">
        <f t="shared" si="67"/>
        <v/>
      </c>
    </row>
    <row r="4190" spans="9:9" x14ac:dyDescent="0.3">
      <c r="I4190" s="101" t="str">
        <f t="shared" si="67"/>
        <v/>
      </c>
    </row>
    <row r="4191" spans="9:9" x14ac:dyDescent="0.3">
      <c r="I4191" s="101" t="str">
        <f t="shared" si="67"/>
        <v/>
      </c>
    </row>
    <row r="4192" spans="9:9" x14ac:dyDescent="0.3">
      <c r="I4192" s="101" t="str">
        <f t="shared" si="67"/>
        <v/>
      </c>
    </row>
    <row r="4193" spans="9:9" x14ac:dyDescent="0.3">
      <c r="I4193" s="101" t="str">
        <f t="shared" si="67"/>
        <v/>
      </c>
    </row>
    <row r="4194" spans="9:9" x14ac:dyDescent="0.3">
      <c r="I4194" s="101" t="str">
        <f t="shared" si="67"/>
        <v/>
      </c>
    </row>
    <row r="4195" spans="9:9" x14ac:dyDescent="0.3">
      <c r="I4195" s="101" t="str">
        <f t="shared" si="67"/>
        <v/>
      </c>
    </row>
    <row r="4196" spans="9:9" x14ac:dyDescent="0.3">
      <c r="I4196" s="101" t="str">
        <f t="shared" si="67"/>
        <v/>
      </c>
    </row>
    <row r="4197" spans="9:9" x14ac:dyDescent="0.3">
      <c r="I4197" s="101" t="str">
        <f t="shared" si="67"/>
        <v/>
      </c>
    </row>
    <row r="4198" spans="9:9" x14ac:dyDescent="0.3">
      <c r="I4198" s="101" t="str">
        <f t="shared" si="67"/>
        <v/>
      </c>
    </row>
    <row r="4199" spans="9:9" x14ac:dyDescent="0.3">
      <c r="I4199" s="101" t="str">
        <f t="shared" si="67"/>
        <v/>
      </c>
    </row>
    <row r="4200" spans="9:9" x14ac:dyDescent="0.3">
      <c r="I4200" s="101" t="str">
        <f t="shared" si="67"/>
        <v/>
      </c>
    </row>
    <row r="4201" spans="9:9" x14ac:dyDescent="0.3">
      <c r="I4201" s="101" t="str">
        <f t="shared" si="67"/>
        <v/>
      </c>
    </row>
    <row r="4202" spans="9:9" x14ac:dyDescent="0.3">
      <c r="I4202" s="101" t="str">
        <f t="shared" si="67"/>
        <v/>
      </c>
    </row>
    <row r="4203" spans="9:9" x14ac:dyDescent="0.3">
      <c r="I4203" s="101" t="str">
        <f t="shared" si="67"/>
        <v/>
      </c>
    </row>
    <row r="4204" spans="9:9" x14ac:dyDescent="0.3">
      <c r="I4204" s="101" t="str">
        <f t="shared" si="67"/>
        <v/>
      </c>
    </row>
    <row r="4205" spans="9:9" x14ac:dyDescent="0.3">
      <c r="I4205" s="101" t="str">
        <f t="shared" si="67"/>
        <v/>
      </c>
    </row>
    <row r="4206" spans="9:9" x14ac:dyDescent="0.3">
      <c r="I4206" s="101" t="str">
        <f t="shared" si="67"/>
        <v/>
      </c>
    </row>
    <row r="4207" spans="9:9" x14ac:dyDescent="0.3">
      <c r="I4207" s="101" t="str">
        <f t="shared" si="67"/>
        <v/>
      </c>
    </row>
    <row r="4208" spans="9:9" x14ac:dyDescent="0.3">
      <c r="I4208" s="101" t="str">
        <f t="shared" si="67"/>
        <v/>
      </c>
    </row>
    <row r="4209" spans="9:9" x14ac:dyDescent="0.3">
      <c r="I4209" s="101" t="str">
        <f t="shared" si="67"/>
        <v/>
      </c>
    </row>
    <row r="4210" spans="9:9" x14ac:dyDescent="0.3">
      <c r="I4210" s="101" t="str">
        <f t="shared" si="67"/>
        <v/>
      </c>
    </row>
    <row r="4211" spans="9:9" x14ac:dyDescent="0.3">
      <c r="I4211" s="101" t="str">
        <f t="shared" si="67"/>
        <v/>
      </c>
    </row>
    <row r="4212" spans="9:9" x14ac:dyDescent="0.3">
      <c r="I4212" s="101" t="str">
        <f t="shared" si="67"/>
        <v/>
      </c>
    </row>
    <row r="4213" spans="9:9" x14ac:dyDescent="0.3">
      <c r="I4213" s="101" t="str">
        <f t="shared" si="67"/>
        <v/>
      </c>
    </row>
    <row r="4214" spans="9:9" x14ac:dyDescent="0.3">
      <c r="I4214" s="101" t="str">
        <f t="shared" si="67"/>
        <v/>
      </c>
    </row>
    <row r="4215" spans="9:9" x14ac:dyDescent="0.3">
      <c r="I4215" s="101" t="str">
        <f t="shared" si="67"/>
        <v/>
      </c>
    </row>
    <row r="4216" spans="9:9" x14ac:dyDescent="0.3">
      <c r="I4216" s="101" t="str">
        <f t="shared" si="67"/>
        <v/>
      </c>
    </row>
    <row r="4217" spans="9:9" x14ac:dyDescent="0.3">
      <c r="I4217" s="101" t="str">
        <f t="shared" si="67"/>
        <v/>
      </c>
    </row>
    <row r="4218" spans="9:9" x14ac:dyDescent="0.3">
      <c r="I4218" s="101" t="str">
        <f t="shared" si="67"/>
        <v/>
      </c>
    </row>
    <row r="4219" spans="9:9" x14ac:dyDescent="0.3">
      <c r="I4219" s="101" t="str">
        <f t="shared" si="67"/>
        <v/>
      </c>
    </row>
    <row r="4220" spans="9:9" x14ac:dyDescent="0.3">
      <c r="I4220" s="101" t="str">
        <f t="shared" si="67"/>
        <v/>
      </c>
    </row>
    <row r="4221" spans="9:9" x14ac:dyDescent="0.3">
      <c r="I4221" s="101" t="str">
        <f t="shared" si="67"/>
        <v/>
      </c>
    </row>
    <row r="4222" spans="9:9" x14ac:dyDescent="0.3">
      <c r="I4222" s="101" t="str">
        <f t="shared" si="67"/>
        <v/>
      </c>
    </row>
    <row r="4223" spans="9:9" x14ac:dyDescent="0.3">
      <c r="I4223" s="101" t="str">
        <f t="shared" si="67"/>
        <v/>
      </c>
    </row>
    <row r="4224" spans="9:9" x14ac:dyDescent="0.3">
      <c r="I4224" s="101" t="str">
        <f t="shared" si="67"/>
        <v/>
      </c>
    </row>
    <row r="4225" spans="9:9" x14ac:dyDescent="0.3">
      <c r="I4225" s="101" t="str">
        <f t="shared" si="67"/>
        <v/>
      </c>
    </row>
    <row r="4226" spans="9:9" x14ac:dyDescent="0.3">
      <c r="I4226" s="101" t="str">
        <f t="shared" si="67"/>
        <v/>
      </c>
    </row>
    <row r="4227" spans="9:9" x14ac:dyDescent="0.3">
      <c r="I4227" s="101" t="str">
        <f t="shared" ref="I4227:I4290" si="68">IF(OR(B4227&lt;&gt;B4226,C4227&lt;&gt;C4226),"",IF(E4226=0,"",IF(G4227="UP",(E4227-E4226)/E4226,-((E4227-E4226)/E4226))))</f>
        <v/>
      </c>
    </row>
    <row r="4228" spans="9:9" x14ac:dyDescent="0.3">
      <c r="I4228" s="101" t="str">
        <f t="shared" si="68"/>
        <v/>
      </c>
    </row>
    <row r="4229" spans="9:9" x14ac:dyDescent="0.3">
      <c r="I4229" s="101" t="str">
        <f t="shared" si="68"/>
        <v/>
      </c>
    </row>
    <row r="4230" spans="9:9" x14ac:dyDescent="0.3">
      <c r="I4230" s="101" t="str">
        <f t="shared" si="68"/>
        <v/>
      </c>
    </row>
    <row r="4231" spans="9:9" x14ac:dyDescent="0.3">
      <c r="I4231" s="101" t="str">
        <f t="shared" si="68"/>
        <v/>
      </c>
    </row>
    <row r="4232" spans="9:9" x14ac:dyDescent="0.3">
      <c r="I4232" s="101" t="str">
        <f t="shared" si="68"/>
        <v/>
      </c>
    </row>
    <row r="4233" spans="9:9" x14ac:dyDescent="0.3">
      <c r="I4233" s="101" t="str">
        <f t="shared" si="68"/>
        <v/>
      </c>
    </row>
    <row r="4234" spans="9:9" x14ac:dyDescent="0.3">
      <c r="I4234" s="101" t="str">
        <f t="shared" si="68"/>
        <v/>
      </c>
    </row>
    <row r="4235" spans="9:9" x14ac:dyDescent="0.3">
      <c r="I4235" s="101" t="str">
        <f t="shared" si="68"/>
        <v/>
      </c>
    </row>
    <row r="4236" spans="9:9" x14ac:dyDescent="0.3">
      <c r="I4236" s="101" t="str">
        <f t="shared" si="68"/>
        <v/>
      </c>
    </row>
    <row r="4237" spans="9:9" x14ac:dyDescent="0.3">
      <c r="I4237" s="101" t="str">
        <f t="shared" si="68"/>
        <v/>
      </c>
    </row>
    <row r="4238" spans="9:9" x14ac:dyDescent="0.3">
      <c r="I4238" s="101" t="str">
        <f t="shared" si="68"/>
        <v/>
      </c>
    </row>
    <row r="4239" spans="9:9" x14ac:dyDescent="0.3">
      <c r="I4239" s="101" t="str">
        <f t="shared" si="68"/>
        <v/>
      </c>
    </row>
    <row r="4240" spans="9:9" x14ac:dyDescent="0.3">
      <c r="I4240" s="101" t="str">
        <f t="shared" si="68"/>
        <v/>
      </c>
    </row>
    <row r="4241" spans="9:9" x14ac:dyDescent="0.3">
      <c r="I4241" s="101" t="str">
        <f t="shared" si="68"/>
        <v/>
      </c>
    </row>
    <row r="4242" spans="9:9" x14ac:dyDescent="0.3">
      <c r="I4242" s="101" t="str">
        <f t="shared" si="68"/>
        <v/>
      </c>
    </row>
    <row r="4243" spans="9:9" x14ac:dyDescent="0.3">
      <c r="I4243" s="101" t="str">
        <f t="shared" si="68"/>
        <v/>
      </c>
    </row>
    <row r="4244" spans="9:9" x14ac:dyDescent="0.3">
      <c r="I4244" s="101" t="str">
        <f t="shared" si="68"/>
        <v/>
      </c>
    </row>
    <row r="4245" spans="9:9" x14ac:dyDescent="0.3">
      <c r="I4245" s="101" t="str">
        <f t="shared" si="68"/>
        <v/>
      </c>
    </row>
    <row r="4246" spans="9:9" x14ac:dyDescent="0.3">
      <c r="I4246" s="101" t="str">
        <f t="shared" si="68"/>
        <v/>
      </c>
    </row>
    <row r="4247" spans="9:9" x14ac:dyDescent="0.3">
      <c r="I4247" s="101" t="str">
        <f t="shared" si="68"/>
        <v/>
      </c>
    </row>
    <row r="4248" spans="9:9" x14ac:dyDescent="0.3">
      <c r="I4248" s="101" t="str">
        <f t="shared" si="68"/>
        <v/>
      </c>
    </row>
    <row r="4249" spans="9:9" x14ac:dyDescent="0.3">
      <c r="I4249" s="101" t="str">
        <f t="shared" si="68"/>
        <v/>
      </c>
    </row>
    <row r="4250" spans="9:9" x14ac:dyDescent="0.3">
      <c r="I4250" s="101" t="str">
        <f t="shared" si="68"/>
        <v/>
      </c>
    </row>
    <row r="4251" spans="9:9" x14ac:dyDescent="0.3">
      <c r="I4251" s="101" t="str">
        <f t="shared" si="68"/>
        <v/>
      </c>
    </row>
    <row r="4252" spans="9:9" x14ac:dyDescent="0.3">
      <c r="I4252" s="101" t="str">
        <f t="shared" si="68"/>
        <v/>
      </c>
    </row>
    <row r="4253" spans="9:9" x14ac:dyDescent="0.3">
      <c r="I4253" s="101" t="str">
        <f t="shared" si="68"/>
        <v/>
      </c>
    </row>
    <row r="4254" spans="9:9" x14ac:dyDescent="0.3">
      <c r="I4254" s="101" t="str">
        <f t="shared" si="68"/>
        <v/>
      </c>
    </row>
    <row r="4255" spans="9:9" x14ac:dyDescent="0.3">
      <c r="I4255" s="101" t="str">
        <f t="shared" si="68"/>
        <v/>
      </c>
    </row>
    <row r="4256" spans="9:9" x14ac:dyDescent="0.3">
      <c r="I4256" s="101" t="str">
        <f t="shared" si="68"/>
        <v/>
      </c>
    </row>
    <row r="4257" spans="9:9" x14ac:dyDescent="0.3">
      <c r="I4257" s="101" t="str">
        <f t="shared" si="68"/>
        <v/>
      </c>
    </row>
    <row r="4258" spans="9:9" x14ac:dyDescent="0.3">
      <c r="I4258" s="101" t="str">
        <f t="shared" si="68"/>
        <v/>
      </c>
    </row>
    <row r="4259" spans="9:9" x14ac:dyDescent="0.3">
      <c r="I4259" s="101" t="str">
        <f t="shared" si="68"/>
        <v/>
      </c>
    </row>
    <row r="4260" spans="9:9" x14ac:dyDescent="0.3">
      <c r="I4260" s="101" t="str">
        <f t="shared" si="68"/>
        <v/>
      </c>
    </row>
    <row r="4261" spans="9:9" x14ac:dyDescent="0.3">
      <c r="I4261" s="101" t="str">
        <f t="shared" si="68"/>
        <v/>
      </c>
    </row>
    <row r="4262" spans="9:9" x14ac:dyDescent="0.3">
      <c r="I4262" s="101" t="str">
        <f t="shared" si="68"/>
        <v/>
      </c>
    </row>
    <row r="4263" spans="9:9" x14ac:dyDescent="0.3">
      <c r="I4263" s="101" t="str">
        <f t="shared" si="68"/>
        <v/>
      </c>
    </row>
    <row r="4264" spans="9:9" x14ac:dyDescent="0.3">
      <c r="I4264" s="101" t="str">
        <f t="shared" si="68"/>
        <v/>
      </c>
    </row>
    <row r="4265" spans="9:9" x14ac:dyDescent="0.3">
      <c r="I4265" s="101" t="str">
        <f t="shared" si="68"/>
        <v/>
      </c>
    </row>
    <row r="4266" spans="9:9" x14ac:dyDescent="0.3">
      <c r="I4266" s="101" t="str">
        <f t="shared" si="68"/>
        <v/>
      </c>
    </row>
    <row r="4267" spans="9:9" x14ac:dyDescent="0.3">
      <c r="I4267" s="101" t="str">
        <f t="shared" si="68"/>
        <v/>
      </c>
    </row>
    <row r="4268" spans="9:9" x14ac:dyDescent="0.3">
      <c r="I4268" s="101" t="str">
        <f t="shared" si="68"/>
        <v/>
      </c>
    </row>
    <row r="4269" spans="9:9" x14ac:dyDescent="0.3">
      <c r="I4269" s="101" t="str">
        <f t="shared" si="68"/>
        <v/>
      </c>
    </row>
    <row r="4270" spans="9:9" x14ac:dyDescent="0.3">
      <c r="I4270" s="101" t="str">
        <f t="shared" si="68"/>
        <v/>
      </c>
    </row>
    <row r="4271" spans="9:9" x14ac:dyDescent="0.3">
      <c r="I4271" s="101" t="str">
        <f t="shared" si="68"/>
        <v/>
      </c>
    </row>
    <row r="4272" spans="9:9" x14ac:dyDescent="0.3">
      <c r="I4272" s="101" t="str">
        <f t="shared" si="68"/>
        <v/>
      </c>
    </row>
    <row r="4273" spans="9:9" x14ac:dyDescent="0.3">
      <c r="I4273" s="101" t="str">
        <f t="shared" si="68"/>
        <v/>
      </c>
    </row>
    <row r="4274" spans="9:9" x14ac:dyDescent="0.3">
      <c r="I4274" s="101" t="str">
        <f t="shared" si="68"/>
        <v/>
      </c>
    </row>
    <row r="4275" spans="9:9" x14ac:dyDescent="0.3">
      <c r="I4275" s="101" t="str">
        <f t="shared" si="68"/>
        <v/>
      </c>
    </row>
    <row r="4276" spans="9:9" x14ac:dyDescent="0.3">
      <c r="I4276" s="101" t="str">
        <f t="shared" si="68"/>
        <v/>
      </c>
    </row>
    <row r="4277" spans="9:9" x14ac:dyDescent="0.3">
      <c r="I4277" s="101" t="str">
        <f t="shared" si="68"/>
        <v/>
      </c>
    </row>
    <row r="4278" spans="9:9" x14ac:dyDescent="0.3">
      <c r="I4278" s="101" t="str">
        <f t="shared" si="68"/>
        <v/>
      </c>
    </row>
    <row r="4279" spans="9:9" x14ac:dyDescent="0.3">
      <c r="I4279" s="101" t="str">
        <f t="shared" si="68"/>
        <v/>
      </c>
    </row>
    <row r="4280" spans="9:9" x14ac:dyDescent="0.3">
      <c r="I4280" s="101" t="str">
        <f t="shared" si="68"/>
        <v/>
      </c>
    </row>
    <row r="4281" spans="9:9" x14ac:dyDescent="0.3">
      <c r="I4281" s="101" t="str">
        <f t="shared" si="68"/>
        <v/>
      </c>
    </row>
    <row r="4282" spans="9:9" x14ac:dyDescent="0.3">
      <c r="I4282" s="101" t="str">
        <f t="shared" si="68"/>
        <v/>
      </c>
    </row>
    <row r="4283" spans="9:9" x14ac:dyDescent="0.3">
      <c r="I4283" s="101" t="str">
        <f t="shared" si="68"/>
        <v/>
      </c>
    </row>
    <row r="4284" spans="9:9" x14ac:dyDescent="0.3">
      <c r="I4284" s="101" t="str">
        <f t="shared" si="68"/>
        <v/>
      </c>
    </row>
    <row r="4285" spans="9:9" x14ac:dyDescent="0.3">
      <c r="I4285" s="101" t="str">
        <f t="shared" si="68"/>
        <v/>
      </c>
    </row>
    <row r="4286" spans="9:9" x14ac:dyDescent="0.3">
      <c r="I4286" s="101" t="str">
        <f t="shared" si="68"/>
        <v/>
      </c>
    </row>
    <row r="4287" spans="9:9" x14ac:dyDescent="0.3">
      <c r="I4287" s="101" t="str">
        <f t="shared" si="68"/>
        <v/>
      </c>
    </row>
    <row r="4288" spans="9:9" x14ac:dyDescent="0.3">
      <c r="I4288" s="101" t="str">
        <f t="shared" si="68"/>
        <v/>
      </c>
    </row>
    <row r="4289" spans="9:9" x14ac:dyDescent="0.3">
      <c r="I4289" s="101" t="str">
        <f t="shared" si="68"/>
        <v/>
      </c>
    </row>
    <row r="4290" spans="9:9" x14ac:dyDescent="0.3">
      <c r="I4290" s="101" t="str">
        <f t="shared" si="68"/>
        <v/>
      </c>
    </row>
    <row r="4291" spans="9:9" x14ac:dyDescent="0.3">
      <c r="I4291" s="101" t="str">
        <f t="shared" ref="I4291:I4354" si="69">IF(OR(B4291&lt;&gt;B4290,C4291&lt;&gt;C4290),"",IF(E4290=0,"",IF(G4291="UP",(E4291-E4290)/E4290,-((E4291-E4290)/E4290))))</f>
        <v/>
      </c>
    </row>
    <row r="4292" spans="9:9" x14ac:dyDescent="0.3">
      <c r="I4292" s="101" t="str">
        <f t="shared" si="69"/>
        <v/>
      </c>
    </row>
    <row r="4293" spans="9:9" x14ac:dyDescent="0.3">
      <c r="I4293" s="101" t="str">
        <f t="shared" si="69"/>
        <v/>
      </c>
    </row>
    <row r="4294" spans="9:9" x14ac:dyDescent="0.3">
      <c r="I4294" s="101" t="str">
        <f t="shared" si="69"/>
        <v/>
      </c>
    </row>
    <row r="4295" spans="9:9" x14ac:dyDescent="0.3">
      <c r="I4295" s="101" t="str">
        <f t="shared" si="69"/>
        <v/>
      </c>
    </row>
    <row r="4296" spans="9:9" x14ac:dyDescent="0.3">
      <c r="I4296" s="101" t="str">
        <f t="shared" si="69"/>
        <v/>
      </c>
    </row>
    <row r="4297" spans="9:9" x14ac:dyDescent="0.3">
      <c r="I4297" s="101" t="str">
        <f t="shared" si="69"/>
        <v/>
      </c>
    </row>
    <row r="4298" spans="9:9" x14ac:dyDescent="0.3">
      <c r="I4298" s="101" t="str">
        <f t="shared" si="69"/>
        <v/>
      </c>
    </row>
    <row r="4299" spans="9:9" x14ac:dyDescent="0.3">
      <c r="I4299" s="101" t="str">
        <f t="shared" si="69"/>
        <v/>
      </c>
    </row>
    <row r="4300" spans="9:9" x14ac:dyDescent="0.3">
      <c r="I4300" s="101" t="str">
        <f t="shared" si="69"/>
        <v/>
      </c>
    </row>
    <row r="4301" spans="9:9" x14ac:dyDescent="0.3">
      <c r="I4301" s="101" t="str">
        <f t="shared" si="69"/>
        <v/>
      </c>
    </row>
    <row r="4302" spans="9:9" x14ac:dyDescent="0.3">
      <c r="I4302" s="101" t="str">
        <f t="shared" si="69"/>
        <v/>
      </c>
    </row>
    <row r="4303" spans="9:9" x14ac:dyDescent="0.3">
      <c r="I4303" s="101" t="str">
        <f t="shared" si="69"/>
        <v/>
      </c>
    </row>
    <row r="4304" spans="9:9" x14ac:dyDescent="0.3">
      <c r="I4304" s="101" t="str">
        <f t="shared" si="69"/>
        <v/>
      </c>
    </row>
    <row r="4305" spans="9:9" x14ac:dyDescent="0.3">
      <c r="I4305" s="101" t="str">
        <f t="shared" si="69"/>
        <v/>
      </c>
    </row>
    <row r="4306" spans="9:9" x14ac:dyDescent="0.3">
      <c r="I4306" s="101" t="str">
        <f t="shared" si="69"/>
        <v/>
      </c>
    </row>
    <row r="4307" spans="9:9" x14ac:dyDescent="0.3">
      <c r="I4307" s="101" t="str">
        <f t="shared" si="69"/>
        <v/>
      </c>
    </row>
    <row r="4308" spans="9:9" x14ac:dyDescent="0.3">
      <c r="I4308" s="101" t="str">
        <f t="shared" si="69"/>
        <v/>
      </c>
    </row>
    <row r="4309" spans="9:9" x14ac:dyDescent="0.3">
      <c r="I4309" s="101" t="str">
        <f t="shared" si="69"/>
        <v/>
      </c>
    </row>
    <row r="4310" spans="9:9" x14ac:dyDescent="0.3">
      <c r="I4310" s="101" t="str">
        <f t="shared" si="69"/>
        <v/>
      </c>
    </row>
    <row r="4311" spans="9:9" x14ac:dyDescent="0.3">
      <c r="I4311" s="101" t="str">
        <f t="shared" si="69"/>
        <v/>
      </c>
    </row>
    <row r="4312" spans="9:9" x14ac:dyDescent="0.3">
      <c r="I4312" s="101" t="str">
        <f t="shared" si="69"/>
        <v/>
      </c>
    </row>
    <row r="4313" spans="9:9" x14ac:dyDescent="0.3">
      <c r="I4313" s="101" t="str">
        <f t="shared" si="69"/>
        <v/>
      </c>
    </row>
    <row r="4314" spans="9:9" x14ac:dyDescent="0.3">
      <c r="I4314" s="101" t="str">
        <f t="shared" si="69"/>
        <v/>
      </c>
    </row>
    <row r="4315" spans="9:9" x14ac:dyDescent="0.3">
      <c r="I4315" s="101" t="str">
        <f t="shared" si="69"/>
        <v/>
      </c>
    </row>
    <row r="4316" spans="9:9" x14ac:dyDescent="0.3">
      <c r="I4316" s="101" t="str">
        <f t="shared" si="69"/>
        <v/>
      </c>
    </row>
    <row r="4317" spans="9:9" x14ac:dyDescent="0.3">
      <c r="I4317" s="101" t="str">
        <f t="shared" si="69"/>
        <v/>
      </c>
    </row>
    <row r="4318" spans="9:9" x14ac:dyDescent="0.3">
      <c r="I4318" s="101" t="str">
        <f t="shared" si="69"/>
        <v/>
      </c>
    </row>
    <row r="4319" spans="9:9" x14ac:dyDescent="0.3">
      <c r="I4319" s="101" t="str">
        <f t="shared" si="69"/>
        <v/>
      </c>
    </row>
    <row r="4320" spans="9:9" x14ac:dyDescent="0.3">
      <c r="I4320" s="101" t="str">
        <f t="shared" si="69"/>
        <v/>
      </c>
    </row>
    <row r="4321" spans="9:9" x14ac:dyDescent="0.3">
      <c r="I4321" s="101" t="str">
        <f t="shared" si="69"/>
        <v/>
      </c>
    </row>
    <row r="4322" spans="9:9" x14ac:dyDescent="0.3">
      <c r="I4322" s="101" t="str">
        <f t="shared" si="69"/>
        <v/>
      </c>
    </row>
    <row r="4323" spans="9:9" x14ac:dyDescent="0.3">
      <c r="I4323" s="101" t="str">
        <f t="shared" si="69"/>
        <v/>
      </c>
    </row>
    <row r="4324" spans="9:9" x14ac:dyDescent="0.3">
      <c r="I4324" s="101" t="str">
        <f t="shared" si="69"/>
        <v/>
      </c>
    </row>
    <row r="4325" spans="9:9" x14ac:dyDescent="0.3">
      <c r="I4325" s="101" t="str">
        <f t="shared" si="69"/>
        <v/>
      </c>
    </row>
    <row r="4326" spans="9:9" x14ac:dyDescent="0.3">
      <c r="I4326" s="101" t="str">
        <f t="shared" si="69"/>
        <v/>
      </c>
    </row>
    <row r="4327" spans="9:9" x14ac:dyDescent="0.3">
      <c r="I4327" s="101" t="str">
        <f t="shared" si="69"/>
        <v/>
      </c>
    </row>
    <row r="4328" spans="9:9" x14ac:dyDescent="0.3">
      <c r="I4328" s="101" t="str">
        <f t="shared" si="69"/>
        <v/>
      </c>
    </row>
    <row r="4329" spans="9:9" x14ac:dyDescent="0.3">
      <c r="I4329" s="101" t="str">
        <f t="shared" si="69"/>
        <v/>
      </c>
    </row>
    <row r="4330" spans="9:9" x14ac:dyDescent="0.3">
      <c r="I4330" s="101" t="str">
        <f t="shared" si="69"/>
        <v/>
      </c>
    </row>
    <row r="4331" spans="9:9" x14ac:dyDescent="0.3">
      <c r="I4331" s="101" t="str">
        <f t="shared" si="69"/>
        <v/>
      </c>
    </row>
    <row r="4332" spans="9:9" x14ac:dyDescent="0.3">
      <c r="I4332" s="101" t="str">
        <f t="shared" si="69"/>
        <v/>
      </c>
    </row>
    <row r="4333" spans="9:9" x14ac:dyDescent="0.3">
      <c r="I4333" s="101" t="str">
        <f t="shared" si="69"/>
        <v/>
      </c>
    </row>
    <row r="4334" spans="9:9" x14ac:dyDescent="0.3">
      <c r="I4334" s="101" t="str">
        <f t="shared" si="69"/>
        <v/>
      </c>
    </row>
    <row r="4335" spans="9:9" x14ac:dyDescent="0.3">
      <c r="I4335" s="101" t="str">
        <f t="shared" si="69"/>
        <v/>
      </c>
    </row>
    <row r="4336" spans="9:9" x14ac:dyDescent="0.3">
      <c r="I4336" s="101" t="str">
        <f t="shared" si="69"/>
        <v/>
      </c>
    </row>
    <row r="4337" spans="9:9" x14ac:dyDescent="0.3">
      <c r="I4337" s="101" t="str">
        <f t="shared" si="69"/>
        <v/>
      </c>
    </row>
    <row r="4338" spans="9:9" x14ac:dyDescent="0.3">
      <c r="I4338" s="101" t="str">
        <f t="shared" si="69"/>
        <v/>
      </c>
    </row>
    <row r="4339" spans="9:9" x14ac:dyDescent="0.3">
      <c r="I4339" s="101" t="str">
        <f t="shared" si="69"/>
        <v/>
      </c>
    </row>
    <row r="4340" spans="9:9" x14ac:dyDescent="0.3">
      <c r="I4340" s="101" t="str">
        <f t="shared" si="69"/>
        <v/>
      </c>
    </row>
    <row r="4341" spans="9:9" x14ac:dyDescent="0.3">
      <c r="I4341" s="101" t="str">
        <f t="shared" si="69"/>
        <v/>
      </c>
    </row>
    <row r="4342" spans="9:9" x14ac:dyDescent="0.3">
      <c r="I4342" s="101" t="str">
        <f t="shared" si="69"/>
        <v/>
      </c>
    </row>
    <row r="4343" spans="9:9" x14ac:dyDescent="0.3">
      <c r="I4343" s="101" t="str">
        <f t="shared" si="69"/>
        <v/>
      </c>
    </row>
    <row r="4344" spans="9:9" x14ac:dyDescent="0.3">
      <c r="I4344" s="101" t="str">
        <f t="shared" si="69"/>
        <v/>
      </c>
    </row>
    <row r="4345" spans="9:9" x14ac:dyDescent="0.3">
      <c r="I4345" s="101" t="str">
        <f t="shared" si="69"/>
        <v/>
      </c>
    </row>
    <row r="4346" spans="9:9" x14ac:dyDescent="0.3">
      <c r="I4346" s="101" t="str">
        <f t="shared" si="69"/>
        <v/>
      </c>
    </row>
    <row r="4347" spans="9:9" x14ac:dyDescent="0.3">
      <c r="I4347" s="101" t="str">
        <f t="shared" si="69"/>
        <v/>
      </c>
    </row>
    <row r="4348" spans="9:9" x14ac:dyDescent="0.3">
      <c r="I4348" s="101" t="str">
        <f t="shared" si="69"/>
        <v/>
      </c>
    </row>
    <row r="4349" spans="9:9" x14ac:dyDescent="0.3">
      <c r="I4349" s="101" t="str">
        <f t="shared" si="69"/>
        <v/>
      </c>
    </row>
    <row r="4350" spans="9:9" x14ac:dyDescent="0.3">
      <c r="I4350" s="101" t="str">
        <f t="shared" si="69"/>
        <v/>
      </c>
    </row>
    <row r="4351" spans="9:9" x14ac:dyDescent="0.3">
      <c r="I4351" s="101" t="str">
        <f t="shared" si="69"/>
        <v/>
      </c>
    </row>
    <row r="4352" spans="9:9" x14ac:dyDescent="0.3">
      <c r="I4352" s="101" t="str">
        <f t="shared" si="69"/>
        <v/>
      </c>
    </row>
    <row r="4353" spans="9:9" x14ac:dyDescent="0.3">
      <c r="I4353" s="101" t="str">
        <f t="shared" si="69"/>
        <v/>
      </c>
    </row>
    <row r="4354" spans="9:9" x14ac:dyDescent="0.3">
      <c r="I4354" s="101" t="str">
        <f t="shared" si="69"/>
        <v/>
      </c>
    </row>
    <row r="4355" spans="9:9" x14ac:dyDescent="0.3">
      <c r="I4355" s="101" t="str">
        <f t="shared" ref="I4355:I4418" si="70">IF(OR(B4355&lt;&gt;B4354,C4355&lt;&gt;C4354),"",IF(E4354=0,"",IF(G4355="UP",(E4355-E4354)/E4354,-((E4355-E4354)/E4354))))</f>
        <v/>
      </c>
    </row>
    <row r="4356" spans="9:9" x14ac:dyDescent="0.3">
      <c r="I4356" s="101" t="str">
        <f t="shared" si="70"/>
        <v/>
      </c>
    </row>
    <row r="4357" spans="9:9" x14ac:dyDescent="0.3">
      <c r="I4357" s="101" t="str">
        <f t="shared" si="70"/>
        <v/>
      </c>
    </row>
    <row r="4358" spans="9:9" x14ac:dyDescent="0.3">
      <c r="I4358" s="101" t="str">
        <f t="shared" si="70"/>
        <v/>
      </c>
    </row>
    <row r="4359" spans="9:9" x14ac:dyDescent="0.3">
      <c r="I4359" s="101" t="str">
        <f t="shared" si="70"/>
        <v/>
      </c>
    </row>
    <row r="4360" spans="9:9" x14ac:dyDescent="0.3">
      <c r="I4360" s="101" t="str">
        <f t="shared" si="70"/>
        <v/>
      </c>
    </row>
    <row r="4361" spans="9:9" x14ac:dyDescent="0.3">
      <c r="I4361" s="101" t="str">
        <f t="shared" si="70"/>
        <v/>
      </c>
    </row>
    <row r="4362" spans="9:9" x14ac:dyDescent="0.3">
      <c r="I4362" s="101" t="str">
        <f t="shared" si="70"/>
        <v/>
      </c>
    </row>
    <row r="4363" spans="9:9" x14ac:dyDescent="0.3">
      <c r="I4363" s="101" t="str">
        <f t="shared" si="70"/>
        <v/>
      </c>
    </row>
    <row r="4364" spans="9:9" x14ac:dyDescent="0.3">
      <c r="I4364" s="101" t="str">
        <f t="shared" si="70"/>
        <v/>
      </c>
    </row>
    <row r="4365" spans="9:9" x14ac:dyDescent="0.3">
      <c r="I4365" s="101" t="str">
        <f t="shared" si="70"/>
        <v/>
      </c>
    </row>
    <row r="4366" spans="9:9" x14ac:dyDescent="0.3">
      <c r="I4366" s="101" t="str">
        <f t="shared" si="70"/>
        <v/>
      </c>
    </row>
    <row r="4367" spans="9:9" x14ac:dyDescent="0.3">
      <c r="I4367" s="101" t="str">
        <f t="shared" si="70"/>
        <v/>
      </c>
    </row>
    <row r="4368" spans="9:9" x14ac:dyDescent="0.3">
      <c r="I4368" s="101" t="str">
        <f t="shared" si="70"/>
        <v/>
      </c>
    </row>
    <row r="4369" spans="9:9" x14ac:dyDescent="0.3">
      <c r="I4369" s="101" t="str">
        <f t="shared" si="70"/>
        <v/>
      </c>
    </row>
    <row r="4370" spans="9:9" x14ac:dyDescent="0.3">
      <c r="I4370" s="101" t="str">
        <f t="shared" si="70"/>
        <v/>
      </c>
    </row>
    <row r="4371" spans="9:9" x14ac:dyDescent="0.3">
      <c r="I4371" s="101" t="str">
        <f t="shared" si="70"/>
        <v/>
      </c>
    </row>
    <row r="4372" spans="9:9" x14ac:dyDescent="0.3">
      <c r="I4372" s="101" t="str">
        <f t="shared" si="70"/>
        <v/>
      </c>
    </row>
    <row r="4373" spans="9:9" x14ac:dyDescent="0.3">
      <c r="I4373" s="101" t="str">
        <f t="shared" si="70"/>
        <v/>
      </c>
    </row>
    <row r="4374" spans="9:9" x14ac:dyDescent="0.3">
      <c r="I4374" s="101" t="str">
        <f t="shared" si="70"/>
        <v/>
      </c>
    </row>
    <row r="4375" spans="9:9" x14ac:dyDescent="0.3">
      <c r="I4375" s="101" t="str">
        <f t="shared" si="70"/>
        <v/>
      </c>
    </row>
    <row r="4376" spans="9:9" x14ac:dyDescent="0.3">
      <c r="I4376" s="101" t="str">
        <f t="shared" si="70"/>
        <v/>
      </c>
    </row>
    <row r="4377" spans="9:9" x14ac:dyDescent="0.3">
      <c r="I4377" s="101" t="str">
        <f t="shared" si="70"/>
        <v/>
      </c>
    </row>
    <row r="4378" spans="9:9" x14ac:dyDescent="0.3">
      <c r="I4378" s="101" t="str">
        <f t="shared" si="70"/>
        <v/>
      </c>
    </row>
    <row r="4379" spans="9:9" x14ac:dyDescent="0.3">
      <c r="I4379" s="101" t="str">
        <f t="shared" si="70"/>
        <v/>
      </c>
    </row>
    <row r="4380" spans="9:9" x14ac:dyDescent="0.3">
      <c r="I4380" s="101" t="str">
        <f t="shared" si="70"/>
        <v/>
      </c>
    </row>
    <row r="4381" spans="9:9" x14ac:dyDescent="0.3">
      <c r="I4381" s="101" t="str">
        <f t="shared" si="70"/>
        <v/>
      </c>
    </row>
    <row r="4382" spans="9:9" x14ac:dyDescent="0.3">
      <c r="I4382" s="101" t="str">
        <f t="shared" si="70"/>
        <v/>
      </c>
    </row>
    <row r="4383" spans="9:9" x14ac:dyDescent="0.3">
      <c r="I4383" s="101" t="str">
        <f t="shared" si="70"/>
        <v/>
      </c>
    </row>
    <row r="4384" spans="9:9" x14ac:dyDescent="0.3">
      <c r="I4384" s="101" t="str">
        <f t="shared" si="70"/>
        <v/>
      </c>
    </row>
    <row r="4385" spans="9:9" x14ac:dyDescent="0.3">
      <c r="I4385" s="101" t="str">
        <f t="shared" si="70"/>
        <v/>
      </c>
    </row>
    <row r="4386" spans="9:9" x14ac:dyDescent="0.3">
      <c r="I4386" s="101" t="str">
        <f t="shared" si="70"/>
        <v/>
      </c>
    </row>
    <row r="4387" spans="9:9" x14ac:dyDescent="0.3">
      <c r="I4387" s="101" t="str">
        <f t="shared" si="70"/>
        <v/>
      </c>
    </row>
    <row r="4388" spans="9:9" x14ac:dyDescent="0.3">
      <c r="I4388" s="101" t="str">
        <f t="shared" si="70"/>
        <v/>
      </c>
    </row>
    <row r="4389" spans="9:9" x14ac:dyDescent="0.3">
      <c r="I4389" s="101" t="str">
        <f t="shared" si="70"/>
        <v/>
      </c>
    </row>
    <row r="4390" spans="9:9" x14ac:dyDescent="0.3">
      <c r="I4390" s="101" t="str">
        <f t="shared" si="70"/>
        <v/>
      </c>
    </row>
    <row r="4391" spans="9:9" x14ac:dyDescent="0.3">
      <c r="I4391" s="101" t="str">
        <f t="shared" si="70"/>
        <v/>
      </c>
    </row>
    <row r="4392" spans="9:9" x14ac:dyDescent="0.3">
      <c r="I4392" s="101" t="str">
        <f t="shared" si="70"/>
        <v/>
      </c>
    </row>
    <row r="4393" spans="9:9" x14ac:dyDescent="0.3">
      <c r="I4393" s="101" t="str">
        <f t="shared" si="70"/>
        <v/>
      </c>
    </row>
    <row r="4394" spans="9:9" x14ac:dyDescent="0.3">
      <c r="I4394" s="101" t="str">
        <f t="shared" si="70"/>
        <v/>
      </c>
    </row>
    <row r="4395" spans="9:9" x14ac:dyDescent="0.3">
      <c r="I4395" s="101" t="str">
        <f t="shared" si="70"/>
        <v/>
      </c>
    </row>
    <row r="4396" spans="9:9" x14ac:dyDescent="0.3">
      <c r="I4396" s="101" t="str">
        <f t="shared" si="70"/>
        <v/>
      </c>
    </row>
    <row r="4397" spans="9:9" x14ac:dyDescent="0.3">
      <c r="I4397" s="101" t="str">
        <f t="shared" si="70"/>
        <v/>
      </c>
    </row>
    <row r="4398" spans="9:9" x14ac:dyDescent="0.3">
      <c r="I4398" s="101" t="str">
        <f t="shared" si="70"/>
        <v/>
      </c>
    </row>
    <row r="4399" spans="9:9" x14ac:dyDescent="0.3">
      <c r="I4399" s="101" t="str">
        <f t="shared" si="70"/>
        <v/>
      </c>
    </row>
    <row r="4400" spans="9:9" x14ac:dyDescent="0.3">
      <c r="I4400" s="101" t="str">
        <f t="shared" si="70"/>
        <v/>
      </c>
    </row>
    <row r="4401" spans="9:9" x14ac:dyDescent="0.3">
      <c r="I4401" s="101" t="str">
        <f t="shared" si="70"/>
        <v/>
      </c>
    </row>
    <row r="4402" spans="9:9" x14ac:dyDescent="0.3">
      <c r="I4402" s="101" t="str">
        <f t="shared" si="70"/>
        <v/>
      </c>
    </row>
    <row r="4403" spans="9:9" x14ac:dyDescent="0.3">
      <c r="I4403" s="101" t="str">
        <f t="shared" si="70"/>
        <v/>
      </c>
    </row>
    <row r="4404" spans="9:9" x14ac:dyDescent="0.3">
      <c r="I4404" s="101" t="str">
        <f t="shared" si="70"/>
        <v/>
      </c>
    </row>
    <row r="4405" spans="9:9" x14ac:dyDescent="0.3">
      <c r="I4405" s="101" t="str">
        <f t="shared" si="70"/>
        <v/>
      </c>
    </row>
    <row r="4406" spans="9:9" x14ac:dyDescent="0.3">
      <c r="I4406" s="101" t="str">
        <f t="shared" si="70"/>
        <v/>
      </c>
    </row>
    <row r="4407" spans="9:9" x14ac:dyDescent="0.3">
      <c r="I4407" s="101" t="str">
        <f t="shared" si="70"/>
        <v/>
      </c>
    </row>
    <row r="4408" spans="9:9" x14ac:dyDescent="0.3">
      <c r="I4408" s="101" t="str">
        <f t="shared" si="70"/>
        <v/>
      </c>
    </row>
    <row r="4409" spans="9:9" x14ac:dyDescent="0.3">
      <c r="I4409" s="101" t="str">
        <f t="shared" si="70"/>
        <v/>
      </c>
    </row>
    <row r="4410" spans="9:9" x14ac:dyDescent="0.3">
      <c r="I4410" s="101" t="str">
        <f t="shared" si="70"/>
        <v/>
      </c>
    </row>
    <row r="4411" spans="9:9" x14ac:dyDescent="0.3">
      <c r="I4411" s="101" t="str">
        <f t="shared" si="70"/>
        <v/>
      </c>
    </row>
    <row r="4412" spans="9:9" x14ac:dyDescent="0.3">
      <c r="I4412" s="101" t="str">
        <f t="shared" si="70"/>
        <v/>
      </c>
    </row>
    <row r="4413" spans="9:9" x14ac:dyDescent="0.3">
      <c r="I4413" s="101" t="str">
        <f t="shared" si="70"/>
        <v/>
      </c>
    </row>
    <row r="4414" spans="9:9" x14ac:dyDescent="0.3">
      <c r="I4414" s="101" t="str">
        <f t="shared" si="70"/>
        <v/>
      </c>
    </row>
    <row r="4415" spans="9:9" x14ac:dyDescent="0.3">
      <c r="I4415" s="101" t="str">
        <f t="shared" si="70"/>
        <v/>
      </c>
    </row>
    <row r="4416" spans="9:9" x14ac:dyDescent="0.3">
      <c r="I4416" s="101" t="str">
        <f t="shared" si="70"/>
        <v/>
      </c>
    </row>
    <row r="4417" spans="9:9" x14ac:dyDescent="0.3">
      <c r="I4417" s="101" t="str">
        <f t="shared" si="70"/>
        <v/>
      </c>
    </row>
    <row r="4418" spans="9:9" x14ac:dyDescent="0.3">
      <c r="I4418" s="101" t="str">
        <f t="shared" si="70"/>
        <v/>
      </c>
    </row>
    <row r="4419" spans="9:9" x14ac:dyDescent="0.3">
      <c r="I4419" s="101" t="str">
        <f t="shared" ref="I4419:I4482" si="71">IF(OR(B4419&lt;&gt;B4418,C4419&lt;&gt;C4418),"",IF(E4418=0,"",IF(G4419="UP",(E4419-E4418)/E4418,-((E4419-E4418)/E4418))))</f>
        <v/>
      </c>
    </row>
    <row r="4420" spans="9:9" x14ac:dyDescent="0.3">
      <c r="I4420" s="101" t="str">
        <f t="shared" si="71"/>
        <v/>
      </c>
    </row>
    <row r="4421" spans="9:9" x14ac:dyDescent="0.3">
      <c r="I4421" s="101" t="str">
        <f t="shared" si="71"/>
        <v/>
      </c>
    </row>
    <row r="4422" spans="9:9" x14ac:dyDescent="0.3">
      <c r="I4422" s="101" t="str">
        <f t="shared" si="71"/>
        <v/>
      </c>
    </row>
    <row r="4423" spans="9:9" x14ac:dyDescent="0.3">
      <c r="I4423" s="101" t="str">
        <f t="shared" si="71"/>
        <v/>
      </c>
    </row>
    <row r="4424" spans="9:9" x14ac:dyDescent="0.3">
      <c r="I4424" s="101" t="str">
        <f t="shared" si="71"/>
        <v/>
      </c>
    </row>
    <row r="4425" spans="9:9" x14ac:dyDescent="0.3">
      <c r="I4425" s="101" t="str">
        <f t="shared" si="71"/>
        <v/>
      </c>
    </row>
    <row r="4426" spans="9:9" x14ac:dyDescent="0.3">
      <c r="I4426" s="101" t="str">
        <f t="shared" si="71"/>
        <v/>
      </c>
    </row>
    <row r="4427" spans="9:9" x14ac:dyDescent="0.3">
      <c r="I4427" s="101" t="str">
        <f t="shared" si="71"/>
        <v/>
      </c>
    </row>
    <row r="4428" spans="9:9" x14ac:dyDescent="0.3">
      <c r="I4428" s="101" t="str">
        <f t="shared" si="71"/>
        <v/>
      </c>
    </row>
    <row r="4429" spans="9:9" x14ac:dyDescent="0.3">
      <c r="I4429" s="101" t="str">
        <f t="shared" si="71"/>
        <v/>
      </c>
    </row>
    <row r="4430" spans="9:9" x14ac:dyDescent="0.3">
      <c r="I4430" s="101" t="str">
        <f t="shared" si="71"/>
        <v/>
      </c>
    </row>
    <row r="4431" spans="9:9" x14ac:dyDescent="0.3">
      <c r="I4431" s="101" t="str">
        <f t="shared" si="71"/>
        <v/>
      </c>
    </row>
    <row r="4432" spans="9:9" x14ac:dyDescent="0.3">
      <c r="I4432" s="101" t="str">
        <f t="shared" si="71"/>
        <v/>
      </c>
    </row>
    <row r="4433" spans="9:9" x14ac:dyDescent="0.3">
      <c r="I4433" s="101" t="str">
        <f t="shared" si="71"/>
        <v/>
      </c>
    </row>
    <row r="4434" spans="9:9" x14ac:dyDescent="0.3">
      <c r="I4434" s="101" t="str">
        <f t="shared" si="71"/>
        <v/>
      </c>
    </row>
    <row r="4435" spans="9:9" x14ac:dyDescent="0.3">
      <c r="I4435" s="101" t="str">
        <f t="shared" si="71"/>
        <v/>
      </c>
    </row>
    <row r="4436" spans="9:9" x14ac:dyDescent="0.3">
      <c r="I4436" s="101" t="str">
        <f t="shared" si="71"/>
        <v/>
      </c>
    </row>
    <row r="4437" spans="9:9" x14ac:dyDescent="0.3">
      <c r="I4437" s="101" t="str">
        <f t="shared" si="71"/>
        <v/>
      </c>
    </row>
    <row r="4438" spans="9:9" x14ac:dyDescent="0.3">
      <c r="I4438" s="101" t="str">
        <f t="shared" si="71"/>
        <v/>
      </c>
    </row>
    <row r="4439" spans="9:9" x14ac:dyDescent="0.3">
      <c r="I4439" s="101" t="str">
        <f t="shared" si="71"/>
        <v/>
      </c>
    </row>
    <row r="4440" spans="9:9" x14ac:dyDescent="0.3">
      <c r="I4440" s="101" t="str">
        <f t="shared" si="71"/>
        <v/>
      </c>
    </row>
    <row r="4441" spans="9:9" x14ac:dyDescent="0.3">
      <c r="I4441" s="101" t="str">
        <f t="shared" si="71"/>
        <v/>
      </c>
    </row>
    <row r="4442" spans="9:9" x14ac:dyDescent="0.3">
      <c r="I4442" s="101" t="str">
        <f t="shared" si="71"/>
        <v/>
      </c>
    </row>
    <row r="4443" spans="9:9" x14ac:dyDescent="0.3">
      <c r="I4443" s="101" t="str">
        <f t="shared" si="71"/>
        <v/>
      </c>
    </row>
    <row r="4444" spans="9:9" x14ac:dyDescent="0.3">
      <c r="I4444" s="101" t="str">
        <f t="shared" si="71"/>
        <v/>
      </c>
    </row>
    <row r="4445" spans="9:9" x14ac:dyDescent="0.3">
      <c r="I4445" s="101" t="str">
        <f t="shared" si="71"/>
        <v/>
      </c>
    </row>
    <row r="4446" spans="9:9" x14ac:dyDescent="0.3">
      <c r="I4446" s="101" t="str">
        <f t="shared" si="71"/>
        <v/>
      </c>
    </row>
    <row r="4447" spans="9:9" x14ac:dyDescent="0.3">
      <c r="I4447" s="101" t="str">
        <f t="shared" si="71"/>
        <v/>
      </c>
    </row>
    <row r="4448" spans="9:9" x14ac:dyDescent="0.3">
      <c r="I4448" s="101" t="str">
        <f t="shared" si="71"/>
        <v/>
      </c>
    </row>
    <row r="4449" spans="9:9" x14ac:dyDescent="0.3">
      <c r="I4449" s="101" t="str">
        <f t="shared" si="71"/>
        <v/>
      </c>
    </row>
    <row r="4450" spans="9:9" x14ac:dyDescent="0.3">
      <c r="I4450" s="101" t="str">
        <f t="shared" si="71"/>
        <v/>
      </c>
    </row>
    <row r="4451" spans="9:9" x14ac:dyDescent="0.3">
      <c r="I4451" s="101" t="str">
        <f t="shared" si="71"/>
        <v/>
      </c>
    </row>
    <row r="4452" spans="9:9" x14ac:dyDescent="0.3">
      <c r="I4452" s="101" t="str">
        <f t="shared" si="71"/>
        <v/>
      </c>
    </row>
    <row r="4453" spans="9:9" x14ac:dyDescent="0.3">
      <c r="I4453" s="101" t="str">
        <f t="shared" si="71"/>
        <v/>
      </c>
    </row>
    <row r="4454" spans="9:9" x14ac:dyDescent="0.3">
      <c r="I4454" s="101" t="str">
        <f t="shared" si="71"/>
        <v/>
      </c>
    </row>
    <row r="4455" spans="9:9" x14ac:dyDescent="0.3">
      <c r="I4455" s="101" t="str">
        <f t="shared" si="71"/>
        <v/>
      </c>
    </row>
    <row r="4456" spans="9:9" x14ac:dyDescent="0.3">
      <c r="I4456" s="101" t="str">
        <f t="shared" si="71"/>
        <v/>
      </c>
    </row>
    <row r="4457" spans="9:9" x14ac:dyDescent="0.3">
      <c r="I4457" s="101" t="str">
        <f t="shared" si="71"/>
        <v/>
      </c>
    </row>
    <row r="4458" spans="9:9" x14ac:dyDescent="0.3">
      <c r="I4458" s="101" t="str">
        <f t="shared" si="71"/>
        <v/>
      </c>
    </row>
    <row r="4459" spans="9:9" x14ac:dyDescent="0.3">
      <c r="I4459" s="101" t="str">
        <f t="shared" si="71"/>
        <v/>
      </c>
    </row>
    <row r="4460" spans="9:9" x14ac:dyDescent="0.3">
      <c r="I4460" s="101" t="str">
        <f t="shared" si="71"/>
        <v/>
      </c>
    </row>
    <row r="4461" spans="9:9" x14ac:dyDescent="0.3">
      <c r="I4461" s="101" t="str">
        <f t="shared" si="71"/>
        <v/>
      </c>
    </row>
    <row r="4462" spans="9:9" x14ac:dyDescent="0.3">
      <c r="I4462" s="101" t="str">
        <f t="shared" si="71"/>
        <v/>
      </c>
    </row>
    <row r="4463" spans="9:9" x14ac:dyDescent="0.3">
      <c r="I4463" s="101" t="str">
        <f t="shared" si="71"/>
        <v/>
      </c>
    </row>
    <row r="4464" spans="9:9" x14ac:dyDescent="0.3">
      <c r="I4464" s="101" t="str">
        <f t="shared" si="71"/>
        <v/>
      </c>
    </row>
    <row r="4465" spans="9:9" x14ac:dyDescent="0.3">
      <c r="I4465" s="101" t="str">
        <f t="shared" si="71"/>
        <v/>
      </c>
    </row>
    <row r="4466" spans="9:9" x14ac:dyDescent="0.3">
      <c r="I4466" s="101" t="str">
        <f t="shared" si="71"/>
        <v/>
      </c>
    </row>
    <row r="4467" spans="9:9" x14ac:dyDescent="0.3">
      <c r="I4467" s="101" t="str">
        <f t="shared" si="71"/>
        <v/>
      </c>
    </row>
    <row r="4468" spans="9:9" x14ac:dyDescent="0.3">
      <c r="I4468" s="101" t="str">
        <f t="shared" si="71"/>
        <v/>
      </c>
    </row>
    <row r="4469" spans="9:9" x14ac:dyDescent="0.3">
      <c r="I4469" s="101" t="str">
        <f t="shared" si="71"/>
        <v/>
      </c>
    </row>
    <row r="4470" spans="9:9" x14ac:dyDescent="0.3">
      <c r="I4470" s="101" t="str">
        <f t="shared" si="71"/>
        <v/>
      </c>
    </row>
    <row r="4471" spans="9:9" x14ac:dyDescent="0.3">
      <c r="I4471" s="101" t="str">
        <f t="shared" si="71"/>
        <v/>
      </c>
    </row>
    <row r="4472" spans="9:9" x14ac:dyDescent="0.3">
      <c r="I4472" s="101" t="str">
        <f t="shared" si="71"/>
        <v/>
      </c>
    </row>
    <row r="4473" spans="9:9" x14ac:dyDescent="0.3">
      <c r="I4473" s="101" t="str">
        <f t="shared" si="71"/>
        <v/>
      </c>
    </row>
    <row r="4474" spans="9:9" x14ac:dyDescent="0.3">
      <c r="I4474" s="101" t="str">
        <f t="shared" si="71"/>
        <v/>
      </c>
    </row>
    <row r="4475" spans="9:9" x14ac:dyDescent="0.3">
      <c r="I4475" s="101" t="str">
        <f t="shared" si="71"/>
        <v/>
      </c>
    </row>
    <row r="4476" spans="9:9" x14ac:dyDescent="0.3">
      <c r="I4476" s="101" t="str">
        <f t="shared" si="71"/>
        <v/>
      </c>
    </row>
    <row r="4477" spans="9:9" x14ac:dyDescent="0.3">
      <c r="I4477" s="101" t="str">
        <f t="shared" si="71"/>
        <v/>
      </c>
    </row>
    <row r="4478" spans="9:9" x14ac:dyDescent="0.3">
      <c r="I4478" s="101" t="str">
        <f t="shared" si="71"/>
        <v/>
      </c>
    </row>
    <row r="4479" spans="9:9" x14ac:dyDescent="0.3">
      <c r="I4479" s="101" t="str">
        <f t="shared" si="71"/>
        <v/>
      </c>
    </row>
    <row r="4480" spans="9:9" x14ac:dyDescent="0.3">
      <c r="I4480" s="101" t="str">
        <f t="shared" si="71"/>
        <v/>
      </c>
    </row>
    <row r="4481" spans="9:9" x14ac:dyDescent="0.3">
      <c r="I4481" s="101" t="str">
        <f t="shared" si="71"/>
        <v/>
      </c>
    </row>
    <row r="4482" spans="9:9" x14ac:dyDescent="0.3">
      <c r="I4482" s="101" t="str">
        <f t="shared" si="71"/>
        <v/>
      </c>
    </row>
    <row r="4483" spans="9:9" x14ac:dyDescent="0.3">
      <c r="I4483" s="101" t="str">
        <f t="shared" ref="I4483:I4499" si="72">IF(OR(B4483&lt;&gt;B4482,C4483&lt;&gt;C4482),"",IF(E4482=0,"",IF(G4483="UP",(E4483-E4482)/E4482,-((E4483-E4482)/E4482))))</f>
        <v/>
      </c>
    </row>
    <row r="4484" spans="9:9" x14ac:dyDescent="0.3">
      <c r="I4484" s="101" t="str">
        <f t="shared" si="72"/>
        <v/>
      </c>
    </row>
    <row r="4485" spans="9:9" x14ac:dyDescent="0.3">
      <c r="I4485" s="101" t="str">
        <f t="shared" si="72"/>
        <v/>
      </c>
    </row>
    <row r="4486" spans="9:9" x14ac:dyDescent="0.3">
      <c r="I4486" s="101" t="str">
        <f t="shared" si="72"/>
        <v/>
      </c>
    </row>
    <row r="4487" spans="9:9" x14ac:dyDescent="0.3">
      <c r="I4487" s="101" t="str">
        <f t="shared" si="72"/>
        <v/>
      </c>
    </row>
    <row r="4488" spans="9:9" x14ac:dyDescent="0.3">
      <c r="I4488" s="101" t="str">
        <f t="shared" si="72"/>
        <v/>
      </c>
    </row>
    <row r="4489" spans="9:9" x14ac:dyDescent="0.3">
      <c r="I4489" s="101" t="str">
        <f t="shared" si="72"/>
        <v/>
      </c>
    </row>
    <row r="4490" spans="9:9" x14ac:dyDescent="0.3">
      <c r="I4490" s="101" t="str">
        <f t="shared" si="72"/>
        <v/>
      </c>
    </row>
    <row r="4491" spans="9:9" x14ac:dyDescent="0.3">
      <c r="I4491" s="101" t="str">
        <f t="shared" si="72"/>
        <v/>
      </c>
    </row>
    <row r="4492" spans="9:9" x14ac:dyDescent="0.3">
      <c r="I4492" s="101" t="str">
        <f t="shared" si="72"/>
        <v/>
      </c>
    </row>
    <row r="4493" spans="9:9" x14ac:dyDescent="0.3">
      <c r="I4493" s="101" t="str">
        <f t="shared" si="72"/>
        <v/>
      </c>
    </row>
    <row r="4494" spans="9:9" x14ac:dyDescent="0.3">
      <c r="I4494" s="101" t="str">
        <f t="shared" si="72"/>
        <v/>
      </c>
    </row>
    <row r="4495" spans="9:9" x14ac:dyDescent="0.3">
      <c r="I4495" s="101" t="str">
        <f t="shared" si="72"/>
        <v/>
      </c>
    </row>
    <row r="4496" spans="9:9" x14ac:dyDescent="0.3">
      <c r="I4496" s="101" t="str">
        <f t="shared" si="72"/>
        <v/>
      </c>
    </row>
    <row r="4497" spans="9:9" x14ac:dyDescent="0.3">
      <c r="I4497" s="101" t="str">
        <f t="shared" si="72"/>
        <v/>
      </c>
    </row>
    <row r="4498" spans="9:9" x14ac:dyDescent="0.3">
      <c r="I4498" s="101" t="str">
        <f t="shared" si="72"/>
        <v/>
      </c>
    </row>
    <row r="4499" spans="9:9" x14ac:dyDescent="0.3">
      <c r="I4499" s="101" t="str">
        <f t="shared" si="72"/>
        <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D07BFF-CBCA-448A-AEA2-CA8A945D5F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Control panel</vt:lpstr>
      <vt:lpstr>KPI</vt:lpstr>
      <vt:lpstr>README</vt:lpstr>
      <vt:lpstr>Read PCT_CHANGE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Kumar</dc:creator>
  <cp:lastModifiedBy>Pavan Kumar</cp:lastModifiedBy>
  <dcterms:created xsi:type="dcterms:W3CDTF">2026-04-16T20:49:09Z</dcterms:created>
  <dcterms:modified xsi:type="dcterms:W3CDTF">2026-04-28T20:26:37Z</dcterms:modified>
</cp:coreProperties>
</file>